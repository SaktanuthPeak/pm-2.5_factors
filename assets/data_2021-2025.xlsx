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P" sheetId="1" state="visible" r:id="rId3"/>
    <sheet name="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<sst xmlns="http://schemas.openxmlformats.org/spreadsheetml/2006/main" count="1927" uniqueCount="84">
  <si>
    <t xml:space="preserve">ตารางเกณฑ์ดัชนีคุณภาพอากาศของประเทศไทย (TH AQI) — PM2.5 เฉลี่ย 24 ชม.</t>
  </si>
  <si>
    <t xml:space="preserve">ที่มา: ประกาศกรมควบคุมมลพิษ เรื่อง ดัชนีคุณภาพอากาศของประเทศไทย พ.ศ. 2566 (บังคับใช้ 1 มิ.ย. 2566) / air4thai.pcd.go.th</t>
  </si>
  <si>
    <t xml:space="preserve">C_low (มคก./ลบ.ม.)</t>
  </si>
  <si>
    <t xml:space="preserve">C_high (มคก./ลบ.ม.)</t>
  </si>
  <si>
    <t xml:space="preserve">I_low</t>
  </si>
  <si>
    <t xml:space="preserve">I_high</t>
  </si>
  <si>
    <t xml:space="preserve">AQI เริ่มช่วง</t>
  </si>
  <si>
    <t xml:space="preserve">ระดับคุณภาพอากาศ</t>
  </si>
  <si>
    <t xml:space="preserve">สี</t>
  </si>
  <si>
    <t xml:space="preserve">ดีมาก</t>
  </si>
  <si>
    <t xml:space="preserve">ฟ้า</t>
  </si>
  <si>
    <t xml:space="preserve">ดี</t>
  </si>
  <si>
    <t xml:space="preserve">เขียว</t>
  </si>
  <si>
    <t xml:space="preserve">ปานกลาง</t>
  </si>
  <si>
    <t xml:space="preserve">เหลือง</t>
  </si>
  <si>
    <t xml:space="preserve">เริ่มมีผลกระทบต่อสุขภาพ</t>
  </si>
  <si>
    <t xml:space="preserve">ส้ม</t>
  </si>
  <si>
    <t xml:space="preserve">มีผลกระทบต่อสุขภาพ</t>
  </si>
  <si>
    <t xml:space="preserve">แดง</t>
  </si>
  <si>
    <t xml:space="preserve">สูตร:  AQI = ((I_high − I_low) / (C_high − C_low)) × (C − C_low) + I_low      แล้วปัดเป็นจำนวนเต็ม</t>
  </si>
  <si>
    <t xml:space="preserve">C = ความเข้มข้น PM2.5 ที่ตรวจวัดได้ (เฉลี่ย 24 ชม.)  |  เมื่อมีมลพิษหลายชนิด AQI = ค่าสูงสุดของดัชนีย่อยทุกชนิด</t>
  </si>
  <si>
    <t xml:space="preserve">หมายเหตุข้อมูล: แถวที่มีวันที่ 2021-06-30 ซ้ำกัน 2 แถวในไฟล์ต้นฉบับ และไม่มีวันที่ 2021-06-29 จึงถือว่าแถวแรกคือ 2021-06-29</t>
  </si>
  <si>
    <t xml:space="preserve">ข้อมูลสถานี 44T ต.หาดใหญ่ อ.หาดใหญ่ จ.สงขลา (เทศบาลนครหาดใหญ่) มีวันที่ไม่มีค่าตรวจวัด 22 วัน ซึ่งถูกเว้นว่างไว้</t>
  </si>
  <si>
    <t xml:space="preserve">วันที่</t>
  </si>
  <si>
    <t xml:space="preserve">PM2.5 (มคก./ลบ.ม.)</t>
  </si>
  <si>
    <t xml:space="preserve">AQI</t>
  </si>
  <si>
    <t xml:space="preserve">ปี</t>
  </si>
  <si>
    <t xml:space="preserve">เดือน</t>
  </si>
  <si>
    <t xml:space="preserve">ลมสูงสุด (km/h)</t>
  </si>
  <si>
    <t xml:space="preserve">ลมกระโชก (km/h)</t>
  </si>
  <si>
    <t xml:space="preserve">ทิศลม (°)</t>
  </si>
  <si>
    <t xml:space="preserve">ฝน model (มม.)</t>
  </si>
  <si>
    <t xml:space="preserve">ปริมาณน้ำฝน (มม.)</t>
  </si>
  <si>
    <t xml:space="preserve">ประเภทวัน</t>
  </si>
  <si>
    <t xml:space="preserve">วันหยุดราชการ/นักขัตฤกษ์</t>
  </si>
  <si>
    <t xml:space="preserve">วันหยุดสุดสัปดาห์</t>
  </si>
  <si>
    <t xml:space="preserve">วันทำงานปกติ</t>
  </si>
  <si>
    <t xml:space="preserve">สรุปผลการวิเคราะห์ AQI จาก PM2.5 สถานี 44T หาดใหญ่ (2021–2025)</t>
  </si>
  <si>
    <t xml:space="preserve">1) ภาพรวมทั้งชุดข้อมูล</t>
  </si>
  <si>
    <t xml:space="preserve">2) จำนวนวันแยกตามระดับคุณภาพอากาศ</t>
  </si>
  <si>
    <t xml:space="preserve">จำนวนวันที่มีค่าตรวจวัด</t>
  </si>
  <si>
    <t xml:space="preserve">ระดับ</t>
  </si>
  <si>
    <t xml:space="preserve">ช่วง AQI</t>
  </si>
  <si>
    <t xml:space="preserve">จำนวนวัน</t>
  </si>
  <si>
    <t xml:space="preserve">สัดส่วน</t>
  </si>
  <si>
    <t xml:space="preserve">PM2.5 เฉลี่ย (มคก./ลบ.ม.)</t>
  </si>
  <si>
    <t xml:space="preserve">0–25</t>
  </si>
  <si>
    <t xml:space="preserve">AQI เฉลี่ย</t>
  </si>
  <si>
    <t xml:space="preserve">26–50</t>
  </si>
  <si>
    <t xml:space="preserve">AQI ต่ำสุด</t>
  </si>
  <si>
    <t xml:space="preserve">51–100</t>
  </si>
  <si>
    <t xml:space="preserve">AQI สูงสุด</t>
  </si>
  <si>
    <t xml:space="preserve">101–200</t>
  </si>
  <si>
    <t xml:space="preserve">มัธยฐาน AQI</t>
  </si>
  <si>
    <t xml:space="preserve">201+</t>
  </si>
  <si>
    <t xml:space="preserve">ส่วนเบี่ยงเบนมาตรฐาน</t>
  </si>
  <si>
    <t xml:space="preserve">รวม</t>
  </si>
  <si>
    <t xml:space="preserve">วันที่ AQI &gt; 100 (ส้ม/แดง)</t>
  </si>
  <si>
    <t xml:space="preserve">วันที่ PM2.5 เกินมาตรฐาน 37.5</t>
  </si>
  <si>
    <t xml:space="preserve">3) สรุปรายปี</t>
  </si>
  <si>
    <t xml:space="preserve">5) AQI เฉลี่ยตามประเภทวัน</t>
  </si>
  <si>
    <t xml:space="preserve">PM2.5 เฉลี่ย</t>
  </si>
  <si>
    <t xml:space="preserve">วัน AQI&gt;50</t>
  </si>
  <si>
    <t xml:space="preserve">วัน AQI&gt;100</t>
  </si>
  <si>
    <t xml:space="preserve">4) สรุปรายเดือน (เฉลี่ยรวมทุกปี)</t>
  </si>
  <si>
    <t xml:space="preserve">6) ความสัมพันธ์กับสภาพอากาศ (สัมประสิทธิ์สหสัมพันธ์กับ AQI)</t>
  </si>
  <si>
    <t xml:space="preserve">ความเร็วลมสูงสุด</t>
  </si>
  <si>
    <t xml:space="preserve">ม.ค.</t>
  </si>
  <si>
    <t xml:space="preserve">ลมกระโชกสูงสุด</t>
  </si>
  <si>
    <t xml:space="preserve">ก.พ.</t>
  </si>
  <si>
    <t xml:space="preserve">ทิศลมหลัก</t>
  </si>
  <si>
    <t xml:space="preserve">มี.ค.</t>
  </si>
  <si>
    <t xml:space="preserve">ฝน (model)</t>
  </si>
  <si>
    <t xml:space="preserve">เม.ย.</t>
  </si>
  <si>
    <t xml:space="preserve">ปริมาณน้ำฝนตรวจวัด</t>
  </si>
  <si>
    <t xml:space="preserve">พ.ค.</t>
  </si>
  <si>
    <t xml:space="preserve">มิ.ย.</t>
  </si>
  <si>
    <t xml:space="preserve">ค่าติดลบ = ลม/ฝนมาก → AQI ต่ำลง</t>
  </si>
  <si>
    <t xml:space="preserve">ก.ค.</t>
  </si>
  <si>
    <t xml:space="preserve">ส.ค.</t>
  </si>
  <si>
    <t xml:space="preserve">ก.ย.</t>
  </si>
  <si>
    <t xml:space="preserve">ต.ค.</t>
  </si>
  <si>
    <t xml:space="preserve">พ.ย.</t>
  </si>
  <si>
    <t xml:space="preserve">ธ.ค.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</si>
</sst>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9CD3F0"/>
        <bgColor rgb="FFBFBFBF"/>
      </patternFill>
    </fill>
    <fill>
      <patternFill patternType="solid">
        <fgColor rgb="FFA9D08E"/>
        <bgColor rgb="FFBFBFBF"/>
      </patternFill>
    </fill>
    <fill>
      <patternFill patternType="solid">
        <fgColor rgb="FFFFE699"/>
        <bgColor rgb="FFFFFFCC"/>
      </patternFill>
    </fill>
    <fill>
      <patternFill patternType="solid">
        <fgColor rgb="FFF4B183"/>
        <bgColor rgb="FFFF99CC"/>
      </patternFill>
    </fill>
    <fill>
      <patternFill patternType="solid">
        <fgColor rgb="FFFF7C80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CD3F0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0</v>
      </c>
      <c r="B5" s="4" t="n">
        <v>15</v>
      </c>
      <c r="C5" s="4" t="n">
        <v>0</v>
      </c>
      <c r="D5" s="4" t="n">
        <v>25</v>
      </c>
      <c r="E5" s="4" t="n">
        <v>0</v>
      </c>
      <c r="F5" s="4" t="s">
        <v>9</v>
      </c>
      <c r="G5" s="4" t="s">
        <v>10</v>
      </c>
    </row>
    <row r="6" customFormat="false" ht="15" hidden="false" customHeight="false" outlineLevel="0" collapsed="false">
      <c r="A6" s="5" t="n">
        <v>15.1</v>
      </c>
      <c r="B6" s="5" t="n">
        <v>25</v>
      </c>
      <c r="C6" s="5" t="n">
        <v>26</v>
      </c>
      <c r="D6" s="5" t="n">
        <v>50</v>
      </c>
      <c r="E6" s="5" t="n">
        <v>26</v>
      </c>
      <c r="F6" s="5" t="s">
        <v>11</v>
      </c>
      <c r="G6" s="5" t="s">
        <v>12</v>
      </c>
    </row>
    <row r="7" customFormat="false" ht="15" hidden="false" customHeight="false" outlineLevel="0" collapsed="false">
      <c r="A7" s="6" t="n">
        <v>25.1</v>
      </c>
      <c r="B7" s="6" t="n">
        <v>37.5</v>
      </c>
      <c r="C7" s="6" t="n">
        <v>51</v>
      </c>
      <c r="D7" s="6" t="n">
        <v>100</v>
      </c>
      <c r="E7" s="6" t="n">
        <v>51</v>
      </c>
      <c r="F7" s="6" t="s">
        <v>13</v>
      </c>
      <c r="G7" s="6" t="s">
        <v>14</v>
      </c>
    </row>
    <row r="8" customFormat="false" ht="15" hidden="false" customHeight="false" outlineLevel="0" collapsed="false">
      <c r="A8" s="7" t="n">
        <v>37.6</v>
      </c>
      <c r="B8" s="7" t="n">
        <v>75</v>
      </c>
      <c r="C8" s="7" t="n">
        <v>101</v>
      </c>
      <c r="D8" s="7" t="n">
        <v>200</v>
      </c>
      <c r="E8" s="7" t="n">
        <v>101</v>
      </c>
      <c r="F8" s="7" t="s">
        <v>15</v>
      </c>
      <c r="G8" s="7" t="s">
        <v>16</v>
      </c>
    </row>
    <row r="9" customFormat="false" ht="15" hidden="false" customHeight="false" outlineLevel="0" collapsed="false">
      <c r="A9" s="8" t="n">
        <v>75.1</v>
      </c>
      <c r="B9" s="8" t="n">
        <v>500</v>
      </c>
      <c r="C9" s="8" t="n">
        <v>201</v>
      </c>
      <c r="D9" s="8" t="n">
        <v>500</v>
      </c>
      <c r="E9" s="8" t="n">
        <v>201</v>
      </c>
      <c r="F9" s="8" t="s">
        <v>17</v>
      </c>
      <c r="G9" s="8" t="s">
        <v>18</v>
      </c>
    </row>
    <row r="11" customFormat="false" ht="15" hidden="false" customHeight="false" outlineLevel="0" collapsed="false">
      <c r="A11" s="9" t="s">
        <v>19</v>
      </c>
    </row>
    <row r="12" customFormat="false" ht="15" hidden="false" customHeight="false" outlineLevel="0" collapsed="false">
      <c r="A12" s="2" t="s">
        <v>20</v>
      </c>
    </row>
    <row r="14" customFormat="false" ht="15" hidden="false" customHeight="false" outlineLevel="0" collapsed="false">
      <c r="A14" s="10" t="s">
        <v>21</v>
      </c>
    </row>
    <row r="15" customFormat="false" ht="15" hidden="false" customHeight="false" outlineLevel="0" collapsed="false">
      <c r="A15" s="1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22"/>
  </cols>
  <sheetData>
    <row r="1" customFormat="false" ht="26.85" hidden="false" customHeight="false" outlineLevel="0" collapsed="false">
      <c r="A1" s="3" t="s">
        <v>23</v>
      </c>
      <c r="B1" s="3" t="s">
        <v>24</v>
      </c>
      <c r="C1" s="3" t="s">
        <v>25</v>
      </c>
      <c r="D1" s="3" t="s">
        <v>7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</row>
    <row r="2" customFormat="false" ht="15" hidden="false" customHeight="false" outlineLevel="0" collapsed="false">
      <c r="A2" s="11" t="n">
        <v>44197</v>
      </c>
      <c r="B2" s="12" t="n">
        <v>20</v>
      </c>
      <c r="C2" s="12" t="n">
        <f aca="false">IF(NOT(ISNUMBER(B2)),"",ROUND((INDEX(BP!$D$5:$D$9,MATCH(B2,BP!$A$5:$A$9,1))-INDEX(BP!$C$5:$C$9,MATCH(B2,BP!$A$5:$A$9,1)))/(INDEX(BP!$B$5:$B$9,MATCH(B2,BP!$A$5:$A$9,1))-INDEX(BP!$A$5:$A$9,MATCH(B2,BP!$A$5:$A$9,1)))*(B2-INDEX(BP!$A$5:$A$9,MATCH(B2,BP!$A$5:$A$9,1)))+INDEX(BP!$C$5:$C$9,MATCH(B2,BP!$A$5:$A$9,1)),0))</f>
        <v>38</v>
      </c>
      <c r="D2" s="12" t="str">
        <f aca="false">IF(NOT(ISNUMBER(C2)),"",INDEX(BP!$F$5:$F$9,MATCH(C2,BP!$E$5:$E$9,1)))</f>
        <v>ดี</v>
      </c>
      <c r="E2" s="12" t="n">
        <f aca="false">YEAR(A2)</f>
        <v>2021</v>
      </c>
      <c r="F2" s="12" t="n">
        <f aca="false">MONTH(A2)</f>
        <v>1</v>
      </c>
      <c r="G2" s="12" t="n">
        <v>25.8</v>
      </c>
      <c r="H2" s="12" t="n">
        <v>52.9</v>
      </c>
      <c r="I2" s="12" t="n">
        <v>65</v>
      </c>
      <c r="J2" s="12" t="n">
        <v>8</v>
      </c>
      <c r="K2" s="12" t="n">
        <v>8.2</v>
      </c>
      <c r="L2" s="12" t="s">
        <v>34</v>
      </c>
    </row>
    <row r="3" customFormat="false" ht="15" hidden="false" customHeight="false" outlineLevel="0" collapsed="false">
      <c r="A3" s="11" t="n">
        <v>44198</v>
      </c>
      <c r="B3" s="12" t="n">
        <v>16</v>
      </c>
      <c r="C3" s="12" t="n">
        <f aca="false">IF(NOT(ISNUMBER(B3)),"",ROUND((INDEX(BP!$D$5:$D$9,MATCH(B3,BP!$A$5:$A$9,1))-INDEX(BP!$C$5:$C$9,MATCH(B3,BP!$A$5:$A$9,1)))/(INDEX(BP!$B$5:$B$9,MATCH(B3,BP!$A$5:$A$9,1))-INDEX(BP!$A$5:$A$9,MATCH(B3,BP!$A$5:$A$9,1)))*(B3-INDEX(BP!$A$5:$A$9,MATCH(B3,BP!$A$5:$A$9,1)))+INDEX(BP!$C$5:$C$9,MATCH(B3,BP!$A$5:$A$9,1)),0))</f>
        <v>28</v>
      </c>
      <c r="D3" s="12" t="str">
        <f aca="false">IF(NOT(ISNUMBER(C3)),"",INDEX(BP!$F$5:$F$9,MATCH(C3,BP!$E$5:$E$9,1)))</f>
        <v>ดี</v>
      </c>
      <c r="E3" s="12" t="n">
        <f aca="false">YEAR(A3)</f>
        <v>2021</v>
      </c>
      <c r="F3" s="12" t="n">
        <f aca="false">MONTH(A3)</f>
        <v>1</v>
      </c>
      <c r="G3" s="12" t="n">
        <v>20.7</v>
      </c>
      <c r="H3" s="12" t="n">
        <v>46.1</v>
      </c>
      <c r="I3" s="12" t="n">
        <v>57</v>
      </c>
      <c r="J3" s="12" t="n">
        <v>5</v>
      </c>
      <c r="K3" s="12" t="n">
        <v>30</v>
      </c>
      <c r="L3" s="12" t="s">
        <v>35</v>
      </c>
    </row>
    <row r="4" customFormat="false" ht="15" hidden="false" customHeight="false" outlineLevel="0" collapsed="false">
      <c r="A4" s="11" t="n">
        <v>44199</v>
      </c>
      <c r="B4" s="12" t="n">
        <v>15</v>
      </c>
      <c r="C4" s="12" t="n">
        <f aca="false">IF(NOT(ISNUMBER(B4)),"",ROUND((INDEX(BP!$D$5:$D$9,MATCH(B4,BP!$A$5:$A$9,1))-INDEX(BP!$C$5:$C$9,MATCH(B4,BP!$A$5:$A$9,1)))/(INDEX(BP!$B$5:$B$9,MATCH(B4,BP!$A$5:$A$9,1))-INDEX(BP!$A$5:$A$9,MATCH(B4,BP!$A$5:$A$9,1)))*(B4-INDEX(BP!$A$5:$A$9,MATCH(B4,BP!$A$5:$A$9,1)))+INDEX(BP!$C$5:$C$9,MATCH(B4,BP!$A$5:$A$9,1)),0))</f>
        <v>25</v>
      </c>
      <c r="D4" s="12" t="str">
        <f aca="false">IF(NOT(ISNUMBER(C4)),"",INDEX(BP!$F$5:$F$9,MATCH(C4,BP!$E$5:$E$9,1)))</f>
        <v>ดีมาก</v>
      </c>
      <c r="E4" s="12" t="n">
        <f aca="false">YEAR(A4)</f>
        <v>2021</v>
      </c>
      <c r="F4" s="12" t="n">
        <f aca="false">MONTH(A4)</f>
        <v>1</v>
      </c>
      <c r="G4" s="12" t="n">
        <v>23.8</v>
      </c>
      <c r="H4" s="12" t="n">
        <v>49.7</v>
      </c>
      <c r="I4" s="12" t="n">
        <v>58</v>
      </c>
      <c r="J4" s="12" t="n">
        <v>6</v>
      </c>
      <c r="K4" s="12" t="n">
        <v>31.4</v>
      </c>
      <c r="L4" s="12" t="s">
        <v>35</v>
      </c>
    </row>
    <row r="5" customFormat="false" ht="15" hidden="false" customHeight="false" outlineLevel="0" collapsed="false">
      <c r="A5" s="11" t="n">
        <v>44200</v>
      </c>
      <c r="B5" s="12" t="n">
        <v>12</v>
      </c>
      <c r="C5" s="12" t="n">
        <f aca="false">IF(NOT(ISNUMBER(B5)),"",ROUND((INDEX(BP!$D$5:$D$9,MATCH(B5,BP!$A$5:$A$9,1))-INDEX(BP!$C$5:$C$9,MATCH(B5,BP!$A$5:$A$9,1)))/(INDEX(BP!$B$5:$B$9,MATCH(B5,BP!$A$5:$A$9,1))-INDEX(BP!$A$5:$A$9,MATCH(B5,BP!$A$5:$A$9,1)))*(B5-INDEX(BP!$A$5:$A$9,MATCH(B5,BP!$A$5:$A$9,1)))+INDEX(BP!$C$5:$C$9,MATCH(B5,BP!$A$5:$A$9,1)),0))</f>
        <v>20</v>
      </c>
      <c r="D5" s="12" t="str">
        <f aca="false">IF(NOT(ISNUMBER(C5)),"",INDEX(BP!$F$5:$F$9,MATCH(C5,BP!$E$5:$E$9,1)))</f>
        <v>ดีมาก</v>
      </c>
      <c r="E5" s="12" t="n">
        <f aca="false">YEAR(A5)</f>
        <v>2021</v>
      </c>
      <c r="F5" s="12" t="n">
        <f aca="false">MONTH(A5)</f>
        <v>1</v>
      </c>
      <c r="G5" s="12" t="n">
        <v>25.2</v>
      </c>
      <c r="H5" s="12" t="n">
        <v>55.8</v>
      </c>
      <c r="I5" s="12" t="n">
        <v>84</v>
      </c>
      <c r="J5" s="12" t="n">
        <v>13.9</v>
      </c>
      <c r="K5" s="12" t="n">
        <v>7.8</v>
      </c>
      <c r="L5" s="12" t="s">
        <v>36</v>
      </c>
    </row>
    <row r="6" customFormat="false" ht="15" hidden="false" customHeight="false" outlineLevel="0" collapsed="false">
      <c r="A6" s="11" t="n">
        <v>44201</v>
      </c>
      <c r="B6" s="12" t="n">
        <v>14</v>
      </c>
      <c r="C6" s="12" t="n">
        <f aca="false">IF(NOT(ISNUMBER(B6)),"",ROUND((INDEX(BP!$D$5:$D$9,MATCH(B6,BP!$A$5:$A$9,1))-INDEX(BP!$C$5:$C$9,MATCH(B6,BP!$A$5:$A$9,1)))/(INDEX(BP!$B$5:$B$9,MATCH(B6,BP!$A$5:$A$9,1))-INDEX(BP!$A$5:$A$9,MATCH(B6,BP!$A$5:$A$9,1)))*(B6-INDEX(BP!$A$5:$A$9,MATCH(B6,BP!$A$5:$A$9,1)))+INDEX(BP!$C$5:$C$9,MATCH(B6,BP!$A$5:$A$9,1)),0))</f>
        <v>23</v>
      </c>
      <c r="D6" s="12" t="str">
        <f aca="false">IF(NOT(ISNUMBER(C6)),"",INDEX(BP!$F$5:$F$9,MATCH(C6,BP!$E$5:$E$9,1)))</f>
        <v>ดีมาก</v>
      </c>
      <c r="E6" s="12" t="n">
        <f aca="false">YEAR(A6)</f>
        <v>2021</v>
      </c>
      <c r="F6" s="12" t="n">
        <f aca="false">MONTH(A6)</f>
        <v>1</v>
      </c>
      <c r="G6" s="12" t="n">
        <v>17.3</v>
      </c>
      <c r="H6" s="12" t="n">
        <v>41.4</v>
      </c>
      <c r="I6" s="12" t="n">
        <v>54</v>
      </c>
      <c r="J6" s="12" t="n">
        <v>18.3</v>
      </c>
      <c r="K6" s="12" t="n">
        <v>43.6</v>
      </c>
      <c r="L6" s="12" t="s">
        <v>36</v>
      </c>
    </row>
    <row r="7" customFormat="false" ht="15" hidden="false" customHeight="false" outlineLevel="0" collapsed="false">
      <c r="A7" s="11" t="n">
        <v>44202</v>
      </c>
      <c r="B7" s="12" t="n">
        <v>11</v>
      </c>
      <c r="C7" s="12" t="n">
        <f aca="false">IF(NOT(ISNUMBER(B7)),"",ROUND((INDEX(BP!$D$5:$D$9,MATCH(B7,BP!$A$5:$A$9,1))-INDEX(BP!$C$5:$C$9,MATCH(B7,BP!$A$5:$A$9,1)))/(INDEX(BP!$B$5:$B$9,MATCH(B7,BP!$A$5:$A$9,1))-INDEX(BP!$A$5:$A$9,MATCH(B7,BP!$A$5:$A$9,1)))*(B7-INDEX(BP!$A$5:$A$9,MATCH(B7,BP!$A$5:$A$9,1)))+INDEX(BP!$C$5:$C$9,MATCH(B7,BP!$A$5:$A$9,1)),0))</f>
        <v>18</v>
      </c>
      <c r="D7" s="12" t="str">
        <f aca="false">IF(NOT(ISNUMBER(C7)),"",INDEX(BP!$F$5:$F$9,MATCH(C7,BP!$E$5:$E$9,1)))</f>
        <v>ดีมาก</v>
      </c>
      <c r="E7" s="12" t="n">
        <f aca="false">YEAR(A7)</f>
        <v>2021</v>
      </c>
      <c r="F7" s="12" t="n">
        <f aca="false">MONTH(A7)</f>
        <v>1</v>
      </c>
      <c r="G7" s="12" t="n">
        <v>20.1</v>
      </c>
      <c r="H7" s="12" t="n">
        <v>52.9</v>
      </c>
      <c r="I7" s="12" t="n">
        <v>78</v>
      </c>
      <c r="J7" s="12" t="n">
        <v>11.4</v>
      </c>
      <c r="K7" s="12" t="n">
        <v>2.2</v>
      </c>
      <c r="L7" s="12" t="s">
        <v>36</v>
      </c>
    </row>
    <row r="8" customFormat="false" ht="15" hidden="false" customHeight="false" outlineLevel="0" collapsed="false">
      <c r="A8" s="11" t="n">
        <v>44203</v>
      </c>
      <c r="B8" s="12" t="n">
        <v>11</v>
      </c>
      <c r="C8" s="12" t="n">
        <f aca="false">IF(NOT(ISNUMBER(B8)),"",ROUND((INDEX(BP!$D$5:$D$9,MATCH(B8,BP!$A$5:$A$9,1))-INDEX(BP!$C$5:$C$9,MATCH(B8,BP!$A$5:$A$9,1)))/(INDEX(BP!$B$5:$B$9,MATCH(B8,BP!$A$5:$A$9,1))-INDEX(BP!$A$5:$A$9,MATCH(B8,BP!$A$5:$A$9,1)))*(B8-INDEX(BP!$A$5:$A$9,MATCH(B8,BP!$A$5:$A$9,1)))+INDEX(BP!$C$5:$C$9,MATCH(B8,BP!$A$5:$A$9,1)),0))</f>
        <v>18</v>
      </c>
      <c r="D8" s="12" t="str">
        <f aca="false">IF(NOT(ISNUMBER(C8)),"",INDEX(BP!$F$5:$F$9,MATCH(C8,BP!$E$5:$E$9,1)))</f>
        <v>ดีมาก</v>
      </c>
      <c r="E8" s="12" t="n">
        <f aca="false">YEAR(A8)</f>
        <v>2021</v>
      </c>
      <c r="F8" s="12" t="n">
        <f aca="false">MONTH(A8)</f>
        <v>1</v>
      </c>
      <c r="G8" s="12" t="n">
        <v>20.2</v>
      </c>
      <c r="H8" s="12" t="n">
        <v>47.2</v>
      </c>
      <c r="I8" s="12" t="n">
        <v>88</v>
      </c>
      <c r="J8" s="12" t="n">
        <v>11.9</v>
      </c>
      <c r="K8" s="12" t="n">
        <v>0.2</v>
      </c>
      <c r="L8" s="12" t="s">
        <v>36</v>
      </c>
    </row>
    <row r="9" customFormat="false" ht="15" hidden="false" customHeight="false" outlineLevel="0" collapsed="false">
      <c r="A9" s="11" t="n">
        <v>44204</v>
      </c>
      <c r="B9" s="12" t="n">
        <v>12</v>
      </c>
      <c r="C9" s="12" t="n">
        <f aca="false">IF(NOT(ISNUMBER(B9)),"",ROUND((INDEX(BP!$D$5:$D$9,MATCH(B9,BP!$A$5:$A$9,1))-INDEX(BP!$C$5:$C$9,MATCH(B9,BP!$A$5:$A$9,1)))/(INDEX(BP!$B$5:$B$9,MATCH(B9,BP!$A$5:$A$9,1))-INDEX(BP!$A$5:$A$9,MATCH(B9,BP!$A$5:$A$9,1)))*(B9-INDEX(BP!$A$5:$A$9,MATCH(B9,BP!$A$5:$A$9,1)))+INDEX(BP!$C$5:$C$9,MATCH(B9,BP!$A$5:$A$9,1)),0))</f>
        <v>20</v>
      </c>
      <c r="D9" s="12" t="str">
        <f aca="false">IF(NOT(ISNUMBER(C9)),"",INDEX(BP!$F$5:$F$9,MATCH(C9,BP!$E$5:$E$9,1)))</f>
        <v>ดีมาก</v>
      </c>
      <c r="E9" s="12" t="n">
        <f aca="false">YEAR(A9)</f>
        <v>2021</v>
      </c>
      <c r="F9" s="12" t="n">
        <f aca="false">MONTH(A9)</f>
        <v>1</v>
      </c>
      <c r="G9" s="12" t="n">
        <v>26.6</v>
      </c>
      <c r="H9" s="12" t="n">
        <v>56.9</v>
      </c>
      <c r="I9" s="12" t="n">
        <v>94</v>
      </c>
      <c r="J9" s="12" t="n">
        <v>1.5</v>
      </c>
      <c r="K9" s="12" t="n">
        <v>0</v>
      </c>
      <c r="L9" s="12" t="s">
        <v>36</v>
      </c>
    </row>
    <row r="10" customFormat="false" ht="15" hidden="false" customHeight="false" outlineLevel="0" collapsed="false">
      <c r="A10" s="11" t="n">
        <v>44205</v>
      </c>
      <c r="B10" s="12" t="n">
        <v>13</v>
      </c>
      <c r="C10" s="12" t="n">
        <f aca="false">IF(NOT(ISNUMBER(B10)),"",ROUND((INDEX(BP!$D$5:$D$9,MATCH(B10,BP!$A$5:$A$9,1))-INDEX(BP!$C$5:$C$9,MATCH(B10,BP!$A$5:$A$9,1)))/(INDEX(BP!$B$5:$B$9,MATCH(B10,BP!$A$5:$A$9,1))-INDEX(BP!$A$5:$A$9,MATCH(B10,BP!$A$5:$A$9,1)))*(B10-INDEX(BP!$A$5:$A$9,MATCH(B10,BP!$A$5:$A$9,1)))+INDEX(BP!$C$5:$C$9,MATCH(B10,BP!$A$5:$A$9,1)),0))</f>
        <v>22</v>
      </c>
      <c r="D10" s="12" t="str">
        <f aca="false">IF(NOT(ISNUMBER(C10)),"",INDEX(BP!$F$5:$F$9,MATCH(C10,BP!$E$5:$E$9,1)))</f>
        <v>ดีมาก</v>
      </c>
      <c r="E10" s="12" t="n">
        <f aca="false">YEAR(A10)</f>
        <v>2021</v>
      </c>
      <c r="F10" s="12" t="n">
        <f aca="false">MONTH(A10)</f>
        <v>1</v>
      </c>
      <c r="G10" s="12" t="n">
        <v>25.6</v>
      </c>
      <c r="H10" s="12" t="n">
        <v>54.7</v>
      </c>
      <c r="I10" s="12" t="n">
        <v>95</v>
      </c>
      <c r="J10" s="12" t="n">
        <v>2.3</v>
      </c>
      <c r="K10" s="12" t="n">
        <v>0</v>
      </c>
      <c r="L10" s="12" t="s">
        <v>35</v>
      </c>
    </row>
    <row r="11" customFormat="false" ht="15" hidden="false" customHeight="false" outlineLevel="0" collapsed="false">
      <c r="A11" s="11" t="n">
        <v>44206</v>
      </c>
      <c r="B11" s="12" t="n">
        <v>16</v>
      </c>
      <c r="C11" s="12" t="n">
        <f aca="false">IF(NOT(ISNUMBER(B11)),"",ROUND((INDEX(BP!$D$5:$D$9,MATCH(B11,BP!$A$5:$A$9,1))-INDEX(BP!$C$5:$C$9,MATCH(B11,BP!$A$5:$A$9,1)))/(INDEX(BP!$B$5:$B$9,MATCH(B11,BP!$A$5:$A$9,1))-INDEX(BP!$A$5:$A$9,MATCH(B11,BP!$A$5:$A$9,1)))*(B11-INDEX(BP!$A$5:$A$9,MATCH(B11,BP!$A$5:$A$9,1)))+INDEX(BP!$C$5:$C$9,MATCH(B11,BP!$A$5:$A$9,1)),0))</f>
        <v>28</v>
      </c>
      <c r="D11" s="12" t="str">
        <f aca="false">IF(NOT(ISNUMBER(C11)),"",INDEX(BP!$F$5:$F$9,MATCH(C11,BP!$E$5:$E$9,1)))</f>
        <v>ดี</v>
      </c>
      <c r="E11" s="12" t="n">
        <f aca="false">YEAR(A11)</f>
        <v>2021</v>
      </c>
      <c r="F11" s="12" t="n">
        <f aca="false">MONTH(A11)</f>
        <v>1</v>
      </c>
      <c r="G11" s="12" t="n">
        <v>20.3</v>
      </c>
      <c r="H11" s="12" t="n">
        <v>43.9</v>
      </c>
      <c r="I11" s="12" t="n">
        <v>84</v>
      </c>
      <c r="J11" s="12" t="n">
        <v>8.5</v>
      </c>
      <c r="K11" s="12" t="n">
        <v>30.2</v>
      </c>
      <c r="L11" s="12" t="s">
        <v>35</v>
      </c>
    </row>
    <row r="12" customFormat="false" ht="15" hidden="false" customHeight="false" outlineLevel="0" collapsed="false">
      <c r="A12" s="11" t="n">
        <v>44207</v>
      </c>
      <c r="B12" s="12" t="n">
        <v>14</v>
      </c>
      <c r="C12" s="12" t="n">
        <f aca="false">IF(NOT(ISNUMBER(B12)),"",ROUND((INDEX(BP!$D$5:$D$9,MATCH(B12,BP!$A$5:$A$9,1))-INDEX(BP!$C$5:$C$9,MATCH(B12,BP!$A$5:$A$9,1)))/(INDEX(BP!$B$5:$B$9,MATCH(B12,BP!$A$5:$A$9,1))-INDEX(BP!$A$5:$A$9,MATCH(B12,BP!$A$5:$A$9,1)))*(B12-INDEX(BP!$A$5:$A$9,MATCH(B12,BP!$A$5:$A$9,1)))+INDEX(BP!$C$5:$C$9,MATCH(B12,BP!$A$5:$A$9,1)),0))</f>
        <v>23</v>
      </c>
      <c r="D12" s="12" t="str">
        <f aca="false">IF(NOT(ISNUMBER(C12)),"",INDEX(BP!$F$5:$F$9,MATCH(C12,BP!$E$5:$E$9,1)))</f>
        <v>ดีมาก</v>
      </c>
      <c r="E12" s="12" t="n">
        <f aca="false">YEAR(A12)</f>
        <v>2021</v>
      </c>
      <c r="F12" s="12" t="n">
        <f aca="false">MONTH(A12)</f>
        <v>1</v>
      </c>
      <c r="G12" s="12" t="n">
        <v>21.3</v>
      </c>
      <c r="H12" s="12" t="n">
        <v>43.9</v>
      </c>
      <c r="I12" s="12" t="n">
        <v>83</v>
      </c>
      <c r="J12" s="12" t="n">
        <v>4.4</v>
      </c>
      <c r="K12" s="12" t="n">
        <v>0.8</v>
      </c>
      <c r="L12" s="12" t="s">
        <v>36</v>
      </c>
    </row>
    <row r="13" customFormat="false" ht="15" hidden="false" customHeight="false" outlineLevel="0" collapsed="false">
      <c r="A13" s="11" t="n">
        <v>44208</v>
      </c>
      <c r="B13" s="12" t="n">
        <v>14</v>
      </c>
      <c r="C13" s="12" t="n">
        <f aca="false">IF(NOT(ISNUMBER(B13)),"",ROUND((INDEX(BP!$D$5:$D$9,MATCH(B13,BP!$A$5:$A$9,1))-INDEX(BP!$C$5:$C$9,MATCH(B13,BP!$A$5:$A$9,1)))/(INDEX(BP!$B$5:$B$9,MATCH(B13,BP!$A$5:$A$9,1))-INDEX(BP!$A$5:$A$9,MATCH(B13,BP!$A$5:$A$9,1)))*(B13-INDEX(BP!$A$5:$A$9,MATCH(B13,BP!$A$5:$A$9,1)))+INDEX(BP!$C$5:$C$9,MATCH(B13,BP!$A$5:$A$9,1)),0))</f>
        <v>23</v>
      </c>
      <c r="D13" s="12" t="str">
        <f aca="false">IF(NOT(ISNUMBER(C13)),"",INDEX(BP!$F$5:$F$9,MATCH(C13,BP!$E$5:$E$9,1)))</f>
        <v>ดีมาก</v>
      </c>
      <c r="E13" s="12" t="n">
        <f aca="false">YEAR(A13)</f>
        <v>2021</v>
      </c>
      <c r="F13" s="12" t="n">
        <f aca="false">MONTH(A13)</f>
        <v>1</v>
      </c>
      <c r="G13" s="12" t="n">
        <v>24</v>
      </c>
      <c r="H13" s="12" t="n">
        <v>50.4</v>
      </c>
      <c r="I13" s="12" t="n">
        <v>75</v>
      </c>
      <c r="J13" s="12" t="n">
        <v>5.6</v>
      </c>
      <c r="K13" s="12" t="n">
        <v>0.6</v>
      </c>
      <c r="L13" s="12" t="s">
        <v>36</v>
      </c>
    </row>
    <row r="14" customFormat="false" ht="15" hidden="false" customHeight="false" outlineLevel="0" collapsed="false">
      <c r="A14" s="11" t="n">
        <v>44209</v>
      </c>
      <c r="B14" s="12" t="n">
        <v>20</v>
      </c>
      <c r="C14" s="12" t="n">
        <f aca="false">IF(NOT(ISNUMBER(B14)),"",ROUND((INDEX(BP!$D$5:$D$9,MATCH(B14,BP!$A$5:$A$9,1))-INDEX(BP!$C$5:$C$9,MATCH(B14,BP!$A$5:$A$9,1)))/(INDEX(BP!$B$5:$B$9,MATCH(B14,BP!$A$5:$A$9,1))-INDEX(BP!$A$5:$A$9,MATCH(B14,BP!$A$5:$A$9,1)))*(B14-INDEX(BP!$A$5:$A$9,MATCH(B14,BP!$A$5:$A$9,1)))+INDEX(BP!$C$5:$C$9,MATCH(B14,BP!$A$5:$A$9,1)),0))</f>
        <v>38</v>
      </c>
      <c r="D14" s="12" t="str">
        <f aca="false">IF(NOT(ISNUMBER(C14)),"",INDEX(BP!$F$5:$F$9,MATCH(C14,BP!$E$5:$E$9,1)))</f>
        <v>ดี</v>
      </c>
      <c r="E14" s="12" t="n">
        <f aca="false">YEAR(A14)</f>
        <v>2021</v>
      </c>
      <c r="F14" s="12" t="n">
        <f aca="false">MONTH(A14)</f>
        <v>1</v>
      </c>
      <c r="G14" s="12" t="n">
        <v>23.9</v>
      </c>
      <c r="H14" s="12" t="n">
        <v>49.3</v>
      </c>
      <c r="I14" s="12" t="n">
        <v>78</v>
      </c>
      <c r="J14" s="12" t="n">
        <v>4.5</v>
      </c>
      <c r="K14" s="12" t="n">
        <v>0.2</v>
      </c>
      <c r="L14" s="12" t="s">
        <v>36</v>
      </c>
    </row>
    <row r="15" customFormat="false" ht="15" hidden="false" customHeight="false" outlineLevel="0" collapsed="false">
      <c r="A15" s="11" t="n">
        <v>44210</v>
      </c>
      <c r="B15" s="12" t="n">
        <v>21</v>
      </c>
      <c r="C15" s="12" t="n">
        <f aca="false">IF(NOT(ISNUMBER(B15)),"",ROUND((INDEX(BP!$D$5:$D$9,MATCH(B15,BP!$A$5:$A$9,1))-INDEX(BP!$C$5:$C$9,MATCH(B15,BP!$A$5:$A$9,1)))/(INDEX(BP!$B$5:$B$9,MATCH(B15,BP!$A$5:$A$9,1))-INDEX(BP!$A$5:$A$9,MATCH(B15,BP!$A$5:$A$9,1)))*(B15-INDEX(BP!$A$5:$A$9,MATCH(B15,BP!$A$5:$A$9,1)))+INDEX(BP!$C$5:$C$9,MATCH(B15,BP!$A$5:$A$9,1)),0))</f>
        <v>40</v>
      </c>
      <c r="D15" s="12" t="str">
        <f aca="false">IF(NOT(ISNUMBER(C15)),"",INDEX(BP!$F$5:$F$9,MATCH(C15,BP!$E$5:$E$9,1)))</f>
        <v>ดี</v>
      </c>
      <c r="E15" s="12" t="n">
        <f aca="false">YEAR(A15)</f>
        <v>2021</v>
      </c>
      <c r="F15" s="12" t="n">
        <f aca="false">MONTH(A15)</f>
        <v>1</v>
      </c>
      <c r="G15" s="12" t="n">
        <v>21</v>
      </c>
      <c r="H15" s="12" t="n">
        <v>43.6</v>
      </c>
      <c r="I15" s="12" t="n">
        <v>83</v>
      </c>
      <c r="J15" s="12" t="n">
        <v>2.8</v>
      </c>
      <c r="K15" s="12" t="n">
        <v>0</v>
      </c>
      <c r="L15" s="12" t="s">
        <v>36</v>
      </c>
    </row>
    <row r="16" customFormat="false" ht="15" hidden="false" customHeight="false" outlineLevel="0" collapsed="false">
      <c r="A16" s="11" t="n">
        <v>44211</v>
      </c>
      <c r="B16" s="12" t="n">
        <v>23</v>
      </c>
      <c r="C16" s="12" t="n">
        <f aca="false">IF(NOT(ISNUMBER(B16)),"",ROUND((INDEX(BP!$D$5:$D$9,MATCH(B16,BP!$A$5:$A$9,1))-INDEX(BP!$C$5:$C$9,MATCH(B16,BP!$A$5:$A$9,1)))/(INDEX(BP!$B$5:$B$9,MATCH(B16,BP!$A$5:$A$9,1))-INDEX(BP!$A$5:$A$9,MATCH(B16,BP!$A$5:$A$9,1)))*(B16-INDEX(BP!$A$5:$A$9,MATCH(B16,BP!$A$5:$A$9,1)))+INDEX(BP!$C$5:$C$9,MATCH(B16,BP!$A$5:$A$9,1)),0))</f>
        <v>45</v>
      </c>
      <c r="D16" s="12" t="str">
        <f aca="false">IF(NOT(ISNUMBER(C16)),"",INDEX(BP!$F$5:$F$9,MATCH(C16,BP!$E$5:$E$9,1)))</f>
        <v>ดี</v>
      </c>
      <c r="E16" s="12" t="n">
        <f aca="false">YEAR(A16)</f>
        <v>2021</v>
      </c>
      <c r="F16" s="12" t="n">
        <f aca="false">MONTH(A16)</f>
        <v>1</v>
      </c>
      <c r="G16" s="12" t="n">
        <v>20</v>
      </c>
      <c r="H16" s="12" t="n">
        <v>42.5</v>
      </c>
      <c r="I16" s="12" t="n">
        <v>93</v>
      </c>
      <c r="J16" s="12" t="n">
        <v>0</v>
      </c>
      <c r="K16" s="12" t="n">
        <v>0</v>
      </c>
      <c r="L16" s="12" t="s">
        <v>36</v>
      </c>
    </row>
    <row r="17" customFormat="false" ht="15" hidden="false" customHeight="false" outlineLevel="0" collapsed="false">
      <c r="A17" s="11" t="n">
        <v>44212</v>
      </c>
      <c r="B17" s="12" t="n">
        <v>18</v>
      </c>
      <c r="C17" s="12" t="n">
        <f aca="false">IF(NOT(ISNUMBER(B17)),"",ROUND((INDEX(BP!$D$5:$D$9,MATCH(B17,BP!$A$5:$A$9,1))-INDEX(BP!$C$5:$C$9,MATCH(B17,BP!$A$5:$A$9,1)))/(INDEX(BP!$B$5:$B$9,MATCH(B17,BP!$A$5:$A$9,1))-INDEX(BP!$A$5:$A$9,MATCH(B17,BP!$A$5:$A$9,1)))*(B17-INDEX(BP!$A$5:$A$9,MATCH(B17,BP!$A$5:$A$9,1)))+INDEX(BP!$C$5:$C$9,MATCH(B17,BP!$A$5:$A$9,1)),0))</f>
        <v>33</v>
      </c>
      <c r="D17" s="12" t="str">
        <f aca="false">IF(NOT(ISNUMBER(C17)),"",INDEX(BP!$F$5:$F$9,MATCH(C17,BP!$E$5:$E$9,1)))</f>
        <v>ดี</v>
      </c>
      <c r="E17" s="12" t="n">
        <f aca="false">YEAR(A17)</f>
        <v>2021</v>
      </c>
      <c r="F17" s="12" t="n">
        <f aca="false">MONTH(A17)</f>
        <v>1</v>
      </c>
      <c r="G17" s="12" t="n">
        <v>16.6</v>
      </c>
      <c r="H17" s="12" t="n">
        <v>33.5</v>
      </c>
      <c r="I17" s="12" t="n">
        <v>95</v>
      </c>
      <c r="J17" s="12" t="n">
        <v>2.1</v>
      </c>
      <c r="K17" s="12" t="n">
        <v>0</v>
      </c>
      <c r="L17" s="12" t="s">
        <v>35</v>
      </c>
    </row>
    <row r="18" customFormat="false" ht="15" hidden="false" customHeight="false" outlineLevel="0" collapsed="false">
      <c r="A18" s="11" t="n">
        <v>44213</v>
      </c>
      <c r="B18" s="12" t="n">
        <v>19</v>
      </c>
      <c r="C18" s="12" t="n">
        <f aca="false">IF(NOT(ISNUMBER(B18)),"",ROUND((INDEX(BP!$D$5:$D$9,MATCH(B18,BP!$A$5:$A$9,1))-INDEX(BP!$C$5:$C$9,MATCH(B18,BP!$A$5:$A$9,1)))/(INDEX(BP!$B$5:$B$9,MATCH(B18,BP!$A$5:$A$9,1))-INDEX(BP!$A$5:$A$9,MATCH(B18,BP!$A$5:$A$9,1)))*(B18-INDEX(BP!$A$5:$A$9,MATCH(B18,BP!$A$5:$A$9,1)))+INDEX(BP!$C$5:$C$9,MATCH(B18,BP!$A$5:$A$9,1)),0))</f>
        <v>35</v>
      </c>
      <c r="D18" s="12" t="str">
        <f aca="false">IF(NOT(ISNUMBER(C18)),"",INDEX(BP!$F$5:$F$9,MATCH(C18,BP!$E$5:$E$9,1)))</f>
        <v>ดี</v>
      </c>
      <c r="E18" s="12" t="n">
        <f aca="false">YEAR(A18)</f>
        <v>2021</v>
      </c>
      <c r="F18" s="12" t="n">
        <f aca="false">MONTH(A18)</f>
        <v>1</v>
      </c>
      <c r="G18" s="12" t="n">
        <v>22.1</v>
      </c>
      <c r="H18" s="12" t="n">
        <v>46.1</v>
      </c>
      <c r="I18" s="12" t="n">
        <v>88</v>
      </c>
      <c r="J18" s="12" t="n">
        <v>0</v>
      </c>
      <c r="K18" s="12" t="n">
        <v>2.2</v>
      </c>
      <c r="L18" s="12" t="s">
        <v>35</v>
      </c>
    </row>
    <row r="19" customFormat="false" ht="15" hidden="false" customHeight="false" outlineLevel="0" collapsed="false">
      <c r="A19" s="11" t="n">
        <v>44214</v>
      </c>
      <c r="B19" s="12" t="n">
        <v>21</v>
      </c>
      <c r="C19" s="12" t="n">
        <f aca="false">IF(NOT(ISNUMBER(B19)),"",ROUND((INDEX(BP!$D$5:$D$9,MATCH(B19,BP!$A$5:$A$9,1))-INDEX(BP!$C$5:$C$9,MATCH(B19,BP!$A$5:$A$9,1)))/(INDEX(BP!$B$5:$B$9,MATCH(B19,BP!$A$5:$A$9,1))-INDEX(BP!$A$5:$A$9,MATCH(B19,BP!$A$5:$A$9,1)))*(B19-INDEX(BP!$A$5:$A$9,MATCH(B19,BP!$A$5:$A$9,1)))+INDEX(BP!$C$5:$C$9,MATCH(B19,BP!$A$5:$A$9,1)),0))</f>
        <v>40</v>
      </c>
      <c r="D19" s="12" t="str">
        <f aca="false">IF(NOT(ISNUMBER(C19)),"",INDEX(BP!$F$5:$F$9,MATCH(C19,BP!$E$5:$E$9,1)))</f>
        <v>ดี</v>
      </c>
      <c r="E19" s="12" t="n">
        <f aca="false">YEAR(A19)</f>
        <v>2021</v>
      </c>
      <c r="F19" s="12" t="n">
        <f aca="false">MONTH(A19)</f>
        <v>1</v>
      </c>
      <c r="G19" s="12" t="n">
        <v>28.1</v>
      </c>
      <c r="H19" s="12" t="n">
        <v>57.2</v>
      </c>
      <c r="I19" s="12" t="n">
        <v>95</v>
      </c>
      <c r="J19" s="12" t="n">
        <v>1.4</v>
      </c>
      <c r="K19" s="12" t="n">
        <v>0</v>
      </c>
      <c r="L19" s="12" t="s">
        <v>36</v>
      </c>
    </row>
    <row r="20" customFormat="false" ht="15" hidden="false" customHeight="false" outlineLevel="0" collapsed="false">
      <c r="A20" s="11" t="n">
        <v>44215</v>
      </c>
      <c r="B20" s="12" t="n">
        <v>23</v>
      </c>
      <c r="C20" s="12" t="n">
        <f aca="false">IF(NOT(ISNUMBER(B20)),"",ROUND((INDEX(BP!$D$5:$D$9,MATCH(B20,BP!$A$5:$A$9,1))-INDEX(BP!$C$5:$C$9,MATCH(B20,BP!$A$5:$A$9,1)))/(INDEX(BP!$B$5:$B$9,MATCH(B20,BP!$A$5:$A$9,1))-INDEX(BP!$A$5:$A$9,MATCH(B20,BP!$A$5:$A$9,1)))*(B20-INDEX(BP!$A$5:$A$9,MATCH(B20,BP!$A$5:$A$9,1)))+INDEX(BP!$C$5:$C$9,MATCH(B20,BP!$A$5:$A$9,1)),0))</f>
        <v>45</v>
      </c>
      <c r="D20" s="12" t="str">
        <f aca="false">IF(NOT(ISNUMBER(C20)),"",INDEX(BP!$F$5:$F$9,MATCH(C20,BP!$E$5:$E$9,1)))</f>
        <v>ดี</v>
      </c>
      <c r="E20" s="12" t="n">
        <f aca="false">YEAR(A20)</f>
        <v>2021</v>
      </c>
      <c r="F20" s="12" t="n">
        <f aca="false">MONTH(A20)</f>
        <v>1</v>
      </c>
      <c r="G20" s="12" t="n">
        <v>20.3</v>
      </c>
      <c r="H20" s="12" t="n">
        <v>44.6</v>
      </c>
      <c r="I20" s="12" t="n">
        <v>96</v>
      </c>
      <c r="J20" s="12" t="n">
        <v>0.1</v>
      </c>
      <c r="K20" s="12" t="n">
        <v>0</v>
      </c>
      <c r="L20" s="12" t="s">
        <v>36</v>
      </c>
    </row>
    <row r="21" customFormat="false" ht="15" hidden="false" customHeight="false" outlineLevel="0" collapsed="false">
      <c r="A21" s="11" t="n">
        <v>44216</v>
      </c>
      <c r="B21" s="12" t="n">
        <v>17</v>
      </c>
      <c r="C21" s="12" t="n">
        <f aca="false">IF(NOT(ISNUMBER(B21)),"",ROUND((INDEX(BP!$D$5:$D$9,MATCH(B21,BP!$A$5:$A$9,1))-INDEX(BP!$C$5:$C$9,MATCH(B21,BP!$A$5:$A$9,1)))/(INDEX(BP!$B$5:$B$9,MATCH(B21,BP!$A$5:$A$9,1))-INDEX(BP!$A$5:$A$9,MATCH(B21,BP!$A$5:$A$9,1)))*(B21-INDEX(BP!$A$5:$A$9,MATCH(B21,BP!$A$5:$A$9,1)))+INDEX(BP!$C$5:$C$9,MATCH(B21,BP!$A$5:$A$9,1)),0))</f>
        <v>31</v>
      </c>
      <c r="D21" s="12" t="str">
        <f aca="false">IF(NOT(ISNUMBER(C21)),"",INDEX(BP!$F$5:$F$9,MATCH(C21,BP!$E$5:$E$9,1)))</f>
        <v>ดี</v>
      </c>
      <c r="E21" s="12" t="n">
        <f aca="false">YEAR(A21)</f>
        <v>2021</v>
      </c>
      <c r="F21" s="12" t="n">
        <f aca="false">MONTH(A21)</f>
        <v>1</v>
      </c>
      <c r="G21" s="12" t="n">
        <v>14.5</v>
      </c>
      <c r="H21" s="12" t="n">
        <v>33.5</v>
      </c>
      <c r="I21" s="12" t="n">
        <v>88</v>
      </c>
      <c r="J21" s="12" t="n">
        <v>0</v>
      </c>
      <c r="K21" s="12" t="n">
        <v>0</v>
      </c>
      <c r="L21" s="12" t="s">
        <v>36</v>
      </c>
    </row>
    <row r="22" customFormat="false" ht="15" hidden="false" customHeight="false" outlineLevel="0" collapsed="false">
      <c r="A22" s="11" t="n">
        <v>44217</v>
      </c>
      <c r="B22" s="12" t="n">
        <v>29</v>
      </c>
      <c r="C22" s="12" t="n">
        <f aca="false">IF(NOT(ISNUMBER(B22)),"",ROUND((INDEX(BP!$D$5:$D$9,MATCH(B22,BP!$A$5:$A$9,1))-INDEX(BP!$C$5:$C$9,MATCH(B22,BP!$A$5:$A$9,1)))/(INDEX(BP!$B$5:$B$9,MATCH(B22,BP!$A$5:$A$9,1))-INDEX(BP!$A$5:$A$9,MATCH(B22,BP!$A$5:$A$9,1)))*(B22-INDEX(BP!$A$5:$A$9,MATCH(B22,BP!$A$5:$A$9,1)))+INDEX(BP!$C$5:$C$9,MATCH(B22,BP!$A$5:$A$9,1)),0))</f>
        <v>66</v>
      </c>
      <c r="D22" s="12" t="str">
        <f aca="false">IF(NOT(ISNUMBER(C22)),"",INDEX(BP!$F$5:$F$9,MATCH(C22,BP!$E$5:$E$9,1)))</f>
        <v>ปานกลาง</v>
      </c>
      <c r="E22" s="12" t="n">
        <f aca="false">YEAR(A22)</f>
        <v>2021</v>
      </c>
      <c r="F22" s="12" t="n">
        <f aca="false">MONTH(A22)</f>
        <v>1</v>
      </c>
      <c r="G22" s="12" t="n">
        <v>14</v>
      </c>
      <c r="H22" s="12" t="n">
        <v>32</v>
      </c>
      <c r="I22" s="12" t="n">
        <v>75</v>
      </c>
      <c r="J22" s="12" t="n">
        <v>0.5</v>
      </c>
      <c r="K22" s="12" t="n">
        <v>0</v>
      </c>
      <c r="L22" s="12" t="s">
        <v>36</v>
      </c>
    </row>
    <row r="23" customFormat="false" ht="15" hidden="false" customHeight="false" outlineLevel="0" collapsed="false">
      <c r="A23" s="11" t="n">
        <v>44218</v>
      </c>
      <c r="B23" s="12" t="n">
        <v>34</v>
      </c>
      <c r="C23" s="12" t="n">
        <f aca="false">IF(NOT(ISNUMBER(B23)),"",ROUND((INDEX(BP!$D$5:$D$9,MATCH(B23,BP!$A$5:$A$9,1))-INDEX(BP!$C$5:$C$9,MATCH(B23,BP!$A$5:$A$9,1)))/(INDEX(BP!$B$5:$B$9,MATCH(B23,BP!$A$5:$A$9,1))-INDEX(BP!$A$5:$A$9,MATCH(B23,BP!$A$5:$A$9,1)))*(B23-INDEX(BP!$A$5:$A$9,MATCH(B23,BP!$A$5:$A$9,1)))+INDEX(BP!$C$5:$C$9,MATCH(B23,BP!$A$5:$A$9,1)),0))</f>
        <v>86</v>
      </c>
      <c r="D23" s="12" t="str">
        <f aca="false">IF(NOT(ISNUMBER(C23)),"",INDEX(BP!$F$5:$F$9,MATCH(C23,BP!$E$5:$E$9,1)))</f>
        <v>ปานกลาง</v>
      </c>
      <c r="E23" s="12" t="n">
        <f aca="false">YEAR(A23)</f>
        <v>2021</v>
      </c>
      <c r="F23" s="12" t="n">
        <f aca="false">MONTH(A23)</f>
        <v>1</v>
      </c>
      <c r="G23" s="12" t="n">
        <v>11.4</v>
      </c>
      <c r="H23" s="12" t="n">
        <v>27.7</v>
      </c>
      <c r="I23" s="12" t="n">
        <v>82</v>
      </c>
      <c r="J23" s="12" t="n">
        <v>0.2</v>
      </c>
      <c r="K23" s="12" t="n">
        <v>0</v>
      </c>
      <c r="L23" s="12" t="s">
        <v>36</v>
      </c>
    </row>
    <row r="24" customFormat="false" ht="15" hidden="false" customHeight="false" outlineLevel="0" collapsed="false">
      <c r="A24" s="11" t="n">
        <v>44219</v>
      </c>
      <c r="B24" s="12" t="n">
        <v>22</v>
      </c>
      <c r="C24" s="12" t="n">
        <f aca="false">IF(NOT(ISNUMBER(B24)),"",ROUND((INDEX(BP!$D$5:$D$9,MATCH(B24,BP!$A$5:$A$9,1))-INDEX(BP!$C$5:$C$9,MATCH(B24,BP!$A$5:$A$9,1)))/(INDEX(BP!$B$5:$B$9,MATCH(B24,BP!$A$5:$A$9,1))-INDEX(BP!$A$5:$A$9,MATCH(B24,BP!$A$5:$A$9,1)))*(B24-INDEX(BP!$A$5:$A$9,MATCH(B24,BP!$A$5:$A$9,1)))+INDEX(BP!$C$5:$C$9,MATCH(B24,BP!$A$5:$A$9,1)),0))</f>
        <v>43</v>
      </c>
      <c r="D24" s="12" t="str">
        <f aca="false">IF(NOT(ISNUMBER(C24)),"",INDEX(BP!$F$5:$F$9,MATCH(C24,BP!$E$5:$E$9,1)))</f>
        <v>ดี</v>
      </c>
      <c r="E24" s="12" t="n">
        <f aca="false">YEAR(A24)</f>
        <v>2021</v>
      </c>
      <c r="F24" s="12" t="n">
        <f aca="false">MONTH(A24)</f>
        <v>1</v>
      </c>
      <c r="G24" s="12" t="n">
        <v>15.2</v>
      </c>
      <c r="H24" s="12" t="n">
        <v>34.2</v>
      </c>
      <c r="I24" s="12" t="n">
        <v>102</v>
      </c>
      <c r="J24" s="12" t="n">
        <v>0.2</v>
      </c>
      <c r="K24" s="12" t="n">
        <v>0.6</v>
      </c>
      <c r="L24" s="12" t="s">
        <v>35</v>
      </c>
    </row>
    <row r="25" customFormat="false" ht="15" hidden="false" customHeight="false" outlineLevel="0" collapsed="false">
      <c r="A25" s="11" t="n">
        <v>44220</v>
      </c>
      <c r="B25" s="12" t="n">
        <v>15</v>
      </c>
      <c r="C25" s="12" t="n">
        <f aca="false">IF(NOT(ISNUMBER(B25)),"",ROUND((INDEX(BP!$D$5:$D$9,MATCH(B25,BP!$A$5:$A$9,1))-INDEX(BP!$C$5:$C$9,MATCH(B25,BP!$A$5:$A$9,1)))/(INDEX(BP!$B$5:$B$9,MATCH(B25,BP!$A$5:$A$9,1))-INDEX(BP!$A$5:$A$9,MATCH(B25,BP!$A$5:$A$9,1)))*(B25-INDEX(BP!$A$5:$A$9,MATCH(B25,BP!$A$5:$A$9,1)))+INDEX(BP!$C$5:$C$9,MATCH(B25,BP!$A$5:$A$9,1)),0))</f>
        <v>25</v>
      </c>
      <c r="D25" s="12" t="str">
        <f aca="false">IF(NOT(ISNUMBER(C25)),"",INDEX(BP!$F$5:$F$9,MATCH(C25,BP!$E$5:$E$9,1)))</f>
        <v>ดีมาก</v>
      </c>
      <c r="E25" s="12" t="n">
        <f aca="false">YEAR(A25)</f>
        <v>2021</v>
      </c>
      <c r="F25" s="12" t="n">
        <f aca="false">MONTH(A25)</f>
        <v>1</v>
      </c>
      <c r="G25" s="12" t="n">
        <v>17.7</v>
      </c>
      <c r="H25" s="12" t="n">
        <v>37.8</v>
      </c>
      <c r="I25" s="12" t="n">
        <v>99</v>
      </c>
      <c r="J25" s="12" t="n">
        <v>0.5</v>
      </c>
      <c r="K25" s="12" t="n">
        <v>0</v>
      </c>
      <c r="L25" s="12" t="s">
        <v>35</v>
      </c>
    </row>
    <row r="26" customFormat="false" ht="15" hidden="false" customHeight="false" outlineLevel="0" collapsed="false">
      <c r="A26" s="11" t="n">
        <v>44221</v>
      </c>
      <c r="B26" s="12" t="n">
        <v>13</v>
      </c>
      <c r="C26" s="12" t="n">
        <f aca="false">IF(NOT(ISNUMBER(B26)),"",ROUND((INDEX(BP!$D$5:$D$9,MATCH(B26,BP!$A$5:$A$9,1))-INDEX(BP!$C$5:$C$9,MATCH(B26,BP!$A$5:$A$9,1)))/(INDEX(BP!$B$5:$B$9,MATCH(B26,BP!$A$5:$A$9,1))-INDEX(BP!$A$5:$A$9,MATCH(B26,BP!$A$5:$A$9,1)))*(B26-INDEX(BP!$A$5:$A$9,MATCH(B26,BP!$A$5:$A$9,1)))+INDEX(BP!$C$5:$C$9,MATCH(B26,BP!$A$5:$A$9,1)),0))</f>
        <v>22</v>
      </c>
      <c r="D26" s="12" t="str">
        <f aca="false">IF(NOT(ISNUMBER(C26)),"",INDEX(BP!$F$5:$F$9,MATCH(C26,BP!$E$5:$E$9,1)))</f>
        <v>ดีมาก</v>
      </c>
      <c r="E26" s="12" t="n">
        <f aca="false">YEAR(A26)</f>
        <v>2021</v>
      </c>
      <c r="F26" s="12" t="n">
        <f aca="false">MONTH(A26)</f>
        <v>1</v>
      </c>
      <c r="G26" s="12" t="n">
        <v>17.8</v>
      </c>
      <c r="H26" s="12" t="n">
        <v>40</v>
      </c>
      <c r="I26" s="12" t="n">
        <v>93</v>
      </c>
      <c r="J26" s="12" t="n">
        <v>0.1</v>
      </c>
      <c r="K26" s="12" t="n">
        <v>0</v>
      </c>
      <c r="L26" s="12" t="s">
        <v>36</v>
      </c>
    </row>
    <row r="27" customFormat="false" ht="15" hidden="false" customHeight="false" outlineLevel="0" collapsed="false">
      <c r="A27" s="11" t="n">
        <v>44222</v>
      </c>
      <c r="B27" s="12" t="n">
        <v>18</v>
      </c>
      <c r="C27" s="12" t="n">
        <f aca="false">IF(NOT(ISNUMBER(B27)),"",ROUND((INDEX(BP!$D$5:$D$9,MATCH(B27,BP!$A$5:$A$9,1))-INDEX(BP!$C$5:$C$9,MATCH(B27,BP!$A$5:$A$9,1)))/(INDEX(BP!$B$5:$B$9,MATCH(B27,BP!$A$5:$A$9,1))-INDEX(BP!$A$5:$A$9,MATCH(B27,BP!$A$5:$A$9,1)))*(B27-INDEX(BP!$A$5:$A$9,MATCH(B27,BP!$A$5:$A$9,1)))+INDEX(BP!$C$5:$C$9,MATCH(B27,BP!$A$5:$A$9,1)),0))</f>
        <v>33</v>
      </c>
      <c r="D27" s="12" t="str">
        <f aca="false">IF(NOT(ISNUMBER(C27)),"",INDEX(BP!$F$5:$F$9,MATCH(C27,BP!$E$5:$E$9,1)))</f>
        <v>ดี</v>
      </c>
      <c r="E27" s="12" t="n">
        <f aca="false">YEAR(A27)</f>
        <v>2021</v>
      </c>
      <c r="F27" s="12" t="n">
        <f aca="false">MONTH(A27)</f>
        <v>1</v>
      </c>
      <c r="G27" s="12" t="n">
        <v>19.9</v>
      </c>
      <c r="H27" s="12" t="n">
        <v>42.5</v>
      </c>
      <c r="I27" s="12" t="n">
        <v>98</v>
      </c>
      <c r="J27" s="12" t="n">
        <v>0</v>
      </c>
      <c r="K27" s="12" t="n">
        <v>0</v>
      </c>
      <c r="L27" s="12" t="s">
        <v>36</v>
      </c>
    </row>
    <row r="28" customFormat="false" ht="15" hidden="false" customHeight="false" outlineLevel="0" collapsed="false">
      <c r="A28" s="11" t="n">
        <v>44223</v>
      </c>
      <c r="B28" s="12" t="n">
        <v>12</v>
      </c>
      <c r="C28" s="12" t="n">
        <f aca="false">IF(NOT(ISNUMBER(B28)),"",ROUND((INDEX(BP!$D$5:$D$9,MATCH(B28,BP!$A$5:$A$9,1))-INDEX(BP!$C$5:$C$9,MATCH(B28,BP!$A$5:$A$9,1)))/(INDEX(BP!$B$5:$B$9,MATCH(B28,BP!$A$5:$A$9,1))-INDEX(BP!$A$5:$A$9,MATCH(B28,BP!$A$5:$A$9,1)))*(B28-INDEX(BP!$A$5:$A$9,MATCH(B28,BP!$A$5:$A$9,1)))+INDEX(BP!$C$5:$C$9,MATCH(B28,BP!$A$5:$A$9,1)),0))</f>
        <v>20</v>
      </c>
      <c r="D28" s="12" t="str">
        <f aca="false">IF(NOT(ISNUMBER(C28)),"",INDEX(BP!$F$5:$F$9,MATCH(C28,BP!$E$5:$E$9,1)))</f>
        <v>ดีมาก</v>
      </c>
      <c r="E28" s="12" t="n">
        <f aca="false">YEAR(A28)</f>
        <v>2021</v>
      </c>
      <c r="F28" s="12" t="n">
        <f aca="false">MONTH(A28)</f>
        <v>1</v>
      </c>
      <c r="G28" s="12" t="n">
        <v>19.7</v>
      </c>
      <c r="H28" s="12" t="n">
        <v>43.6</v>
      </c>
      <c r="I28" s="12" t="n">
        <v>96</v>
      </c>
      <c r="J28" s="12" t="n">
        <v>1.2</v>
      </c>
      <c r="K28" s="12" t="n">
        <v>0</v>
      </c>
      <c r="L28" s="12" t="s">
        <v>36</v>
      </c>
    </row>
    <row r="29" customFormat="false" ht="15" hidden="false" customHeight="false" outlineLevel="0" collapsed="false">
      <c r="A29" s="11" t="n">
        <v>44224</v>
      </c>
      <c r="B29" s="12" t="n">
        <v>14</v>
      </c>
      <c r="C29" s="12" t="n">
        <f aca="false">IF(NOT(ISNUMBER(B29)),"",ROUND((INDEX(BP!$D$5:$D$9,MATCH(B29,BP!$A$5:$A$9,1))-INDEX(BP!$C$5:$C$9,MATCH(B29,BP!$A$5:$A$9,1)))/(INDEX(BP!$B$5:$B$9,MATCH(B29,BP!$A$5:$A$9,1))-INDEX(BP!$A$5:$A$9,MATCH(B29,BP!$A$5:$A$9,1)))*(B29-INDEX(BP!$A$5:$A$9,MATCH(B29,BP!$A$5:$A$9,1)))+INDEX(BP!$C$5:$C$9,MATCH(B29,BP!$A$5:$A$9,1)),0))</f>
        <v>23</v>
      </c>
      <c r="D29" s="12" t="str">
        <f aca="false">IF(NOT(ISNUMBER(C29)),"",INDEX(BP!$F$5:$F$9,MATCH(C29,BP!$E$5:$E$9,1)))</f>
        <v>ดีมาก</v>
      </c>
      <c r="E29" s="12" t="n">
        <f aca="false">YEAR(A29)</f>
        <v>2021</v>
      </c>
      <c r="F29" s="12" t="n">
        <f aca="false">MONTH(A29)</f>
        <v>1</v>
      </c>
      <c r="G29" s="12" t="n">
        <v>19.7</v>
      </c>
      <c r="H29" s="12" t="n">
        <v>46.8</v>
      </c>
      <c r="I29" s="12" t="n">
        <v>93</v>
      </c>
      <c r="J29" s="12" t="n">
        <v>0</v>
      </c>
      <c r="K29" s="12" t="n">
        <v>0</v>
      </c>
      <c r="L29" s="12" t="s">
        <v>36</v>
      </c>
    </row>
    <row r="30" customFormat="false" ht="15" hidden="false" customHeight="false" outlineLevel="0" collapsed="false">
      <c r="A30" s="11" t="n">
        <v>44225</v>
      </c>
      <c r="B30" s="12" t="n">
        <v>16</v>
      </c>
      <c r="C30" s="12" t="n">
        <f aca="false">IF(NOT(ISNUMBER(B30)),"",ROUND((INDEX(BP!$D$5:$D$9,MATCH(B30,BP!$A$5:$A$9,1))-INDEX(BP!$C$5:$C$9,MATCH(B30,BP!$A$5:$A$9,1)))/(INDEX(BP!$B$5:$B$9,MATCH(B30,BP!$A$5:$A$9,1))-INDEX(BP!$A$5:$A$9,MATCH(B30,BP!$A$5:$A$9,1)))*(B30-INDEX(BP!$A$5:$A$9,MATCH(B30,BP!$A$5:$A$9,1)))+INDEX(BP!$C$5:$C$9,MATCH(B30,BP!$A$5:$A$9,1)),0))</f>
        <v>28</v>
      </c>
      <c r="D30" s="12" t="str">
        <f aca="false">IF(NOT(ISNUMBER(C30)),"",INDEX(BP!$F$5:$F$9,MATCH(C30,BP!$E$5:$E$9,1)))</f>
        <v>ดี</v>
      </c>
      <c r="E30" s="12" t="n">
        <f aca="false">YEAR(A30)</f>
        <v>2021</v>
      </c>
      <c r="F30" s="12" t="n">
        <f aca="false">MONTH(A30)</f>
        <v>1</v>
      </c>
      <c r="G30" s="12" t="n">
        <v>23.5</v>
      </c>
      <c r="H30" s="12" t="n">
        <v>49</v>
      </c>
      <c r="I30" s="12" t="n">
        <v>100</v>
      </c>
      <c r="J30" s="12" t="n">
        <v>0</v>
      </c>
      <c r="K30" s="12" t="n">
        <v>0</v>
      </c>
      <c r="L30" s="12" t="s">
        <v>36</v>
      </c>
    </row>
    <row r="31" customFormat="false" ht="15" hidden="false" customHeight="false" outlineLevel="0" collapsed="false">
      <c r="A31" s="11" t="n">
        <v>44226</v>
      </c>
      <c r="B31" s="12" t="n">
        <v>19</v>
      </c>
      <c r="C31" s="12" t="n">
        <f aca="false">IF(NOT(ISNUMBER(B31)),"",ROUND((INDEX(BP!$D$5:$D$9,MATCH(B31,BP!$A$5:$A$9,1))-INDEX(BP!$C$5:$C$9,MATCH(B31,BP!$A$5:$A$9,1)))/(INDEX(BP!$B$5:$B$9,MATCH(B31,BP!$A$5:$A$9,1))-INDEX(BP!$A$5:$A$9,MATCH(B31,BP!$A$5:$A$9,1)))*(B31-INDEX(BP!$A$5:$A$9,MATCH(B31,BP!$A$5:$A$9,1)))+INDEX(BP!$C$5:$C$9,MATCH(B31,BP!$A$5:$A$9,1)),0))</f>
        <v>35</v>
      </c>
      <c r="D31" s="12" t="str">
        <f aca="false">IF(NOT(ISNUMBER(C31)),"",INDEX(BP!$F$5:$F$9,MATCH(C31,BP!$E$5:$E$9,1)))</f>
        <v>ดี</v>
      </c>
      <c r="E31" s="12" t="n">
        <f aca="false">YEAR(A31)</f>
        <v>2021</v>
      </c>
      <c r="F31" s="12" t="n">
        <f aca="false">MONTH(A31)</f>
        <v>1</v>
      </c>
      <c r="G31" s="12" t="n">
        <v>23.8</v>
      </c>
      <c r="H31" s="12" t="n">
        <v>50.4</v>
      </c>
      <c r="I31" s="12" t="n">
        <v>96</v>
      </c>
      <c r="J31" s="12" t="n">
        <v>0</v>
      </c>
      <c r="K31" s="12" t="n">
        <v>0</v>
      </c>
      <c r="L31" s="12" t="s">
        <v>35</v>
      </c>
    </row>
    <row r="32" customFormat="false" ht="15" hidden="false" customHeight="false" outlineLevel="0" collapsed="false">
      <c r="A32" s="11" t="n">
        <v>44227</v>
      </c>
      <c r="B32" s="12" t="n">
        <v>21</v>
      </c>
      <c r="C32" s="12" t="n">
        <f aca="false">IF(NOT(ISNUMBER(B32)),"",ROUND((INDEX(BP!$D$5:$D$9,MATCH(B32,BP!$A$5:$A$9,1))-INDEX(BP!$C$5:$C$9,MATCH(B32,BP!$A$5:$A$9,1)))/(INDEX(BP!$B$5:$B$9,MATCH(B32,BP!$A$5:$A$9,1))-INDEX(BP!$A$5:$A$9,MATCH(B32,BP!$A$5:$A$9,1)))*(B32-INDEX(BP!$A$5:$A$9,MATCH(B32,BP!$A$5:$A$9,1)))+INDEX(BP!$C$5:$C$9,MATCH(B32,BP!$A$5:$A$9,1)),0))</f>
        <v>40</v>
      </c>
      <c r="D32" s="12" t="str">
        <f aca="false">IF(NOT(ISNUMBER(C32)),"",INDEX(BP!$F$5:$F$9,MATCH(C32,BP!$E$5:$E$9,1)))</f>
        <v>ดี</v>
      </c>
      <c r="E32" s="12" t="n">
        <f aca="false">YEAR(A32)</f>
        <v>2021</v>
      </c>
      <c r="F32" s="12" t="n">
        <f aca="false">MONTH(A32)</f>
        <v>1</v>
      </c>
      <c r="G32" s="12" t="n">
        <v>23.5</v>
      </c>
      <c r="H32" s="12" t="n">
        <v>48.2</v>
      </c>
      <c r="I32" s="12" t="n">
        <v>91</v>
      </c>
      <c r="J32" s="12" t="n">
        <v>2.4</v>
      </c>
      <c r="K32" s="12" t="n">
        <v>0</v>
      </c>
      <c r="L32" s="12" t="s">
        <v>35</v>
      </c>
    </row>
    <row r="33" customFormat="false" ht="15" hidden="false" customHeight="false" outlineLevel="0" collapsed="false">
      <c r="A33" s="11" t="n">
        <v>44228</v>
      </c>
      <c r="B33" s="12" t="n">
        <v>16</v>
      </c>
      <c r="C33" s="12" t="n">
        <f aca="false">IF(NOT(ISNUMBER(B33)),"",ROUND((INDEX(BP!$D$5:$D$9,MATCH(B33,BP!$A$5:$A$9,1))-INDEX(BP!$C$5:$C$9,MATCH(B33,BP!$A$5:$A$9,1)))/(INDEX(BP!$B$5:$B$9,MATCH(B33,BP!$A$5:$A$9,1))-INDEX(BP!$A$5:$A$9,MATCH(B33,BP!$A$5:$A$9,1)))*(B33-INDEX(BP!$A$5:$A$9,MATCH(B33,BP!$A$5:$A$9,1)))+INDEX(BP!$C$5:$C$9,MATCH(B33,BP!$A$5:$A$9,1)),0))</f>
        <v>28</v>
      </c>
      <c r="D33" s="12" t="str">
        <f aca="false">IF(NOT(ISNUMBER(C33)),"",INDEX(BP!$F$5:$F$9,MATCH(C33,BP!$E$5:$E$9,1)))</f>
        <v>ดี</v>
      </c>
      <c r="E33" s="12" t="n">
        <f aca="false">YEAR(A33)</f>
        <v>2021</v>
      </c>
      <c r="F33" s="12" t="n">
        <f aca="false">MONTH(A33)</f>
        <v>2</v>
      </c>
      <c r="G33" s="12" t="n">
        <v>24.2</v>
      </c>
      <c r="H33" s="12" t="n">
        <v>51.1</v>
      </c>
      <c r="I33" s="12" t="n">
        <v>87</v>
      </c>
      <c r="J33" s="12" t="n">
        <v>2.1</v>
      </c>
      <c r="K33" s="12" t="n">
        <v>0</v>
      </c>
      <c r="L33" s="12" t="s">
        <v>36</v>
      </c>
    </row>
    <row r="34" customFormat="false" ht="15" hidden="false" customHeight="false" outlineLevel="0" collapsed="false">
      <c r="A34" s="11" t="n">
        <v>44229</v>
      </c>
      <c r="B34" s="12" t="n">
        <v>17</v>
      </c>
      <c r="C34" s="12" t="n">
        <f aca="false">IF(NOT(ISNUMBER(B34)),"",ROUND((INDEX(BP!$D$5:$D$9,MATCH(B34,BP!$A$5:$A$9,1))-INDEX(BP!$C$5:$C$9,MATCH(B34,BP!$A$5:$A$9,1)))/(INDEX(BP!$B$5:$B$9,MATCH(B34,BP!$A$5:$A$9,1))-INDEX(BP!$A$5:$A$9,MATCH(B34,BP!$A$5:$A$9,1)))*(B34-INDEX(BP!$A$5:$A$9,MATCH(B34,BP!$A$5:$A$9,1)))+INDEX(BP!$C$5:$C$9,MATCH(B34,BP!$A$5:$A$9,1)),0))</f>
        <v>31</v>
      </c>
      <c r="D34" s="12" t="str">
        <f aca="false">IF(NOT(ISNUMBER(C34)),"",INDEX(BP!$F$5:$F$9,MATCH(C34,BP!$E$5:$E$9,1)))</f>
        <v>ดี</v>
      </c>
      <c r="E34" s="12" t="n">
        <f aca="false">YEAR(A34)</f>
        <v>2021</v>
      </c>
      <c r="F34" s="12" t="n">
        <f aca="false">MONTH(A34)</f>
        <v>2</v>
      </c>
      <c r="G34" s="12" t="n">
        <v>19.5</v>
      </c>
      <c r="H34" s="12" t="n">
        <v>43.2</v>
      </c>
      <c r="I34" s="12" t="n">
        <v>91</v>
      </c>
      <c r="J34" s="12" t="n">
        <v>0</v>
      </c>
      <c r="K34" s="12" t="n">
        <v>0</v>
      </c>
      <c r="L34" s="12" t="s">
        <v>36</v>
      </c>
    </row>
    <row r="35" customFormat="false" ht="15" hidden="false" customHeight="false" outlineLevel="0" collapsed="false">
      <c r="A35" s="11" t="n">
        <v>44230</v>
      </c>
      <c r="B35" s="12" t="n">
        <v>19</v>
      </c>
      <c r="C35" s="12" t="n">
        <f aca="false">IF(NOT(ISNUMBER(B35)),"",ROUND((INDEX(BP!$D$5:$D$9,MATCH(B35,BP!$A$5:$A$9,1))-INDEX(BP!$C$5:$C$9,MATCH(B35,BP!$A$5:$A$9,1)))/(INDEX(BP!$B$5:$B$9,MATCH(B35,BP!$A$5:$A$9,1))-INDEX(BP!$A$5:$A$9,MATCH(B35,BP!$A$5:$A$9,1)))*(B35-INDEX(BP!$A$5:$A$9,MATCH(B35,BP!$A$5:$A$9,1)))+INDEX(BP!$C$5:$C$9,MATCH(B35,BP!$A$5:$A$9,1)),0))</f>
        <v>35</v>
      </c>
      <c r="D35" s="12" t="str">
        <f aca="false">IF(NOT(ISNUMBER(C35)),"",INDEX(BP!$F$5:$F$9,MATCH(C35,BP!$E$5:$E$9,1)))</f>
        <v>ดี</v>
      </c>
      <c r="E35" s="12" t="n">
        <f aca="false">YEAR(A35)</f>
        <v>2021</v>
      </c>
      <c r="F35" s="12" t="n">
        <f aca="false">MONTH(A35)</f>
        <v>2</v>
      </c>
      <c r="G35" s="12" t="n">
        <v>22.7</v>
      </c>
      <c r="H35" s="12" t="n">
        <v>48.6</v>
      </c>
      <c r="I35" s="12" t="n">
        <v>95</v>
      </c>
      <c r="J35" s="12" t="n">
        <v>0.3</v>
      </c>
      <c r="K35" s="12" t="n">
        <v>0</v>
      </c>
      <c r="L35" s="12" t="s">
        <v>36</v>
      </c>
    </row>
    <row r="36" customFormat="false" ht="15" hidden="false" customHeight="false" outlineLevel="0" collapsed="false">
      <c r="A36" s="11" t="n">
        <v>44231</v>
      </c>
      <c r="B36" s="12" t="n">
        <v>14</v>
      </c>
      <c r="C36" s="12" t="n">
        <f aca="false">IF(NOT(ISNUMBER(B36)),"",ROUND((INDEX(BP!$D$5:$D$9,MATCH(B36,BP!$A$5:$A$9,1))-INDEX(BP!$C$5:$C$9,MATCH(B36,BP!$A$5:$A$9,1)))/(INDEX(BP!$B$5:$B$9,MATCH(B36,BP!$A$5:$A$9,1))-INDEX(BP!$A$5:$A$9,MATCH(B36,BP!$A$5:$A$9,1)))*(B36-INDEX(BP!$A$5:$A$9,MATCH(B36,BP!$A$5:$A$9,1)))+INDEX(BP!$C$5:$C$9,MATCH(B36,BP!$A$5:$A$9,1)),0))</f>
        <v>23</v>
      </c>
      <c r="D36" s="12" t="str">
        <f aca="false">IF(NOT(ISNUMBER(C36)),"",INDEX(BP!$F$5:$F$9,MATCH(C36,BP!$E$5:$E$9,1)))</f>
        <v>ดีมาก</v>
      </c>
      <c r="E36" s="12" t="n">
        <f aca="false">YEAR(A36)</f>
        <v>2021</v>
      </c>
      <c r="F36" s="12" t="n">
        <f aca="false">MONTH(A36)</f>
        <v>2</v>
      </c>
      <c r="G36" s="12" t="n">
        <v>23.8</v>
      </c>
      <c r="H36" s="12" t="n">
        <v>50</v>
      </c>
      <c r="I36" s="12" t="n">
        <v>99</v>
      </c>
      <c r="J36" s="12" t="n">
        <v>0.3</v>
      </c>
      <c r="K36" s="12" t="n">
        <v>0</v>
      </c>
      <c r="L36" s="12" t="s">
        <v>36</v>
      </c>
    </row>
    <row r="37" customFormat="false" ht="15" hidden="false" customHeight="false" outlineLevel="0" collapsed="false">
      <c r="A37" s="11" t="n">
        <v>44232</v>
      </c>
      <c r="B37" s="12" t="n">
        <v>13</v>
      </c>
      <c r="C37" s="12" t="n">
        <f aca="false">IF(NOT(ISNUMBER(B37)),"",ROUND((INDEX(BP!$D$5:$D$9,MATCH(B37,BP!$A$5:$A$9,1))-INDEX(BP!$C$5:$C$9,MATCH(B37,BP!$A$5:$A$9,1)))/(INDEX(BP!$B$5:$B$9,MATCH(B37,BP!$A$5:$A$9,1))-INDEX(BP!$A$5:$A$9,MATCH(B37,BP!$A$5:$A$9,1)))*(B37-INDEX(BP!$A$5:$A$9,MATCH(B37,BP!$A$5:$A$9,1)))+INDEX(BP!$C$5:$C$9,MATCH(B37,BP!$A$5:$A$9,1)),0))</f>
        <v>22</v>
      </c>
      <c r="D37" s="12" t="str">
        <f aca="false">IF(NOT(ISNUMBER(C37)),"",INDEX(BP!$F$5:$F$9,MATCH(C37,BP!$E$5:$E$9,1)))</f>
        <v>ดีมาก</v>
      </c>
      <c r="E37" s="12" t="n">
        <f aca="false">YEAR(A37)</f>
        <v>2021</v>
      </c>
      <c r="F37" s="12" t="n">
        <f aca="false">MONTH(A37)</f>
        <v>2</v>
      </c>
      <c r="G37" s="12" t="n">
        <v>21.5</v>
      </c>
      <c r="H37" s="12" t="n">
        <v>45.4</v>
      </c>
      <c r="I37" s="12" t="n">
        <v>96</v>
      </c>
      <c r="J37" s="12" t="n">
        <v>0</v>
      </c>
      <c r="K37" s="12" t="n">
        <v>0</v>
      </c>
      <c r="L37" s="12" t="s">
        <v>36</v>
      </c>
    </row>
    <row r="38" customFormat="false" ht="15" hidden="false" customHeight="false" outlineLevel="0" collapsed="false">
      <c r="A38" s="11" t="n">
        <v>44233</v>
      </c>
      <c r="B38" s="12" t="n">
        <v>15</v>
      </c>
      <c r="C38" s="12" t="n">
        <f aca="false">IF(NOT(ISNUMBER(B38)),"",ROUND((INDEX(BP!$D$5:$D$9,MATCH(B38,BP!$A$5:$A$9,1))-INDEX(BP!$C$5:$C$9,MATCH(B38,BP!$A$5:$A$9,1)))/(INDEX(BP!$B$5:$B$9,MATCH(B38,BP!$A$5:$A$9,1))-INDEX(BP!$A$5:$A$9,MATCH(B38,BP!$A$5:$A$9,1)))*(B38-INDEX(BP!$A$5:$A$9,MATCH(B38,BP!$A$5:$A$9,1)))+INDEX(BP!$C$5:$C$9,MATCH(B38,BP!$A$5:$A$9,1)),0))</f>
        <v>25</v>
      </c>
      <c r="D38" s="12" t="str">
        <f aca="false">IF(NOT(ISNUMBER(C38)),"",INDEX(BP!$F$5:$F$9,MATCH(C38,BP!$E$5:$E$9,1)))</f>
        <v>ดีมาก</v>
      </c>
      <c r="E38" s="12" t="n">
        <f aca="false">YEAR(A38)</f>
        <v>2021</v>
      </c>
      <c r="F38" s="12" t="n">
        <f aca="false">MONTH(A38)</f>
        <v>2</v>
      </c>
      <c r="G38" s="12" t="n">
        <v>21.4</v>
      </c>
      <c r="H38" s="12" t="n">
        <v>45.4</v>
      </c>
      <c r="I38" s="12" t="n">
        <v>94</v>
      </c>
      <c r="J38" s="12" t="n">
        <v>0.6</v>
      </c>
      <c r="K38" s="12" t="n">
        <v>0</v>
      </c>
      <c r="L38" s="12" t="s">
        <v>35</v>
      </c>
    </row>
    <row r="39" customFormat="false" ht="15" hidden="false" customHeight="false" outlineLevel="0" collapsed="false">
      <c r="A39" s="11" t="n">
        <v>44234</v>
      </c>
      <c r="B39" s="12" t="n">
        <v>14</v>
      </c>
      <c r="C39" s="12" t="n">
        <f aca="false">IF(NOT(ISNUMBER(B39)),"",ROUND((INDEX(BP!$D$5:$D$9,MATCH(B39,BP!$A$5:$A$9,1))-INDEX(BP!$C$5:$C$9,MATCH(B39,BP!$A$5:$A$9,1)))/(INDEX(BP!$B$5:$B$9,MATCH(B39,BP!$A$5:$A$9,1))-INDEX(BP!$A$5:$A$9,MATCH(B39,BP!$A$5:$A$9,1)))*(B39-INDEX(BP!$A$5:$A$9,MATCH(B39,BP!$A$5:$A$9,1)))+INDEX(BP!$C$5:$C$9,MATCH(B39,BP!$A$5:$A$9,1)),0))</f>
        <v>23</v>
      </c>
      <c r="D39" s="12" t="str">
        <f aca="false">IF(NOT(ISNUMBER(C39)),"",INDEX(BP!$F$5:$F$9,MATCH(C39,BP!$E$5:$E$9,1)))</f>
        <v>ดีมาก</v>
      </c>
      <c r="E39" s="12" t="n">
        <f aca="false">YEAR(A39)</f>
        <v>2021</v>
      </c>
      <c r="F39" s="12" t="n">
        <f aca="false">MONTH(A39)</f>
        <v>2</v>
      </c>
      <c r="G39" s="12" t="n">
        <v>19.7</v>
      </c>
      <c r="H39" s="12" t="n">
        <v>43.6</v>
      </c>
      <c r="I39" s="12" t="n">
        <v>93</v>
      </c>
      <c r="J39" s="12" t="n">
        <v>0</v>
      </c>
      <c r="K39" s="12" t="n">
        <v>0</v>
      </c>
      <c r="L39" s="12" t="s">
        <v>35</v>
      </c>
    </row>
    <row r="40" customFormat="false" ht="15" hidden="false" customHeight="false" outlineLevel="0" collapsed="false">
      <c r="A40" s="11" t="n">
        <v>44235</v>
      </c>
      <c r="B40" s="12" t="n">
        <v>13</v>
      </c>
      <c r="C40" s="12" t="n">
        <f aca="false">IF(NOT(ISNUMBER(B40)),"",ROUND((INDEX(BP!$D$5:$D$9,MATCH(B40,BP!$A$5:$A$9,1))-INDEX(BP!$C$5:$C$9,MATCH(B40,BP!$A$5:$A$9,1)))/(INDEX(BP!$B$5:$B$9,MATCH(B40,BP!$A$5:$A$9,1))-INDEX(BP!$A$5:$A$9,MATCH(B40,BP!$A$5:$A$9,1)))*(B40-INDEX(BP!$A$5:$A$9,MATCH(B40,BP!$A$5:$A$9,1)))+INDEX(BP!$C$5:$C$9,MATCH(B40,BP!$A$5:$A$9,1)),0))</f>
        <v>22</v>
      </c>
      <c r="D40" s="12" t="str">
        <f aca="false">IF(NOT(ISNUMBER(C40)),"",INDEX(BP!$F$5:$F$9,MATCH(C40,BP!$E$5:$E$9,1)))</f>
        <v>ดีมาก</v>
      </c>
      <c r="E40" s="12" t="n">
        <f aca="false">YEAR(A40)</f>
        <v>2021</v>
      </c>
      <c r="F40" s="12" t="n">
        <f aca="false">MONTH(A40)</f>
        <v>2</v>
      </c>
      <c r="G40" s="12" t="n">
        <v>20.4</v>
      </c>
      <c r="H40" s="12" t="n">
        <v>45.7</v>
      </c>
      <c r="I40" s="12" t="n">
        <v>91</v>
      </c>
      <c r="J40" s="12" t="n">
        <v>0</v>
      </c>
      <c r="K40" s="12" t="n">
        <v>0</v>
      </c>
      <c r="L40" s="12" t="s">
        <v>36</v>
      </c>
    </row>
    <row r="41" customFormat="false" ht="15" hidden="false" customHeight="false" outlineLevel="0" collapsed="false">
      <c r="A41" s="11" t="n">
        <v>44236</v>
      </c>
      <c r="B41" s="12" t="n">
        <v>12</v>
      </c>
      <c r="C41" s="12" t="n">
        <f aca="false">IF(NOT(ISNUMBER(B41)),"",ROUND((INDEX(BP!$D$5:$D$9,MATCH(B41,BP!$A$5:$A$9,1))-INDEX(BP!$C$5:$C$9,MATCH(B41,BP!$A$5:$A$9,1)))/(INDEX(BP!$B$5:$B$9,MATCH(B41,BP!$A$5:$A$9,1))-INDEX(BP!$A$5:$A$9,MATCH(B41,BP!$A$5:$A$9,1)))*(B41-INDEX(BP!$A$5:$A$9,MATCH(B41,BP!$A$5:$A$9,1)))+INDEX(BP!$C$5:$C$9,MATCH(B41,BP!$A$5:$A$9,1)),0))</f>
        <v>20</v>
      </c>
      <c r="D41" s="12" t="str">
        <f aca="false">IF(NOT(ISNUMBER(C41)),"",INDEX(BP!$F$5:$F$9,MATCH(C41,BP!$E$5:$E$9,1)))</f>
        <v>ดีมาก</v>
      </c>
      <c r="E41" s="12" t="n">
        <f aca="false">YEAR(A41)</f>
        <v>2021</v>
      </c>
      <c r="F41" s="12" t="n">
        <f aca="false">MONTH(A41)</f>
        <v>2</v>
      </c>
      <c r="G41" s="12" t="n">
        <v>16.1</v>
      </c>
      <c r="H41" s="12" t="n">
        <v>36.7</v>
      </c>
      <c r="I41" s="12" t="n">
        <v>85</v>
      </c>
      <c r="J41" s="12" t="n">
        <v>0</v>
      </c>
      <c r="K41" s="12" t="n">
        <v>0</v>
      </c>
      <c r="L41" s="12" t="s">
        <v>36</v>
      </c>
    </row>
    <row r="42" customFormat="false" ht="15" hidden="false" customHeight="false" outlineLevel="0" collapsed="false">
      <c r="A42" s="11" t="n">
        <v>44237</v>
      </c>
      <c r="B42" s="12" t="n">
        <v>14</v>
      </c>
      <c r="C42" s="12" t="n">
        <f aca="false">IF(NOT(ISNUMBER(B42)),"",ROUND((INDEX(BP!$D$5:$D$9,MATCH(B42,BP!$A$5:$A$9,1))-INDEX(BP!$C$5:$C$9,MATCH(B42,BP!$A$5:$A$9,1)))/(INDEX(BP!$B$5:$B$9,MATCH(B42,BP!$A$5:$A$9,1))-INDEX(BP!$A$5:$A$9,MATCH(B42,BP!$A$5:$A$9,1)))*(B42-INDEX(BP!$A$5:$A$9,MATCH(B42,BP!$A$5:$A$9,1)))+INDEX(BP!$C$5:$C$9,MATCH(B42,BP!$A$5:$A$9,1)),0))</f>
        <v>23</v>
      </c>
      <c r="D42" s="12" t="str">
        <f aca="false">IF(NOT(ISNUMBER(C42)),"",INDEX(BP!$F$5:$F$9,MATCH(C42,BP!$E$5:$E$9,1)))</f>
        <v>ดีมาก</v>
      </c>
      <c r="E42" s="12" t="n">
        <f aca="false">YEAR(A42)</f>
        <v>2021</v>
      </c>
      <c r="F42" s="12" t="n">
        <f aca="false">MONTH(A42)</f>
        <v>2</v>
      </c>
      <c r="G42" s="12" t="n">
        <v>16.1</v>
      </c>
      <c r="H42" s="12" t="n">
        <v>37.1</v>
      </c>
      <c r="I42" s="12" t="n">
        <v>73</v>
      </c>
      <c r="J42" s="12" t="n">
        <v>0.1</v>
      </c>
      <c r="K42" s="12" t="n">
        <v>0</v>
      </c>
      <c r="L42" s="12" t="s">
        <v>36</v>
      </c>
    </row>
    <row r="43" customFormat="false" ht="15" hidden="false" customHeight="false" outlineLevel="0" collapsed="false">
      <c r="A43" s="11" t="n">
        <v>44238</v>
      </c>
      <c r="B43" s="12" t="n">
        <v>13</v>
      </c>
      <c r="C43" s="12" t="n">
        <f aca="false">IF(NOT(ISNUMBER(B43)),"",ROUND((INDEX(BP!$D$5:$D$9,MATCH(B43,BP!$A$5:$A$9,1))-INDEX(BP!$C$5:$C$9,MATCH(B43,BP!$A$5:$A$9,1)))/(INDEX(BP!$B$5:$B$9,MATCH(B43,BP!$A$5:$A$9,1))-INDEX(BP!$A$5:$A$9,MATCH(B43,BP!$A$5:$A$9,1)))*(B43-INDEX(BP!$A$5:$A$9,MATCH(B43,BP!$A$5:$A$9,1)))+INDEX(BP!$C$5:$C$9,MATCH(B43,BP!$A$5:$A$9,1)),0))</f>
        <v>22</v>
      </c>
      <c r="D43" s="12" t="str">
        <f aca="false">IF(NOT(ISNUMBER(C43)),"",INDEX(BP!$F$5:$F$9,MATCH(C43,BP!$E$5:$E$9,1)))</f>
        <v>ดีมาก</v>
      </c>
      <c r="E43" s="12" t="n">
        <f aca="false">YEAR(A43)</f>
        <v>2021</v>
      </c>
      <c r="F43" s="12" t="n">
        <f aca="false">MONTH(A43)</f>
        <v>2</v>
      </c>
      <c r="G43" s="12" t="n">
        <v>15.6</v>
      </c>
      <c r="H43" s="12" t="n">
        <v>35.6</v>
      </c>
      <c r="I43" s="12" t="n">
        <v>84</v>
      </c>
      <c r="J43" s="12" t="n">
        <v>0.1</v>
      </c>
      <c r="K43" s="12" t="n">
        <v>0</v>
      </c>
      <c r="L43" s="12" t="s">
        <v>36</v>
      </c>
    </row>
    <row r="44" customFormat="false" ht="15" hidden="false" customHeight="false" outlineLevel="0" collapsed="false">
      <c r="A44" s="11" t="n">
        <v>44239</v>
      </c>
      <c r="B44" s="12" t="n">
        <v>12</v>
      </c>
      <c r="C44" s="12" t="n">
        <f aca="false">IF(NOT(ISNUMBER(B44)),"",ROUND((INDEX(BP!$D$5:$D$9,MATCH(B44,BP!$A$5:$A$9,1))-INDEX(BP!$C$5:$C$9,MATCH(B44,BP!$A$5:$A$9,1)))/(INDEX(BP!$B$5:$B$9,MATCH(B44,BP!$A$5:$A$9,1))-INDEX(BP!$A$5:$A$9,MATCH(B44,BP!$A$5:$A$9,1)))*(B44-INDEX(BP!$A$5:$A$9,MATCH(B44,BP!$A$5:$A$9,1)))+INDEX(BP!$C$5:$C$9,MATCH(B44,BP!$A$5:$A$9,1)),0))</f>
        <v>20</v>
      </c>
      <c r="D44" s="12" t="str">
        <f aca="false">IF(NOT(ISNUMBER(C44)),"",INDEX(BP!$F$5:$F$9,MATCH(C44,BP!$E$5:$E$9,1)))</f>
        <v>ดีมาก</v>
      </c>
      <c r="E44" s="12" t="n">
        <f aca="false">YEAR(A44)</f>
        <v>2021</v>
      </c>
      <c r="F44" s="12" t="n">
        <f aca="false">MONTH(A44)</f>
        <v>2</v>
      </c>
      <c r="G44" s="12" t="n">
        <v>15.4</v>
      </c>
      <c r="H44" s="12" t="n">
        <v>35.3</v>
      </c>
      <c r="I44" s="12" t="n">
        <v>80</v>
      </c>
      <c r="J44" s="12" t="n">
        <v>0.4</v>
      </c>
      <c r="K44" s="12" t="n">
        <v>0</v>
      </c>
      <c r="L44" s="12" t="s">
        <v>34</v>
      </c>
    </row>
    <row r="45" customFormat="false" ht="15" hidden="false" customHeight="false" outlineLevel="0" collapsed="false">
      <c r="A45" s="11" t="n">
        <v>44240</v>
      </c>
      <c r="B45" s="12" t="n">
        <v>16</v>
      </c>
      <c r="C45" s="12" t="n">
        <f aca="false">IF(NOT(ISNUMBER(B45)),"",ROUND((INDEX(BP!$D$5:$D$9,MATCH(B45,BP!$A$5:$A$9,1))-INDEX(BP!$C$5:$C$9,MATCH(B45,BP!$A$5:$A$9,1)))/(INDEX(BP!$B$5:$B$9,MATCH(B45,BP!$A$5:$A$9,1))-INDEX(BP!$A$5:$A$9,MATCH(B45,BP!$A$5:$A$9,1)))*(B45-INDEX(BP!$A$5:$A$9,MATCH(B45,BP!$A$5:$A$9,1)))+INDEX(BP!$C$5:$C$9,MATCH(B45,BP!$A$5:$A$9,1)),0))</f>
        <v>28</v>
      </c>
      <c r="D45" s="12" t="str">
        <f aca="false">IF(NOT(ISNUMBER(C45)),"",INDEX(BP!$F$5:$F$9,MATCH(C45,BP!$E$5:$E$9,1)))</f>
        <v>ดี</v>
      </c>
      <c r="E45" s="12" t="n">
        <f aca="false">YEAR(A45)</f>
        <v>2021</v>
      </c>
      <c r="F45" s="12" t="n">
        <f aca="false">MONTH(A45)</f>
        <v>2</v>
      </c>
      <c r="G45" s="12" t="n">
        <v>15.3</v>
      </c>
      <c r="H45" s="12" t="n">
        <v>35.6</v>
      </c>
      <c r="I45" s="12" t="n">
        <v>85</v>
      </c>
      <c r="J45" s="12" t="n">
        <v>0</v>
      </c>
      <c r="K45" s="12" t="n">
        <v>0</v>
      </c>
      <c r="L45" s="12" t="s">
        <v>35</v>
      </c>
    </row>
    <row r="46" customFormat="false" ht="15" hidden="false" customHeight="false" outlineLevel="0" collapsed="false">
      <c r="A46" s="11" t="n">
        <v>44241</v>
      </c>
      <c r="B46" s="12" t="n">
        <v>22</v>
      </c>
      <c r="C46" s="12" t="n">
        <f aca="false">IF(NOT(ISNUMBER(B46)),"",ROUND((INDEX(BP!$D$5:$D$9,MATCH(B46,BP!$A$5:$A$9,1))-INDEX(BP!$C$5:$C$9,MATCH(B46,BP!$A$5:$A$9,1)))/(INDEX(BP!$B$5:$B$9,MATCH(B46,BP!$A$5:$A$9,1))-INDEX(BP!$A$5:$A$9,MATCH(B46,BP!$A$5:$A$9,1)))*(B46-INDEX(BP!$A$5:$A$9,MATCH(B46,BP!$A$5:$A$9,1)))+INDEX(BP!$C$5:$C$9,MATCH(B46,BP!$A$5:$A$9,1)),0))</f>
        <v>43</v>
      </c>
      <c r="D46" s="12" t="str">
        <f aca="false">IF(NOT(ISNUMBER(C46)),"",INDEX(BP!$F$5:$F$9,MATCH(C46,BP!$E$5:$E$9,1)))</f>
        <v>ดี</v>
      </c>
      <c r="E46" s="12" t="n">
        <f aca="false">YEAR(A46)</f>
        <v>2021</v>
      </c>
      <c r="F46" s="12" t="n">
        <f aca="false">MONTH(A46)</f>
        <v>2</v>
      </c>
      <c r="G46" s="12" t="n">
        <v>17.3</v>
      </c>
      <c r="H46" s="12" t="n">
        <v>40.7</v>
      </c>
      <c r="I46" s="12" t="n">
        <v>88</v>
      </c>
      <c r="J46" s="12" t="n">
        <v>0.1</v>
      </c>
      <c r="K46" s="12" t="n">
        <v>0</v>
      </c>
      <c r="L46" s="12" t="s">
        <v>35</v>
      </c>
    </row>
    <row r="47" customFormat="false" ht="15" hidden="false" customHeight="false" outlineLevel="0" collapsed="false">
      <c r="A47" s="11" t="n">
        <v>44242</v>
      </c>
      <c r="B47" s="12" t="n">
        <v>23</v>
      </c>
      <c r="C47" s="12" t="n">
        <f aca="false">IF(NOT(ISNUMBER(B47)),"",ROUND((INDEX(BP!$D$5:$D$9,MATCH(B47,BP!$A$5:$A$9,1))-INDEX(BP!$C$5:$C$9,MATCH(B47,BP!$A$5:$A$9,1)))/(INDEX(BP!$B$5:$B$9,MATCH(B47,BP!$A$5:$A$9,1))-INDEX(BP!$A$5:$A$9,MATCH(B47,BP!$A$5:$A$9,1)))*(B47-INDEX(BP!$A$5:$A$9,MATCH(B47,BP!$A$5:$A$9,1)))+INDEX(BP!$C$5:$C$9,MATCH(B47,BP!$A$5:$A$9,1)),0))</f>
        <v>45</v>
      </c>
      <c r="D47" s="12" t="str">
        <f aca="false">IF(NOT(ISNUMBER(C47)),"",INDEX(BP!$F$5:$F$9,MATCH(C47,BP!$E$5:$E$9,1)))</f>
        <v>ดี</v>
      </c>
      <c r="E47" s="12" t="n">
        <f aca="false">YEAR(A47)</f>
        <v>2021</v>
      </c>
      <c r="F47" s="12" t="n">
        <f aca="false">MONTH(A47)</f>
        <v>2</v>
      </c>
      <c r="G47" s="12" t="n">
        <v>16.3</v>
      </c>
      <c r="H47" s="12" t="n">
        <v>37.1</v>
      </c>
      <c r="I47" s="12" t="n">
        <v>87</v>
      </c>
      <c r="J47" s="12" t="n">
        <v>0</v>
      </c>
      <c r="K47" s="12" t="n">
        <v>0</v>
      </c>
      <c r="L47" s="12" t="s">
        <v>36</v>
      </c>
    </row>
    <row r="48" customFormat="false" ht="15" hidden="false" customHeight="false" outlineLevel="0" collapsed="false">
      <c r="A48" s="11" t="n">
        <v>44243</v>
      </c>
      <c r="B48" s="12" t="n">
        <v>26</v>
      </c>
      <c r="C48" s="12" t="n">
        <f aca="false">IF(NOT(ISNUMBER(B48)),"",ROUND((INDEX(BP!$D$5:$D$9,MATCH(B48,BP!$A$5:$A$9,1))-INDEX(BP!$C$5:$C$9,MATCH(B48,BP!$A$5:$A$9,1)))/(INDEX(BP!$B$5:$B$9,MATCH(B48,BP!$A$5:$A$9,1))-INDEX(BP!$A$5:$A$9,MATCH(B48,BP!$A$5:$A$9,1)))*(B48-INDEX(BP!$A$5:$A$9,MATCH(B48,BP!$A$5:$A$9,1)))+INDEX(BP!$C$5:$C$9,MATCH(B48,BP!$A$5:$A$9,1)),0))</f>
        <v>55</v>
      </c>
      <c r="D48" s="12" t="str">
        <f aca="false">IF(NOT(ISNUMBER(C48)),"",INDEX(BP!$F$5:$F$9,MATCH(C48,BP!$E$5:$E$9,1)))</f>
        <v>ปานกลาง</v>
      </c>
      <c r="E48" s="12" t="n">
        <f aca="false">YEAR(A48)</f>
        <v>2021</v>
      </c>
      <c r="F48" s="12" t="n">
        <f aca="false">MONTH(A48)</f>
        <v>2</v>
      </c>
      <c r="G48" s="12" t="n">
        <v>18.3</v>
      </c>
      <c r="H48" s="12" t="n">
        <v>40.3</v>
      </c>
      <c r="I48" s="12" t="n">
        <v>90</v>
      </c>
      <c r="J48" s="12" t="n">
        <v>0</v>
      </c>
      <c r="K48" s="12" t="n">
        <v>0</v>
      </c>
      <c r="L48" s="12" t="s">
        <v>36</v>
      </c>
    </row>
    <row r="49" customFormat="false" ht="15" hidden="false" customHeight="false" outlineLevel="0" collapsed="false">
      <c r="A49" s="11" t="n">
        <v>44244</v>
      </c>
      <c r="B49" s="12" t="n">
        <v>26</v>
      </c>
      <c r="C49" s="12" t="n">
        <f aca="false">IF(NOT(ISNUMBER(B49)),"",ROUND((INDEX(BP!$D$5:$D$9,MATCH(B49,BP!$A$5:$A$9,1))-INDEX(BP!$C$5:$C$9,MATCH(B49,BP!$A$5:$A$9,1)))/(INDEX(BP!$B$5:$B$9,MATCH(B49,BP!$A$5:$A$9,1))-INDEX(BP!$A$5:$A$9,MATCH(B49,BP!$A$5:$A$9,1)))*(B49-INDEX(BP!$A$5:$A$9,MATCH(B49,BP!$A$5:$A$9,1)))+INDEX(BP!$C$5:$C$9,MATCH(B49,BP!$A$5:$A$9,1)),0))</f>
        <v>55</v>
      </c>
      <c r="D49" s="12" t="str">
        <f aca="false">IF(NOT(ISNUMBER(C49)),"",INDEX(BP!$F$5:$F$9,MATCH(C49,BP!$E$5:$E$9,1)))</f>
        <v>ปานกลาง</v>
      </c>
      <c r="E49" s="12" t="n">
        <f aca="false">YEAR(A49)</f>
        <v>2021</v>
      </c>
      <c r="F49" s="12" t="n">
        <f aca="false">MONTH(A49)</f>
        <v>2</v>
      </c>
      <c r="G49" s="12" t="n">
        <v>24.3</v>
      </c>
      <c r="H49" s="12" t="n">
        <v>50.8</v>
      </c>
      <c r="I49" s="12" t="n">
        <v>94</v>
      </c>
      <c r="J49" s="12" t="n">
        <v>0</v>
      </c>
      <c r="K49" s="12" t="n">
        <v>0</v>
      </c>
      <c r="L49" s="12" t="s">
        <v>36</v>
      </c>
    </row>
    <row r="50" customFormat="false" ht="15" hidden="false" customHeight="false" outlineLevel="0" collapsed="false">
      <c r="A50" s="11" t="n">
        <v>44245</v>
      </c>
      <c r="B50" s="12" t="n">
        <v>16</v>
      </c>
      <c r="C50" s="12" t="n">
        <f aca="false">IF(NOT(ISNUMBER(B50)),"",ROUND((INDEX(BP!$D$5:$D$9,MATCH(B50,BP!$A$5:$A$9,1))-INDEX(BP!$C$5:$C$9,MATCH(B50,BP!$A$5:$A$9,1)))/(INDEX(BP!$B$5:$B$9,MATCH(B50,BP!$A$5:$A$9,1))-INDEX(BP!$A$5:$A$9,MATCH(B50,BP!$A$5:$A$9,1)))*(B50-INDEX(BP!$A$5:$A$9,MATCH(B50,BP!$A$5:$A$9,1)))+INDEX(BP!$C$5:$C$9,MATCH(B50,BP!$A$5:$A$9,1)),0))</f>
        <v>28</v>
      </c>
      <c r="D50" s="12" t="str">
        <f aca="false">IF(NOT(ISNUMBER(C50)),"",INDEX(BP!$F$5:$F$9,MATCH(C50,BP!$E$5:$E$9,1)))</f>
        <v>ดี</v>
      </c>
      <c r="E50" s="12" t="n">
        <f aca="false">YEAR(A50)</f>
        <v>2021</v>
      </c>
      <c r="F50" s="12" t="n">
        <f aca="false">MONTH(A50)</f>
        <v>2</v>
      </c>
      <c r="G50" s="12" t="n">
        <v>24.5</v>
      </c>
      <c r="H50" s="12" t="n">
        <v>51.1</v>
      </c>
      <c r="I50" s="12" t="n">
        <v>95</v>
      </c>
      <c r="J50" s="12" t="n">
        <v>0.2</v>
      </c>
      <c r="K50" s="12" t="n">
        <v>0</v>
      </c>
      <c r="L50" s="12" t="s">
        <v>36</v>
      </c>
    </row>
    <row r="51" customFormat="false" ht="15" hidden="false" customHeight="false" outlineLevel="0" collapsed="false">
      <c r="A51" s="11" t="n">
        <v>44246</v>
      </c>
      <c r="B51" s="12" t="n">
        <v>16</v>
      </c>
      <c r="C51" s="12" t="n">
        <f aca="false">IF(NOT(ISNUMBER(B51)),"",ROUND((INDEX(BP!$D$5:$D$9,MATCH(B51,BP!$A$5:$A$9,1))-INDEX(BP!$C$5:$C$9,MATCH(B51,BP!$A$5:$A$9,1)))/(INDEX(BP!$B$5:$B$9,MATCH(B51,BP!$A$5:$A$9,1))-INDEX(BP!$A$5:$A$9,MATCH(B51,BP!$A$5:$A$9,1)))*(B51-INDEX(BP!$A$5:$A$9,MATCH(B51,BP!$A$5:$A$9,1)))+INDEX(BP!$C$5:$C$9,MATCH(B51,BP!$A$5:$A$9,1)),0))</f>
        <v>28</v>
      </c>
      <c r="D51" s="12" t="str">
        <f aca="false">IF(NOT(ISNUMBER(C51)),"",INDEX(BP!$F$5:$F$9,MATCH(C51,BP!$E$5:$E$9,1)))</f>
        <v>ดี</v>
      </c>
      <c r="E51" s="12" t="n">
        <f aca="false">YEAR(A51)</f>
        <v>2021</v>
      </c>
      <c r="F51" s="12" t="n">
        <f aca="false">MONTH(A51)</f>
        <v>2</v>
      </c>
      <c r="G51" s="12" t="n">
        <v>29.6</v>
      </c>
      <c r="H51" s="12" t="n">
        <v>60.8</v>
      </c>
      <c r="I51" s="12" t="n">
        <v>89</v>
      </c>
      <c r="J51" s="12" t="n">
        <v>1</v>
      </c>
      <c r="K51" s="12" t="n">
        <v>0</v>
      </c>
      <c r="L51" s="12" t="s">
        <v>36</v>
      </c>
    </row>
    <row r="52" customFormat="false" ht="15" hidden="false" customHeight="false" outlineLevel="0" collapsed="false">
      <c r="A52" s="11" t="n">
        <v>44247</v>
      </c>
      <c r="B52" s="12" t="n">
        <v>19</v>
      </c>
      <c r="C52" s="12" t="n">
        <f aca="false">IF(NOT(ISNUMBER(B52)),"",ROUND((INDEX(BP!$D$5:$D$9,MATCH(B52,BP!$A$5:$A$9,1))-INDEX(BP!$C$5:$C$9,MATCH(B52,BP!$A$5:$A$9,1)))/(INDEX(BP!$B$5:$B$9,MATCH(B52,BP!$A$5:$A$9,1))-INDEX(BP!$A$5:$A$9,MATCH(B52,BP!$A$5:$A$9,1)))*(B52-INDEX(BP!$A$5:$A$9,MATCH(B52,BP!$A$5:$A$9,1)))+INDEX(BP!$C$5:$C$9,MATCH(B52,BP!$A$5:$A$9,1)),0))</f>
        <v>35</v>
      </c>
      <c r="D52" s="12" t="str">
        <f aca="false">IF(NOT(ISNUMBER(C52)),"",INDEX(BP!$F$5:$F$9,MATCH(C52,BP!$E$5:$E$9,1)))</f>
        <v>ดี</v>
      </c>
      <c r="E52" s="12" t="n">
        <f aca="false">YEAR(A52)</f>
        <v>2021</v>
      </c>
      <c r="F52" s="12" t="n">
        <f aca="false">MONTH(A52)</f>
        <v>2</v>
      </c>
      <c r="G52" s="12" t="n">
        <v>26.4</v>
      </c>
      <c r="H52" s="12" t="n">
        <v>56.2</v>
      </c>
      <c r="I52" s="12" t="n">
        <v>94</v>
      </c>
      <c r="J52" s="12" t="n">
        <v>0.1</v>
      </c>
      <c r="K52" s="12" t="n">
        <v>0</v>
      </c>
      <c r="L52" s="12" t="s">
        <v>35</v>
      </c>
    </row>
    <row r="53" customFormat="false" ht="15" hidden="false" customHeight="false" outlineLevel="0" collapsed="false">
      <c r="A53" s="11" t="n">
        <v>44248</v>
      </c>
      <c r="B53" s="12" t="n">
        <v>18</v>
      </c>
      <c r="C53" s="12" t="n">
        <f aca="false">IF(NOT(ISNUMBER(B53)),"",ROUND((INDEX(BP!$D$5:$D$9,MATCH(B53,BP!$A$5:$A$9,1))-INDEX(BP!$C$5:$C$9,MATCH(B53,BP!$A$5:$A$9,1)))/(INDEX(BP!$B$5:$B$9,MATCH(B53,BP!$A$5:$A$9,1))-INDEX(BP!$A$5:$A$9,MATCH(B53,BP!$A$5:$A$9,1)))*(B53-INDEX(BP!$A$5:$A$9,MATCH(B53,BP!$A$5:$A$9,1)))+INDEX(BP!$C$5:$C$9,MATCH(B53,BP!$A$5:$A$9,1)),0))</f>
        <v>33</v>
      </c>
      <c r="D53" s="12" t="str">
        <f aca="false">IF(NOT(ISNUMBER(C53)),"",INDEX(BP!$F$5:$F$9,MATCH(C53,BP!$E$5:$E$9,1)))</f>
        <v>ดี</v>
      </c>
      <c r="E53" s="12" t="n">
        <f aca="false">YEAR(A53)</f>
        <v>2021</v>
      </c>
      <c r="F53" s="12" t="n">
        <f aca="false">MONTH(A53)</f>
        <v>2</v>
      </c>
      <c r="G53" s="12" t="n">
        <v>22.1</v>
      </c>
      <c r="H53" s="12" t="n">
        <v>46.4</v>
      </c>
      <c r="I53" s="12" t="n">
        <v>87</v>
      </c>
      <c r="J53" s="12" t="n">
        <v>0</v>
      </c>
      <c r="K53" s="12" t="n">
        <v>0</v>
      </c>
      <c r="L53" s="12" t="s">
        <v>35</v>
      </c>
    </row>
    <row r="54" customFormat="false" ht="15" hidden="false" customHeight="false" outlineLevel="0" collapsed="false">
      <c r="A54" s="11" t="n">
        <v>44249</v>
      </c>
      <c r="B54" s="12" t="n">
        <v>20</v>
      </c>
      <c r="C54" s="12" t="n">
        <f aca="false">IF(NOT(ISNUMBER(B54)),"",ROUND((INDEX(BP!$D$5:$D$9,MATCH(B54,BP!$A$5:$A$9,1))-INDEX(BP!$C$5:$C$9,MATCH(B54,BP!$A$5:$A$9,1)))/(INDEX(BP!$B$5:$B$9,MATCH(B54,BP!$A$5:$A$9,1))-INDEX(BP!$A$5:$A$9,MATCH(B54,BP!$A$5:$A$9,1)))*(B54-INDEX(BP!$A$5:$A$9,MATCH(B54,BP!$A$5:$A$9,1)))+INDEX(BP!$C$5:$C$9,MATCH(B54,BP!$A$5:$A$9,1)),0))</f>
        <v>38</v>
      </c>
      <c r="D54" s="12" t="str">
        <f aca="false">IF(NOT(ISNUMBER(C54)),"",INDEX(BP!$F$5:$F$9,MATCH(C54,BP!$E$5:$E$9,1)))</f>
        <v>ดี</v>
      </c>
      <c r="E54" s="12" t="n">
        <f aca="false">YEAR(A54)</f>
        <v>2021</v>
      </c>
      <c r="F54" s="12" t="n">
        <f aca="false">MONTH(A54)</f>
        <v>2</v>
      </c>
      <c r="G54" s="12" t="n">
        <v>19.7</v>
      </c>
      <c r="H54" s="12" t="n">
        <v>43.9</v>
      </c>
      <c r="I54" s="12" t="n">
        <v>84</v>
      </c>
      <c r="J54" s="12" t="n">
        <v>0</v>
      </c>
      <c r="K54" s="12" t="n">
        <v>0</v>
      </c>
      <c r="L54" s="12" t="s">
        <v>36</v>
      </c>
    </row>
    <row r="55" customFormat="false" ht="15" hidden="false" customHeight="false" outlineLevel="0" collapsed="false">
      <c r="A55" s="11" t="n">
        <v>44250</v>
      </c>
      <c r="B55" s="12" t="n">
        <v>38</v>
      </c>
      <c r="C55" s="12" t="n">
        <f aca="false">IF(NOT(ISNUMBER(B55)),"",ROUND((INDEX(BP!$D$5:$D$9,MATCH(B55,BP!$A$5:$A$9,1))-INDEX(BP!$C$5:$C$9,MATCH(B55,BP!$A$5:$A$9,1)))/(INDEX(BP!$B$5:$B$9,MATCH(B55,BP!$A$5:$A$9,1))-INDEX(BP!$A$5:$A$9,MATCH(B55,BP!$A$5:$A$9,1)))*(B55-INDEX(BP!$A$5:$A$9,MATCH(B55,BP!$A$5:$A$9,1)))+INDEX(BP!$C$5:$C$9,MATCH(B55,BP!$A$5:$A$9,1)),0))</f>
        <v>102</v>
      </c>
      <c r="D55" s="12" t="str">
        <f aca="false">IF(NOT(ISNUMBER(C55)),"",INDEX(BP!$F$5:$F$9,MATCH(C55,BP!$E$5:$E$9,1)))</f>
        <v>เริ่มมีผลกระทบต่อสุขภาพ</v>
      </c>
      <c r="E55" s="12" t="n">
        <f aca="false">YEAR(A55)</f>
        <v>2021</v>
      </c>
      <c r="F55" s="12" t="n">
        <f aca="false">MONTH(A55)</f>
        <v>2</v>
      </c>
      <c r="G55" s="12" t="n">
        <v>15</v>
      </c>
      <c r="H55" s="12" t="n">
        <v>33.8</v>
      </c>
      <c r="I55" s="12" t="n">
        <v>74</v>
      </c>
      <c r="J55" s="12" t="n">
        <v>0</v>
      </c>
      <c r="K55" s="12" t="n">
        <v>0</v>
      </c>
      <c r="L55" s="12" t="s">
        <v>36</v>
      </c>
    </row>
    <row r="56" customFormat="false" ht="15" hidden="false" customHeight="false" outlineLevel="0" collapsed="false">
      <c r="A56" s="11" t="n">
        <v>44251</v>
      </c>
      <c r="B56" s="12" t="n">
        <v>37</v>
      </c>
      <c r="C56" s="12" t="n">
        <f aca="false">IF(NOT(ISNUMBER(B56)),"",ROUND((INDEX(BP!$D$5:$D$9,MATCH(B56,BP!$A$5:$A$9,1))-INDEX(BP!$C$5:$C$9,MATCH(B56,BP!$A$5:$A$9,1)))/(INDEX(BP!$B$5:$B$9,MATCH(B56,BP!$A$5:$A$9,1))-INDEX(BP!$A$5:$A$9,MATCH(B56,BP!$A$5:$A$9,1)))*(B56-INDEX(BP!$A$5:$A$9,MATCH(B56,BP!$A$5:$A$9,1)))+INDEX(BP!$C$5:$C$9,MATCH(B56,BP!$A$5:$A$9,1)),0))</f>
        <v>98</v>
      </c>
      <c r="D56" s="12" t="str">
        <f aca="false">IF(NOT(ISNUMBER(C56)),"",INDEX(BP!$F$5:$F$9,MATCH(C56,BP!$E$5:$E$9,1)))</f>
        <v>ปานกลาง</v>
      </c>
      <c r="E56" s="12" t="n">
        <f aca="false">YEAR(A56)</f>
        <v>2021</v>
      </c>
      <c r="F56" s="12" t="n">
        <f aca="false">MONTH(A56)</f>
        <v>2</v>
      </c>
      <c r="G56" s="12" t="n">
        <v>14.6</v>
      </c>
      <c r="H56" s="12" t="n">
        <v>33.1</v>
      </c>
      <c r="I56" s="12" t="n">
        <v>77</v>
      </c>
      <c r="J56" s="12" t="n">
        <v>0</v>
      </c>
      <c r="K56" s="12" t="n">
        <v>0</v>
      </c>
      <c r="L56" s="12" t="s">
        <v>36</v>
      </c>
    </row>
    <row r="57" customFormat="false" ht="15" hidden="false" customHeight="false" outlineLevel="0" collapsed="false">
      <c r="A57" s="11" t="n">
        <v>44252</v>
      </c>
      <c r="B57" s="12" t="n">
        <v>33</v>
      </c>
      <c r="C57" s="12" t="n">
        <f aca="false">IF(NOT(ISNUMBER(B57)),"",ROUND((INDEX(BP!$D$5:$D$9,MATCH(B57,BP!$A$5:$A$9,1))-INDEX(BP!$C$5:$C$9,MATCH(B57,BP!$A$5:$A$9,1)))/(INDEX(BP!$B$5:$B$9,MATCH(B57,BP!$A$5:$A$9,1))-INDEX(BP!$A$5:$A$9,MATCH(B57,BP!$A$5:$A$9,1)))*(B57-INDEX(BP!$A$5:$A$9,MATCH(B57,BP!$A$5:$A$9,1)))+INDEX(BP!$C$5:$C$9,MATCH(B57,BP!$A$5:$A$9,1)),0))</f>
        <v>82</v>
      </c>
      <c r="D57" s="12" t="str">
        <f aca="false">IF(NOT(ISNUMBER(C57)),"",INDEX(BP!$F$5:$F$9,MATCH(C57,BP!$E$5:$E$9,1)))</f>
        <v>ปานกลาง</v>
      </c>
      <c r="E57" s="12" t="n">
        <f aca="false">YEAR(A57)</f>
        <v>2021</v>
      </c>
      <c r="F57" s="12" t="n">
        <f aca="false">MONTH(A57)</f>
        <v>2</v>
      </c>
      <c r="G57" s="12" t="n">
        <v>14.6</v>
      </c>
      <c r="H57" s="12" t="n">
        <v>33.5</v>
      </c>
      <c r="I57" s="12" t="n">
        <v>40</v>
      </c>
      <c r="J57" s="12" t="n">
        <v>0</v>
      </c>
      <c r="K57" s="12" t="n">
        <v>0</v>
      </c>
      <c r="L57" s="12" t="s">
        <v>36</v>
      </c>
    </row>
    <row r="58" customFormat="false" ht="15" hidden="false" customHeight="false" outlineLevel="0" collapsed="false">
      <c r="A58" s="11" t="n">
        <v>44253</v>
      </c>
      <c r="B58" s="12" t="n">
        <v>25</v>
      </c>
      <c r="C58" s="12" t="n">
        <f aca="false">IF(NOT(ISNUMBER(B58)),"",ROUND((INDEX(BP!$D$5:$D$9,MATCH(B58,BP!$A$5:$A$9,1))-INDEX(BP!$C$5:$C$9,MATCH(B58,BP!$A$5:$A$9,1)))/(INDEX(BP!$B$5:$B$9,MATCH(B58,BP!$A$5:$A$9,1))-INDEX(BP!$A$5:$A$9,MATCH(B58,BP!$A$5:$A$9,1)))*(B58-INDEX(BP!$A$5:$A$9,MATCH(B58,BP!$A$5:$A$9,1)))+INDEX(BP!$C$5:$C$9,MATCH(B58,BP!$A$5:$A$9,1)),0))</f>
        <v>50</v>
      </c>
      <c r="D58" s="12" t="str">
        <f aca="false">IF(NOT(ISNUMBER(C58)),"",INDEX(BP!$F$5:$F$9,MATCH(C58,BP!$E$5:$E$9,1)))</f>
        <v>ดี</v>
      </c>
      <c r="E58" s="12" t="n">
        <f aca="false">YEAR(A58)</f>
        <v>2021</v>
      </c>
      <c r="F58" s="12" t="n">
        <f aca="false">MONTH(A58)</f>
        <v>2</v>
      </c>
      <c r="G58" s="12" t="n">
        <v>14</v>
      </c>
      <c r="H58" s="12" t="n">
        <v>32.4</v>
      </c>
      <c r="I58" s="12" t="n">
        <v>283</v>
      </c>
      <c r="J58" s="12" t="n">
        <v>0</v>
      </c>
      <c r="K58" s="12" t="n">
        <v>0</v>
      </c>
      <c r="L58" s="12" t="s">
        <v>34</v>
      </c>
    </row>
    <row r="59" customFormat="false" ht="15" hidden="false" customHeight="false" outlineLevel="0" collapsed="false">
      <c r="A59" s="11" t="n">
        <v>44254</v>
      </c>
      <c r="B59" s="12" t="n">
        <v>24</v>
      </c>
      <c r="C59" s="12" t="n">
        <f aca="false">IF(NOT(ISNUMBER(B59)),"",ROUND((INDEX(BP!$D$5:$D$9,MATCH(B59,BP!$A$5:$A$9,1))-INDEX(BP!$C$5:$C$9,MATCH(B59,BP!$A$5:$A$9,1)))/(INDEX(BP!$B$5:$B$9,MATCH(B59,BP!$A$5:$A$9,1))-INDEX(BP!$A$5:$A$9,MATCH(B59,BP!$A$5:$A$9,1)))*(B59-INDEX(BP!$A$5:$A$9,MATCH(B59,BP!$A$5:$A$9,1)))+INDEX(BP!$C$5:$C$9,MATCH(B59,BP!$A$5:$A$9,1)),0))</f>
        <v>48</v>
      </c>
      <c r="D59" s="12" t="str">
        <f aca="false">IF(NOT(ISNUMBER(C59)),"",INDEX(BP!$F$5:$F$9,MATCH(C59,BP!$E$5:$E$9,1)))</f>
        <v>ดี</v>
      </c>
      <c r="E59" s="12" t="n">
        <f aca="false">YEAR(A59)</f>
        <v>2021</v>
      </c>
      <c r="F59" s="12" t="n">
        <f aca="false">MONTH(A59)</f>
        <v>2</v>
      </c>
      <c r="G59" s="12" t="n">
        <v>15.5</v>
      </c>
      <c r="H59" s="12" t="n">
        <v>37.1</v>
      </c>
      <c r="I59" s="12" t="n">
        <v>298</v>
      </c>
      <c r="J59" s="12" t="n">
        <v>0</v>
      </c>
      <c r="K59" s="12" t="n">
        <v>0</v>
      </c>
      <c r="L59" s="12" t="s">
        <v>35</v>
      </c>
    </row>
    <row r="60" customFormat="false" ht="15" hidden="false" customHeight="false" outlineLevel="0" collapsed="false">
      <c r="A60" s="11" t="n">
        <v>44255</v>
      </c>
      <c r="B60" s="12" t="n">
        <v>29</v>
      </c>
      <c r="C60" s="12" t="n">
        <f aca="false">IF(NOT(ISNUMBER(B60)),"",ROUND((INDEX(BP!$D$5:$D$9,MATCH(B60,BP!$A$5:$A$9,1))-INDEX(BP!$C$5:$C$9,MATCH(B60,BP!$A$5:$A$9,1)))/(INDEX(BP!$B$5:$B$9,MATCH(B60,BP!$A$5:$A$9,1))-INDEX(BP!$A$5:$A$9,MATCH(B60,BP!$A$5:$A$9,1)))*(B60-INDEX(BP!$A$5:$A$9,MATCH(B60,BP!$A$5:$A$9,1)))+INDEX(BP!$C$5:$C$9,MATCH(B60,BP!$A$5:$A$9,1)),0))</f>
        <v>66</v>
      </c>
      <c r="D60" s="12" t="str">
        <f aca="false">IF(NOT(ISNUMBER(C60)),"",INDEX(BP!$F$5:$F$9,MATCH(C60,BP!$E$5:$E$9,1)))</f>
        <v>ปานกลาง</v>
      </c>
      <c r="E60" s="12" t="n">
        <f aca="false">YEAR(A60)</f>
        <v>2021</v>
      </c>
      <c r="F60" s="12" t="n">
        <f aca="false">MONTH(A60)</f>
        <v>2</v>
      </c>
      <c r="G60" s="12" t="n">
        <v>16.3</v>
      </c>
      <c r="H60" s="12" t="n">
        <v>37.1</v>
      </c>
      <c r="I60" s="12" t="n">
        <v>77</v>
      </c>
      <c r="J60" s="12" t="n">
        <v>0</v>
      </c>
      <c r="K60" s="12" t="n">
        <v>0</v>
      </c>
      <c r="L60" s="12" t="s">
        <v>35</v>
      </c>
    </row>
    <row r="61" customFormat="false" ht="15" hidden="false" customHeight="false" outlineLevel="0" collapsed="false">
      <c r="A61" s="11" t="n">
        <v>44256</v>
      </c>
      <c r="B61" s="12" t="n">
        <v>19</v>
      </c>
      <c r="C61" s="12" t="n">
        <f aca="false">IF(NOT(ISNUMBER(B61)),"",ROUND((INDEX(BP!$D$5:$D$9,MATCH(B61,BP!$A$5:$A$9,1))-INDEX(BP!$C$5:$C$9,MATCH(B61,BP!$A$5:$A$9,1)))/(INDEX(BP!$B$5:$B$9,MATCH(B61,BP!$A$5:$A$9,1))-INDEX(BP!$A$5:$A$9,MATCH(B61,BP!$A$5:$A$9,1)))*(B61-INDEX(BP!$A$5:$A$9,MATCH(B61,BP!$A$5:$A$9,1)))+INDEX(BP!$C$5:$C$9,MATCH(B61,BP!$A$5:$A$9,1)),0))</f>
        <v>35</v>
      </c>
      <c r="D61" s="12" t="str">
        <f aca="false">IF(NOT(ISNUMBER(C61)),"",INDEX(BP!$F$5:$F$9,MATCH(C61,BP!$E$5:$E$9,1)))</f>
        <v>ดี</v>
      </c>
      <c r="E61" s="12" t="n">
        <f aca="false">YEAR(A61)</f>
        <v>2021</v>
      </c>
      <c r="F61" s="12" t="n">
        <f aca="false">MONTH(A61)</f>
        <v>3</v>
      </c>
      <c r="G61" s="12" t="n">
        <v>16.4</v>
      </c>
      <c r="H61" s="12" t="n">
        <v>36.4</v>
      </c>
      <c r="I61" s="12" t="n">
        <v>84</v>
      </c>
      <c r="J61" s="12" t="n">
        <v>0</v>
      </c>
      <c r="K61" s="12" t="n">
        <v>0</v>
      </c>
      <c r="L61" s="12" t="s">
        <v>36</v>
      </c>
    </row>
    <row r="62" customFormat="false" ht="15" hidden="false" customHeight="false" outlineLevel="0" collapsed="false">
      <c r="A62" s="11" t="n">
        <v>44257</v>
      </c>
      <c r="B62" s="12" t="n">
        <v>19</v>
      </c>
      <c r="C62" s="12" t="n">
        <f aca="false">IF(NOT(ISNUMBER(B62)),"",ROUND((INDEX(BP!$D$5:$D$9,MATCH(B62,BP!$A$5:$A$9,1))-INDEX(BP!$C$5:$C$9,MATCH(B62,BP!$A$5:$A$9,1)))/(INDEX(BP!$B$5:$B$9,MATCH(B62,BP!$A$5:$A$9,1))-INDEX(BP!$A$5:$A$9,MATCH(B62,BP!$A$5:$A$9,1)))*(B62-INDEX(BP!$A$5:$A$9,MATCH(B62,BP!$A$5:$A$9,1)))+INDEX(BP!$C$5:$C$9,MATCH(B62,BP!$A$5:$A$9,1)),0))</f>
        <v>35</v>
      </c>
      <c r="D62" s="12" t="str">
        <f aca="false">IF(NOT(ISNUMBER(C62)),"",INDEX(BP!$F$5:$F$9,MATCH(C62,BP!$E$5:$E$9,1)))</f>
        <v>ดี</v>
      </c>
      <c r="E62" s="12" t="n">
        <f aca="false">YEAR(A62)</f>
        <v>2021</v>
      </c>
      <c r="F62" s="12" t="n">
        <f aca="false">MONTH(A62)</f>
        <v>3</v>
      </c>
      <c r="G62" s="12" t="n">
        <v>18.4</v>
      </c>
      <c r="H62" s="12" t="n">
        <v>41</v>
      </c>
      <c r="I62" s="12" t="n">
        <v>77</v>
      </c>
      <c r="J62" s="12" t="n">
        <v>0</v>
      </c>
      <c r="K62" s="12" t="n">
        <v>0</v>
      </c>
      <c r="L62" s="12" t="s">
        <v>36</v>
      </c>
    </row>
    <row r="63" customFormat="false" ht="15" hidden="false" customHeight="false" outlineLevel="0" collapsed="false">
      <c r="A63" s="11" t="n">
        <v>44258</v>
      </c>
      <c r="B63" s="12" t="n">
        <v>13</v>
      </c>
      <c r="C63" s="12" t="n">
        <f aca="false">IF(NOT(ISNUMBER(B63)),"",ROUND((INDEX(BP!$D$5:$D$9,MATCH(B63,BP!$A$5:$A$9,1))-INDEX(BP!$C$5:$C$9,MATCH(B63,BP!$A$5:$A$9,1)))/(INDEX(BP!$B$5:$B$9,MATCH(B63,BP!$A$5:$A$9,1))-INDEX(BP!$A$5:$A$9,MATCH(B63,BP!$A$5:$A$9,1)))*(B63-INDEX(BP!$A$5:$A$9,MATCH(B63,BP!$A$5:$A$9,1)))+INDEX(BP!$C$5:$C$9,MATCH(B63,BP!$A$5:$A$9,1)),0))</f>
        <v>22</v>
      </c>
      <c r="D63" s="12" t="str">
        <f aca="false">IF(NOT(ISNUMBER(C63)),"",INDEX(BP!$F$5:$F$9,MATCH(C63,BP!$E$5:$E$9,1)))</f>
        <v>ดีมาก</v>
      </c>
      <c r="E63" s="12" t="n">
        <f aca="false">YEAR(A63)</f>
        <v>2021</v>
      </c>
      <c r="F63" s="12" t="n">
        <f aca="false">MONTH(A63)</f>
        <v>3</v>
      </c>
      <c r="G63" s="12" t="n">
        <v>19.6</v>
      </c>
      <c r="H63" s="12" t="n">
        <v>42.5</v>
      </c>
      <c r="I63" s="12" t="n">
        <v>93</v>
      </c>
      <c r="J63" s="12" t="n">
        <v>0.4</v>
      </c>
      <c r="K63" s="12" t="n">
        <v>0</v>
      </c>
      <c r="L63" s="12" t="s">
        <v>36</v>
      </c>
    </row>
    <row r="64" customFormat="false" ht="15" hidden="false" customHeight="false" outlineLevel="0" collapsed="false">
      <c r="A64" s="11" t="n">
        <v>44259</v>
      </c>
      <c r="B64" s="12" t="n">
        <v>13</v>
      </c>
      <c r="C64" s="12" t="n">
        <f aca="false">IF(NOT(ISNUMBER(B64)),"",ROUND((INDEX(BP!$D$5:$D$9,MATCH(B64,BP!$A$5:$A$9,1))-INDEX(BP!$C$5:$C$9,MATCH(B64,BP!$A$5:$A$9,1)))/(INDEX(BP!$B$5:$B$9,MATCH(B64,BP!$A$5:$A$9,1))-INDEX(BP!$A$5:$A$9,MATCH(B64,BP!$A$5:$A$9,1)))*(B64-INDEX(BP!$A$5:$A$9,MATCH(B64,BP!$A$5:$A$9,1)))+INDEX(BP!$C$5:$C$9,MATCH(B64,BP!$A$5:$A$9,1)),0))</f>
        <v>22</v>
      </c>
      <c r="D64" s="12" t="str">
        <f aca="false">IF(NOT(ISNUMBER(C64)),"",INDEX(BP!$F$5:$F$9,MATCH(C64,BP!$E$5:$E$9,1)))</f>
        <v>ดีมาก</v>
      </c>
      <c r="E64" s="12" t="n">
        <f aca="false">YEAR(A64)</f>
        <v>2021</v>
      </c>
      <c r="F64" s="12" t="n">
        <f aca="false">MONTH(A64)</f>
        <v>3</v>
      </c>
      <c r="G64" s="12" t="n">
        <v>25.4</v>
      </c>
      <c r="H64" s="12" t="n">
        <v>54</v>
      </c>
      <c r="I64" s="12" t="n">
        <v>94</v>
      </c>
      <c r="J64" s="12" t="n">
        <v>0.9</v>
      </c>
      <c r="K64" s="12" t="n">
        <v>0.4</v>
      </c>
      <c r="L64" s="12" t="s">
        <v>36</v>
      </c>
    </row>
    <row r="65" customFormat="false" ht="15" hidden="false" customHeight="false" outlineLevel="0" collapsed="false">
      <c r="A65" s="11" t="n">
        <v>44260</v>
      </c>
      <c r="B65" s="12" t="n">
        <v>13</v>
      </c>
      <c r="C65" s="12" t="n">
        <f aca="false">IF(NOT(ISNUMBER(B65)),"",ROUND((INDEX(BP!$D$5:$D$9,MATCH(B65,BP!$A$5:$A$9,1))-INDEX(BP!$C$5:$C$9,MATCH(B65,BP!$A$5:$A$9,1)))/(INDEX(BP!$B$5:$B$9,MATCH(B65,BP!$A$5:$A$9,1))-INDEX(BP!$A$5:$A$9,MATCH(B65,BP!$A$5:$A$9,1)))*(B65-INDEX(BP!$A$5:$A$9,MATCH(B65,BP!$A$5:$A$9,1)))+INDEX(BP!$C$5:$C$9,MATCH(B65,BP!$A$5:$A$9,1)),0))</f>
        <v>22</v>
      </c>
      <c r="D65" s="12" t="str">
        <f aca="false">IF(NOT(ISNUMBER(C65)),"",INDEX(BP!$F$5:$F$9,MATCH(C65,BP!$E$5:$E$9,1)))</f>
        <v>ดีมาก</v>
      </c>
      <c r="E65" s="12" t="n">
        <f aca="false">YEAR(A65)</f>
        <v>2021</v>
      </c>
      <c r="F65" s="12" t="n">
        <f aca="false">MONTH(A65)</f>
        <v>3</v>
      </c>
      <c r="G65" s="12" t="n">
        <v>21.3</v>
      </c>
      <c r="H65" s="12" t="n">
        <v>46.8</v>
      </c>
      <c r="I65" s="12" t="n">
        <v>88</v>
      </c>
      <c r="J65" s="12" t="n">
        <v>0.2</v>
      </c>
      <c r="K65" s="12" t="n">
        <v>0</v>
      </c>
      <c r="L65" s="12" t="s">
        <v>36</v>
      </c>
    </row>
    <row r="66" customFormat="false" ht="15" hidden="false" customHeight="false" outlineLevel="0" collapsed="false">
      <c r="A66" s="11" t="n">
        <v>44261</v>
      </c>
      <c r="B66" s="12" t="n">
        <v>13</v>
      </c>
      <c r="C66" s="12" t="n">
        <f aca="false">IF(NOT(ISNUMBER(B66)),"",ROUND((INDEX(BP!$D$5:$D$9,MATCH(B66,BP!$A$5:$A$9,1))-INDEX(BP!$C$5:$C$9,MATCH(B66,BP!$A$5:$A$9,1)))/(INDEX(BP!$B$5:$B$9,MATCH(B66,BP!$A$5:$A$9,1))-INDEX(BP!$A$5:$A$9,MATCH(B66,BP!$A$5:$A$9,1)))*(B66-INDEX(BP!$A$5:$A$9,MATCH(B66,BP!$A$5:$A$9,1)))+INDEX(BP!$C$5:$C$9,MATCH(B66,BP!$A$5:$A$9,1)),0))</f>
        <v>22</v>
      </c>
      <c r="D66" s="12" t="str">
        <f aca="false">IF(NOT(ISNUMBER(C66)),"",INDEX(BP!$F$5:$F$9,MATCH(C66,BP!$E$5:$E$9,1)))</f>
        <v>ดีมาก</v>
      </c>
      <c r="E66" s="12" t="n">
        <f aca="false">YEAR(A66)</f>
        <v>2021</v>
      </c>
      <c r="F66" s="12" t="n">
        <f aca="false">MONTH(A66)</f>
        <v>3</v>
      </c>
      <c r="G66" s="12" t="n">
        <v>18</v>
      </c>
      <c r="H66" s="12" t="n">
        <v>41.4</v>
      </c>
      <c r="I66" s="12" t="n">
        <v>78</v>
      </c>
      <c r="J66" s="12" t="n">
        <v>0.8</v>
      </c>
      <c r="K66" s="12" t="n">
        <v>0</v>
      </c>
      <c r="L66" s="12" t="s">
        <v>35</v>
      </c>
    </row>
    <row r="67" customFormat="false" ht="15" hidden="false" customHeight="false" outlineLevel="0" collapsed="false">
      <c r="A67" s="11" t="n">
        <v>44262</v>
      </c>
      <c r="B67" s="12" t="n">
        <v>13</v>
      </c>
      <c r="C67" s="12" t="n">
        <f aca="false">IF(NOT(ISNUMBER(B67)),"",ROUND((INDEX(BP!$D$5:$D$9,MATCH(B67,BP!$A$5:$A$9,1))-INDEX(BP!$C$5:$C$9,MATCH(B67,BP!$A$5:$A$9,1)))/(INDEX(BP!$B$5:$B$9,MATCH(B67,BP!$A$5:$A$9,1))-INDEX(BP!$A$5:$A$9,MATCH(B67,BP!$A$5:$A$9,1)))*(B67-INDEX(BP!$A$5:$A$9,MATCH(B67,BP!$A$5:$A$9,1)))+INDEX(BP!$C$5:$C$9,MATCH(B67,BP!$A$5:$A$9,1)),0))</f>
        <v>22</v>
      </c>
      <c r="D67" s="12" t="str">
        <f aca="false">IF(NOT(ISNUMBER(C67)),"",INDEX(BP!$F$5:$F$9,MATCH(C67,BP!$E$5:$E$9,1)))</f>
        <v>ดีมาก</v>
      </c>
      <c r="E67" s="12" t="n">
        <f aca="false">YEAR(A67)</f>
        <v>2021</v>
      </c>
      <c r="F67" s="12" t="n">
        <f aca="false">MONTH(A67)</f>
        <v>3</v>
      </c>
      <c r="G67" s="12" t="n">
        <v>18.4</v>
      </c>
      <c r="H67" s="12" t="n">
        <v>41.8</v>
      </c>
      <c r="I67" s="12" t="n">
        <v>78</v>
      </c>
      <c r="J67" s="12" t="n">
        <v>0</v>
      </c>
      <c r="K67" s="12" t="n">
        <v>0</v>
      </c>
      <c r="L67" s="12" t="s">
        <v>35</v>
      </c>
    </row>
    <row r="68" customFormat="false" ht="15" hidden="false" customHeight="false" outlineLevel="0" collapsed="false">
      <c r="A68" s="11" t="n">
        <v>44263</v>
      </c>
      <c r="B68" s="12" t="n">
        <v>11</v>
      </c>
      <c r="C68" s="12" t="n">
        <f aca="false">IF(NOT(ISNUMBER(B68)),"",ROUND((INDEX(BP!$D$5:$D$9,MATCH(B68,BP!$A$5:$A$9,1))-INDEX(BP!$C$5:$C$9,MATCH(B68,BP!$A$5:$A$9,1)))/(INDEX(BP!$B$5:$B$9,MATCH(B68,BP!$A$5:$A$9,1))-INDEX(BP!$A$5:$A$9,MATCH(B68,BP!$A$5:$A$9,1)))*(B68-INDEX(BP!$A$5:$A$9,MATCH(B68,BP!$A$5:$A$9,1)))+INDEX(BP!$C$5:$C$9,MATCH(B68,BP!$A$5:$A$9,1)),0))</f>
        <v>18</v>
      </c>
      <c r="D68" s="12" t="str">
        <f aca="false">IF(NOT(ISNUMBER(C68)),"",INDEX(BP!$F$5:$F$9,MATCH(C68,BP!$E$5:$E$9,1)))</f>
        <v>ดีมาก</v>
      </c>
      <c r="E68" s="12" t="n">
        <f aca="false">YEAR(A68)</f>
        <v>2021</v>
      </c>
      <c r="F68" s="12" t="n">
        <f aca="false">MONTH(A68)</f>
        <v>3</v>
      </c>
      <c r="G68" s="12" t="n">
        <v>19.2</v>
      </c>
      <c r="H68" s="12" t="n">
        <v>42.8</v>
      </c>
      <c r="I68" s="12" t="n">
        <v>80</v>
      </c>
      <c r="J68" s="12" t="n">
        <v>0.4</v>
      </c>
      <c r="K68" s="12" t="n">
        <v>0</v>
      </c>
      <c r="L68" s="12" t="s">
        <v>36</v>
      </c>
    </row>
    <row r="69" customFormat="false" ht="15" hidden="false" customHeight="false" outlineLevel="0" collapsed="false">
      <c r="A69" s="11" t="n">
        <v>44264</v>
      </c>
      <c r="B69" s="12" t="n">
        <v>17</v>
      </c>
      <c r="C69" s="12" t="n">
        <f aca="false">IF(NOT(ISNUMBER(B69)),"",ROUND((INDEX(BP!$D$5:$D$9,MATCH(B69,BP!$A$5:$A$9,1))-INDEX(BP!$C$5:$C$9,MATCH(B69,BP!$A$5:$A$9,1)))/(INDEX(BP!$B$5:$B$9,MATCH(B69,BP!$A$5:$A$9,1))-INDEX(BP!$A$5:$A$9,MATCH(B69,BP!$A$5:$A$9,1)))*(B69-INDEX(BP!$A$5:$A$9,MATCH(B69,BP!$A$5:$A$9,1)))+INDEX(BP!$C$5:$C$9,MATCH(B69,BP!$A$5:$A$9,1)),0))</f>
        <v>31</v>
      </c>
      <c r="D69" s="12" t="str">
        <f aca="false">IF(NOT(ISNUMBER(C69)),"",INDEX(BP!$F$5:$F$9,MATCH(C69,BP!$E$5:$E$9,1)))</f>
        <v>ดี</v>
      </c>
      <c r="E69" s="12" t="n">
        <f aca="false">YEAR(A69)</f>
        <v>2021</v>
      </c>
      <c r="F69" s="12" t="n">
        <f aca="false">MONTH(A69)</f>
        <v>3</v>
      </c>
      <c r="G69" s="12" t="n">
        <v>19.3</v>
      </c>
      <c r="H69" s="12" t="n">
        <v>42.1</v>
      </c>
      <c r="I69" s="12" t="n">
        <v>81</v>
      </c>
      <c r="J69" s="12" t="n">
        <v>0.1</v>
      </c>
      <c r="K69" s="12" t="n">
        <v>0</v>
      </c>
      <c r="L69" s="12" t="s">
        <v>36</v>
      </c>
    </row>
    <row r="70" customFormat="false" ht="15" hidden="false" customHeight="false" outlineLevel="0" collapsed="false">
      <c r="A70" s="11" t="n">
        <v>44265</v>
      </c>
      <c r="B70" s="12" t="n">
        <v>17</v>
      </c>
      <c r="C70" s="12" t="n">
        <f aca="false">IF(NOT(ISNUMBER(B70)),"",ROUND((INDEX(BP!$D$5:$D$9,MATCH(B70,BP!$A$5:$A$9,1))-INDEX(BP!$C$5:$C$9,MATCH(B70,BP!$A$5:$A$9,1)))/(INDEX(BP!$B$5:$B$9,MATCH(B70,BP!$A$5:$A$9,1))-INDEX(BP!$A$5:$A$9,MATCH(B70,BP!$A$5:$A$9,1)))*(B70-INDEX(BP!$A$5:$A$9,MATCH(B70,BP!$A$5:$A$9,1)))+INDEX(BP!$C$5:$C$9,MATCH(B70,BP!$A$5:$A$9,1)),0))</f>
        <v>31</v>
      </c>
      <c r="D70" s="12" t="str">
        <f aca="false">IF(NOT(ISNUMBER(C70)),"",INDEX(BP!$F$5:$F$9,MATCH(C70,BP!$E$5:$E$9,1)))</f>
        <v>ดี</v>
      </c>
      <c r="E70" s="12" t="n">
        <f aca="false">YEAR(A70)</f>
        <v>2021</v>
      </c>
      <c r="F70" s="12" t="n">
        <f aca="false">MONTH(A70)</f>
        <v>3</v>
      </c>
      <c r="G70" s="12" t="n">
        <v>18.1</v>
      </c>
      <c r="H70" s="12" t="n">
        <v>40.3</v>
      </c>
      <c r="I70" s="12" t="n">
        <v>76</v>
      </c>
      <c r="J70" s="12" t="n">
        <v>0</v>
      </c>
      <c r="K70" s="12" t="n">
        <v>0</v>
      </c>
      <c r="L70" s="12" t="s">
        <v>36</v>
      </c>
    </row>
    <row r="71" customFormat="false" ht="15" hidden="false" customHeight="false" outlineLevel="0" collapsed="false">
      <c r="A71" s="11" t="n">
        <v>44266</v>
      </c>
      <c r="B71" s="12" t="n">
        <v>14</v>
      </c>
      <c r="C71" s="12" t="n">
        <f aca="false">IF(NOT(ISNUMBER(B71)),"",ROUND((INDEX(BP!$D$5:$D$9,MATCH(B71,BP!$A$5:$A$9,1))-INDEX(BP!$C$5:$C$9,MATCH(B71,BP!$A$5:$A$9,1)))/(INDEX(BP!$B$5:$B$9,MATCH(B71,BP!$A$5:$A$9,1))-INDEX(BP!$A$5:$A$9,MATCH(B71,BP!$A$5:$A$9,1)))*(B71-INDEX(BP!$A$5:$A$9,MATCH(B71,BP!$A$5:$A$9,1)))+INDEX(BP!$C$5:$C$9,MATCH(B71,BP!$A$5:$A$9,1)),0))</f>
        <v>23</v>
      </c>
      <c r="D71" s="12" t="str">
        <f aca="false">IF(NOT(ISNUMBER(C71)),"",INDEX(BP!$F$5:$F$9,MATCH(C71,BP!$E$5:$E$9,1)))</f>
        <v>ดีมาก</v>
      </c>
      <c r="E71" s="12" t="n">
        <f aca="false">YEAR(A71)</f>
        <v>2021</v>
      </c>
      <c r="F71" s="12" t="n">
        <f aca="false">MONTH(A71)</f>
        <v>3</v>
      </c>
      <c r="G71" s="12" t="n">
        <v>20.3</v>
      </c>
      <c r="H71" s="12" t="n">
        <v>45</v>
      </c>
      <c r="I71" s="12" t="n">
        <v>81</v>
      </c>
      <c r="J71" s="12" t="n">
        <v>0.2</v>
      </c>
      <c r="K71" s="12" t="n">
        <v>0</v>
      </c>
      <c r="L71" s="12" t="s">
        <v>36</v>
      </c>
    </row>
    <row r="72" customFormat="false" ht="15" hidden="false" customHeight="false" outlineLevel="0" collapsed="false">
      <c r="A72" s="11" t="n">
        <v>44267</v>
      </c>
      <c r="B72" s="12" t="n">
        <v>15</v>
      </c>
      <c r="C72" s="12" t="n">
        <f aca="false">IF(NOT(ISNUMBER(B72)),"",ROUND((INDEX(BP!$D$5:$D$9,MATCH(B72,BP!$A$5:$A$9,1))-INDEX(BP!$C$5:$C$9,MATCH(B72,BP!$A$5:$A$9,1)))/(INDEX(BP!$B$5:$B$9,MATCH(B72,BP!$A$5:$A$9,1))-INDEX(BP!$A$5:$A$9,MATCH(B72,BP!$A$5:$A$9,1)))*(B72-INDEX(BP!$A$5:$A$9,MATCH(B72,BP!$A$5:$A$9,1)))+INDEX(BP!$C$5:$C$9,MATCH(B72,BP!$A$5:$A$9,1)),0))</f>
        <v>25</v>
      </c>
      <c r="D72" s="12" t="str">
        <f aca="false">IF(NOT(ISNUMBER(C72)),"",INDEX(BP!$F$5:$F$9,MATCH(C72,BP!$E$5:$E$9,1)))</f>
        <v>ดีมาก</v>
      </c>
      <c r="E72" s="12" t="n">
        <f aca="false">YEAR(A72)</f>
        <v>2021</v>
      </c>
      <c r="F72" s="12" t="n">
        <f aca="false">MONTH(A72)</f>
        <v>3</v>
      </c>
      <c r="G72" s="12" t="n">
        <v>18.4</v>
      </c>
      <c r="H72" s="12" t="n">
        <v>47.9</v>
      </c>
      <c r="I72" s="12" t="n">
        <v>90</v>
      </c>
      <c r="J72" s="12" t="n">
        <v>0.6</v>
      </c>
      <c r="K72" s="12" t="n">
        <v>0</v>
      </c>
      <c r="L72" s="12" t="s">
        <v>36</v>
      </c>
    </row>
    <row r="73" customFormat="false" ht="15" hidden="false" customHeight="false" outlineLevel="0" collapsed="false">
      <c r="A73" s="11" t="n">
        <v>44268</v>
      </c>
      <c r="B73" s="12" t="n">
        <v>17</v>
      </c>
      <c r="C73" s="12" t="n">
        <f aca="false">IF(NOT(ISNUMBER(B73)),"",ROUND((INDEX(BP!$D$5:$D$9,MATCH(B73,BP!$A$5:$A$9,1))-INDEX(BP!$C$5:$C$9,MATCH(B73,BP!$A$5:$A$9,1)))/(INDEX(BP!$B$5:$B$9,MATCH(B73,BP!$A$5:$A$9,1))-INDEX(BP!$A$5:$A$9,MATCH(B73,BP!$A$5:$A$9,1)))*(B73-INDEX(BP!$A$5:$A$9,MATCH(B73,BP!$A$5:$A$9,1)))+INDEX(BP!$C$5:$C$9,MATCH(B73,BP!$A$5:$A$9,1)),0))</f>
        <v>31</v>
      </c>
      <c r="D73" s="12" t="str">
        <f aca="false">IF(NOT(ISNUMBER(C73)),"",INDEX(BP!$F$5:$F$9,MATCH(C73,BP!$E$5:$E$9,1)))</f>
        <v>ดี</v>
      </c>
      <c r="E73" s="12" t="n">
        <f aca="false">YEAR(A73)</f>
        <v>2021</v>
      </c>
      <c r="F73" s="12" t="n">
        <f aca="false">MONTH(A73)</f>
        <v>3</v>
      </c>
      <c r="G73" s="12" t="n">
        <v>17.1</v>
      </c>
      <c r="H73" s="12" t="n">
        <v>45</v>
      </c>
      <c r="I73" s="12" t="n">
        <v>78</v>
      </c>
      <c r="J73" s="12" t="n">
        <v>0.2</v>
      </c>
      <c r="K73" s="12" t="n">
        <v>0</v>
      </c>
      <c r="L73" s="12" t="s">
        <v>35</v>
      </c>
    </row>
    <row r="74" customFormat="false" ht="15" hidden="false" customHeight="false" outlineLevel="0" collapsed="false">
      <c r="A74" s="11" t="n">
        <v>44269</v>
      </c>
      <c r="B74" s="12" t="n">
        <v>17</v>
      </c>
      <c r="C74" s="12" t="n">
        <f aca="false">IF(NOT(ISNUMBER(B74)),"",ROUND((INDEX(BP!$D$5:$D$9,MATCH(B74,BP!$A$5:$A$9,1))-INDEX(BP!$C$5:$C$9,MATCH(B74,BP!$A$5:$A$9,1)))/(INDEX(BP!$B$5:$B$9,MATCH(B74,BP!$A$5:$A$9,1))-INDEX(BP!$A$5:$A$9,MATCH(B74,BP!$A$5:$A$9,1)))*(B74-INDEX(BP!$A$5:$A$9,MATCH(B74,BP!$A$5:$A$9,1)))+INDEX(BP!$C$5:$C$9,MATCH(B74,BP!$A$5:$A$9,1)),0))</f>
        <v>31</v>
      </c>
      <c r="D74" s="12" t="str">
        <f aca="false">IF(NOT(ISNUMBER(C74)),"",INDEX(BP!$F$5:$F$9,MATCH(C74,BP!$E$5:$E$9,1)))</f>
        <v>ดี</v>
      </c>
      <c r="E74" s="12" t="n">
        <f aca="false">YEAR(A74)</f>
        <v>2021</v>
      </c>
      <c r="F74" s="12" t="n">
        <f aca="false">MONTH(A74)</f>
        <v>3</v>
      </c>
      <c r="G74" s="12" t="n">
        <v>17.9</v>
      </c>
      <c r="H74" s="12" t="n">
        <v>40.3</v>
      </c>
      <c r="I74" s="12" t="n">
        <v>77</v>
      </c>
      <c r="J74" s="12" t="n">
        <v>0</v>
      </c>
      <c r="K74" s="12" t="n">
        <v>0</v>
      </c>
      <c r="L74" s="12" t="s">
        <v>35</v>
      </c>
    </row>
    <row r="75" customFormat="false" ht="15" hidden="false" customHeight="false" outlineLevel="0" collapsed="false">
      <c r="A75" s="11" t="n">
        <v>44270</v>
      </c>
      <c r="B75" s="12" t="n">
        <v>16</v>
      </c>
      <c r="C75" s="12" t="n">
        <f aca="false">IF(NOT(ISNUMBER(B75)),"",ROUND((INDEX(BP!$D$5:$D$9,MATCH(B75,BP!$A$5:$A$9,1))-INDEX(BP!$C$5:$C$9,MATCH(B75,BP!$A$5:$A$9,1)))/(INDEX(BP!$B$5:$B$9,MATCH(B75,BP!$A$5:$A$9,1))-INDEX(BP!$A$5:$A$9,MATCH(B75,BP!$A$5:$A$9,1)))*(B75-INDEX(BP!$A$5:$A$9,MATCH(B75,BP!$A$5:$A$9,1)))+INDEX(BP!$C$5:$C$9,MATCH(B75,BP!$A$5:$A$9,1)),0))</f>
        <v>28</v>
      </c>
      <c r="D75" s="12" t="str">
        <f aca="false">IF(NOT(ISNUMBER(C75)),"",INDEX(BP!$F$5:$F$9,MATCH(C75,BP!$E$5:$E$9,1)))</f>
        <v>ดี</v>
      </c>
      <c r="E75" s="12" t="n">
        <f aca="false">YEAR(A75)</f>
        <v>2021</v>
      </c>
      <c r="F75" s="12" t="n">
        <f aca="false">MONTH(A75)</f>
        <v>3</v>
      </c>
      <c r="G75" s="12" t="n">
        <v>19.7</v>
      </c>
      <c r="H75" s="12" t="n">
        <v>45.4</v>
      </c>
      <c r="I75" s="12" t="n">
        <v>82</v>
      </c>
      <c r="J75" s="12" t="n">
        <v>0.3</v>
      </c>
      <c r="K75" s="12" t="n">
        <v>0</v>
      </c>
      <c r="L75" s="12" t="s">
        <v>36</v>
      </c>
    </row>
    <row r="76" customFormat="false" ht="15" hidden="false" customHeight="false" outlineLevel="0" collapsed="false">
      <c r="A76" s="11" t="n">
        <v>44271</v>
      </c>
      <c r="B76" s="12" t="n">
        <v>15</v>
      </c>
      <c r="C76" s="12" t="n">
        <f aca="false">IF(NOT(ISNUMBER(B76)),"",ROUND((INDEX(BP!$D$5:$D$9,MATCH(B76,BP!$A$5:$A$9,1))-INDEX(BP!$C$5:$C$9,MATCH(B76,BP!$A$5:$A$9,1)))/(INDEX(BP!$B$5:$B$9,MATCH(B76,BP!$A$5:$A$9,1))-INDEX(BP!$A$5:$A$9,MATCH(B76,BP!$A$5:$A$9,1)))*(B76-INDEX(BP!$A$5:$A$9,MATCH(B76,BP!$A$5:$A$9,1)))+INDEX(BP!$C$5:$C$9,MATCH(B76,BP!$A$5:$A$9,1)),0))</f>
        <v>25</v>
      </c>
      <c r="D76" s="12" t="str">
        <f aca="false">IF(NOT(ISNUMBER(C76)),"",INDEX(BP!$F$5:$F$9,MATCH(C76,BP!$E$5:$E$9,1)))</f>
        <v>ดีมาก</v>
      </c>
      <c r="E76" s="12" t="n">
        <f aca="false">YEAR(A76)</f>
        <v>2021</v>
      </c>
      <c r="F76" s="12" t="n">
        <f aca="false">MONTH(A76)</f>
        <v>3</v>
      </c>
      <c r="G76" s="12" t="n">
        <v>18.2</v>
      </c>
      <c r="H76" s="12" t="n">
        <v>41</v>
      </c>
      <c r="I76" s="12" t="n">
        <v>81</v>
      </c>
      <c r="J76" s="12" t="n">
        <v>0</v>
      </c>
      <c r="K76" s="12" t="n">
        <v>0</v>
      </c>
      <c r="L76" s="12" t="s">
        <v>36</v>
      </c>
    </row>
    <row r="77" customFormat="false" ht="15" hidden="false" customHeight="false" outlineLevel="0" collapsed="false">
      <c r="A77" s="11" t="n">
        <v>44272</v>
      </c>
      <c r="B77" s="12" t="n">
        <v>19</v>
      </c>
      <c r="C77" s="12" t="n">
        <f aca="false">IF(NOT(ISNUMBER(B77)),"",ROUND((INDEX(BP!$D$5:$D$9,MATCH(B77,BP!$A$5:$A$9,1))-INDEX(BP!$C$5:$C$9,MATCH(B77,BP!$A$5:$A$9,1)))/(INDEX(BP!$B$5:$B$9,MATCH(B77,BP!$A$5:$A$9,1))-INDEX(BP!$A$5:$A$9,MATCH(B77,BP!$A$5:$A$9,1)))*(B77-INDEX(BP!$A$5:$A$9,MATCH(B77,BP!$A$5:$A$9,1)))+INDEX(BP!$C$5:$C$9,MATCH(B77,BP!$A$5:$A$9,1)),0))</f>
        <v>35</v>
      </c>
      <c r="D77" s="12" t="str">
        <f aca="false">IF(NOT(ISNUMBER(C77)),"",INDEX(BP!$F$5:$F$9,MATCH(C77,BP!$E$5:$E$9,1)))</f>
        <v>ดี</v>
      </c>
      <c r="E77" s="12" t="n">
        <f aca="false">YEAR(A77)</f>
        <v>2021</v>
      </c>
      <c r="F77" s="12" t="n">
        <f aca="false">MONTH(A77)</f>
        <v>3</v>
      </c>
      <c r="G77" s="12" t="n">
        <v>14.6</v>
      </c>
      <c r="H77" s="12" t="n">
        <v>34.9</v>
      </c>
      <c r="I77" s="12" t="n">
        <v>86</v>
      </c>
      <c r="J77" s="12" t="n">
        <v>0</v>
      </c>
      <c r="K77" s="12" t="n">
        <v>0</v>
      </c>
      <c r="L77" s="12" t="s">
        <v>36</v>
      </c>
    </row>
    <row r="78" customFormat="false" ht="15" hidden="false" customHeight="false" outlineLevel="0" collapsed="false">
      <c r="A78" s="11" t="n">
        <v>44273</v>
      </c>
      <c r="B78" s="12" t="n">
        <v>22</v>
      </c>
      <c r="C78" s="12" t="n">
        <f aca="false">IF(NOT(ISNUMBER(B78)),"",ROUND((INDEX(BP!$D$5:$D$9,MATCH(B78,BP!$A$5:$A$9,1))-INDEX(BP!$C$5:$C$9,MATCH(B78,BP!$A$5:$A$9,1)))/(INDEX(BP!$B$5:$B$9,MATCH(B78,BP!$A$5:$A$9,1))-INDEX(BP!$A$5:$A$9,MATCH(B78,BP!$A$5:$A$9,1)))*(B78-INDEX(BP!$A$5:$A$9,MATCH(B78,BP!$A$5:$A$9,1)))+INDEX(BP!$C$5:$C$9,MATCH(B78,BP!$A$5:$A$9,1)),0))</f>
        <v>43</v>
      </c>
      <c r="D78" s="12" t="str">
        <f aca="false">IF(NOT(ISNUMBER(C78)),"",INDEX(BP!$F$5:$F$9,MATCH(C78,BP!$E$5:$E$9,1)))</f>
        <v>ดี</v>
      </c>
      <c r="E78" s="12" t="n">
        <f aca="false">YEAR(A78)</f>
        <v>2021</v>
      </c>
      <c r="F78" s="12" t="n">
        <f aca="false">MONTH(A78)</f>
        <v>3</v>
      </c>
      <c r="G78" s="12" t="n">
        <v>15.5</v>
      </c>
      <c r="H78" s="12" t="n">
        <v>36.4</v>
      </c>
      <c r="I78" s="12" t="n">
        <v>66</v>
      </c>
      <c r="J78" s="12" t="n">
        <v>0</v>
      </c>
      <c r="K78" s="12" t="n">
        <v>0</v>
      </c>
      <c r="L78" s="12" t="s">
        <v>36</v>
      </c>
    </row>
    <row r="79" customFormat="false" ht="15" hidden="false" customHeight="false" outlineLevel="0" collapsed="false">
      <c r="A79" s="11" t="n">
        <v>44274</v>
      </c>
      <c r="B79" s="12" t="n">
        <v>18</v>
      </c>
      <c r="C79" s="12" t="n">
        <f aca="false">IF(NOT(ISNUMBER(B79)),"",ROUND((INDEX(BP!$D$5:$D$9,MATCH(B79,BP!$A$5:$A$9,1))-INDEX(BP!$C$5:$C$9,MATCH(B79,BP!$A$5:$A$9,1)))/(INDEX(BP!$B$5:$B$9,MATCH(B79,BP!$A$5:$A$9,1))-INDEX(BP!$A$5:$A$9,MATCH(B79,BP!$A$5:$A$9,1)))*(B79-INDEX(BP!$A$5:$A$9,MATCH(B79,BP!$A$5:$A$9,1)))+INDEX(BP!$C$5:$C$9,MATCH(B79,BP!$A$5:$A$9,1)),0))</f>
        <v>33</v>
      </c>
      <c r="D79" s="12" t="str">
        <f aca="false">IF(NOT(ISNUMBER(C79)),"",INDEX(BP!$F$5:$F$9,MATCH(C79,BP!$E$5:$E$9,1)))</f>
        <v>ดี</v>
      </c>
      <c r="E79" s="12" t="n">
        <f aca="false">YEAR(A79)</f>
        <v>2021</v>
      </c>
      <c r="F79" s="12" t="n">
        <f aca="false">MONTH(A79)</f>
        <v>3</v>
      </c>
      <c r="G79" s="12" t="n">
        <v>14</v>
      </c>
      <c r="H79" s="12" t="n">
        <v>33.1</v>
      </c>
      <c r="I79" s="12" t="n">
        <v>68</v>
      </c>
      <c r="J79" s="12" t="n">
        <v>0</v>
      </c>
      <c r="K79" s="12" t="n">
        <v>0</v>
      </c>
      <c r="L79" s="12" t="s">
        <v>36</v>
      </c>
    </row>
    <row r="80" customFormat="false" ht="15" hidden="false" customHeight="false" outlineLevel="0" collapsed="false">
      <c r="A80" s="11" t="n">
        <v>44275</v>
      </c>
      <c r="B80" s="12" t="n">
        <v>18</v>
      </c>
      <c r="C80" s="12" t="n">
        <f aca="false">IF(NOT(ISNUMBER(B80)),"",ROUND((INDEX(BP!$D$5:$D$9,MATCH(B80,BP!$A$5:$A$9,1))-INDEX(BP!$C$5:$C$9,MATCH(B80,BP!$A$5:$A$9,1)))/(INDEX(BP!$B$5:$B$9,MATCH(B80,BP!$A$5:$A$9,1))-INDEX(BP!$A$5:$A$9,MATCH(B80,BP!$A$5:$A$9,1)))*(B80-INDEX(BP!$A$5:$A$9,MATCH(B80,BP!$A$5:$A$9,1)))+INDEX(BP!$C$5:$C$9,MATCH(B80,BP!$A$5:$A$9,1)),0))</f>
        <v>33</v>
      </c>
      <c r="D80" s="12" t="str">
        <f aca="false">IF(NOT(ISNUMBER(C80)),"",INDEX(BP!$F$5:$F$9,MATCH(C80,BP!$E$5:$E$9,1)))</f>
        <v>ดี</v>
      </c>
      <c r="E80" s="12" t="n">
        <f aca="false">YEAR(A80)</f>
        <v>2021</v>
      </c>
      <c r="F80" s="12" t="n">
        <f aca="false">MONTH(A80)</f>
        <v>3</v>
      </c>
      <c r="G80" s="12" t="n">
        <v>15.3</v>
      </c>
      <c r="H80" s="12" t="n">
        <v>36</v>
      </c>
      <c r="I80" s="12" t="n">
        <v>65</v>
      </c>
      <c r="J80" s="12" t="n">
        <v>0</v>
      </c>
      <c r="K80" s="12" t="n">
        <v>0</v>
      </c>
      <c r="L80" s="12" t="s">
        <v>35</v>
      </c>
    </row>
    <row r="81" customFormat="false" ht="15" hidden="false" customHeight="false" outlineLevel="0" collapsed="false">
      <c r="A81" s="11" t="n">
        <v>44276</v>
      </c>
      <c r="B81" s="12" t="n">
        <v>16</v>
      </c>
      <c r="C81" s="12" t="n">
        <f aca="false">IF(NOT(ISNUMBER(B81)),"",ROUND((INDEX(BP!$D$5:$D$9,MATCH(B81,BP!$A$5:$A$9,1))-INDEX(BP!$C$5:$C$9,MATCH(B81,BP!$A$5:$A$9,1)))/(INDEX(BP!$B$5:$B$9,MATCH(B81,BP!$A$5:$A$9,1))-INDEX(BP!$A$5:$A$9,MATCH(B81,BP!$A$5:$A$9,1)))*(B81-INDEX(BP!$A$5:$A$9,MATCH(B81,BP!$A$5:$A$9,1)))+INDEX(BP!$C$5:$C$9,MATCH(B81,BP!$A$5:$A$9,1)),0))</f>
        <v>28</v>
      </c>
      <c r="D81" s="12" t="str">
        <f aca="false">IF(NOT(ISNUMBER(C81)),"",INDEX(BP!$F$5:$F$9,MATCH(C81,BP!$E$5:$E$9,1)))</f>
        <v>ดี</v>
      </c>
      <c r="E81" s="12" t="n">
        <f aca="false">YEAR(A81)</f>
        <v>2021</v>
      </c>
      <c r="F81" s="12" t="n">
        <f aca="false">MONTH(A81)</f>
        <v>3</v>
      </c>
      <c r="G81" s="12" t="n">
        <v>16.3</v>
      </c>
      <c r="H81" s="12" t="n">
        <v>37.8</v>
      </c>
      <c r="I81" s="12" t="n">
        <v>71</v>
      </c>
      <c r="J81" s="12" t="n">
        <v>0</v>
      </c>
      <c r="K81" s="12" t="n">
        <v>0</v>
      </c>
      <c r="L81" s="12" t="s">
        <v>35</v>
      </c>
    </row>
    <row r="82" customFormat="false" ht="15" hidden="false" customHeight="false" outlineLevel="0" collapsed="false">
      <c r="A82" s="11" t="n">
        <v>44277</v>
      </c>
      <c r="B82" s="12" t="n">
        <v>11</v>
      </c>
      <c r="C82" s="12" t="n">
        <f aca="false">IF(NOT(ISNUMBER(B82)),"",ROUND((INDEX(BP!$D$5:$D$9,MATCH(B82,BP!$A$5:$A$9,1))-INDEX(BP!$C$5:$C$9,MATCH(B82,BP!$A$5:$A$9,1)))/(INDEX(BP!$B$5:$B$9,MATCH(B82,BP!$A$5:$A$9,1))-INDEX(BP!$A$5:$A$9,MATCH(B82,BP!$A$5:$A$9,1)))*(B82-INDEX(BP!$A$5:$A$9,MATCH(B82,BP!$A$5:$A$9,1)))+INDEX(BP!$C$5:$C$9,MATCH(B82,BP!$A$5:$A$9,1)),0))</f>
        <v>18</v>
      </c>
      <c r="D82" s="12" t="str">
        <f aca="false">IF(NOT(ISNUMBER(C82)),"",INDEX(BP!$F$5:$F$9,MATCH(C82,BP!$E$5:$E$9,1)))</f>
        <v>ดีมาก</v>
      </c>
      <c r="E82" s="12" t="n">
        <f aca="false">YEAR(A82)</f>
        <v>2021</v>
      </c>
      <c r="F82" s="12" t="n">
        <f aca="false">MONTH(A82)</f>
        <v>3</v>
      </c>
      <c r="G82" s="12" t="n">
        <v>23.2</v>
      </c>
      <c r="H82" s="12" t="n">
        <v>56.5</v>
      </c>
      <c r="I82" s="12" t="n">
        <v>84</v>
      </c>
      <c r="J82" s="12" t="n">
        <v>0.2</v>
      </c>
      <c r="K82" s="12" t="n">
        <v>1.6</v>
      </c>
      <c r="L82" s="12" t="s">
        <v>36</v>
      </c>
    </row>
    <row r="83" customFormat="false" ht="15" hidden="false" customHeight="false" outlineLevel="0" collapsed="false">
      <c r="A83" s="11" t="n">
        <v>44278</v>
      </c>
      <c r="B83" s="12" t="n">
        <v>15</v>
      </c>
      <c r="C83" s="12" t="n">
        <f aca="false">IF(NOT(ISNUMBER(B83)),"",ROUND((INDEX(BP!$D$5:$D$9,MATCH(B83,BP!$A$5:$A$9,1))-INDEX(BP!$C$5:$C$9,MATCH(B83,BP!$A$5:$A$9,1)))/(INDEX(BP!$B$5:$B$9,MATCH(B83,BP!$A$5:$A$9,1))-INDEX(BP!$A$5:$A$9,MATCH(B83,BP!$A$5:$A$9,1)))*(B83-INDEX(BP!$A$5:$A$9,MATCH(B83,BP!$A$5:$A$9,1)))+INDEX(BP!$C$5:$C$9,MATCH(B83,BP!$A$5:$A$9,1)),0))</f>
        <v>25</v>
      </c>
      <c r="D83" s="12" t="str">
        <f aca="false">IF(NOT(ISNUMBER(C83)),"",INDEX(BP!$F$5:$F$9,MATCH(C83,BP!$E$5:$E$9,1)))</f>
        <v>ดีมาก</v>
      </c>
      <c r="E83" s="12" t="n">
        <f aca="false">YEAR(A83)</f>
        <v>2021</v>
      </c>
      <c r="F83" s="12" t="n">
        <f aca="false">MONTH(A83)</f>
        <v>3</v>
      </c>
      <c r="G83" s="12" t="n">
        <v>25.8</v>
      </c>
      <c r="H83" s="12" t="n">
        <v>61.9</v>
      </c>
      <c r="I83" s="12" t="n">
        <v>87</v>
      </c>
      <c r="J83" s="12" t="n">
        <v>12.3</v>
      </c>
      <c r="K83" s="12" t="n">
        <v>3</v>
      </c>
      <c r="L83" s="12" t="s">
        <v>36</v>
      </c>
    </row>
    <row r="84" customFormat="false" ht="15" hidden="false" customHeight="false" outlineLevel="0" collapsed="false">
      <c r="A84" s="11" t="n">
        <v>44279</v>
      </c>
      <c r="B84" s="12" t="n">
        <v>14</v>
      </c>
      <c r="C84" s="12" t="n">
        <f aca="false">IF(NOT(ISNUMBER(B84)),"",ROUND((INDEX(BP!$D$5:$D$9,MATCH(B84,BP!$A$5:$A$9,1))-INDEX(BP!$C$5:$C$9,MATCH(B84,BP!$A$5:$A$9,1)))/(INDEX(BP!$B$5:$B$9,MATCH(B84,BP!$A$5:$A$9,1))-INDEX(BP!$A$5:$A$9,MATCH(B84,BP!$A$5:$A$9,1)))*(B84-INDEX(BP!$A$5:$A$9,MATCH(B84,BP!$A$5:$A$9,1)))+INDEX(BP!$C$5:$C$9,MATCH(B84,BP!$A$5:$A$9,1)),0))</f>
        <v>23</v>
      </c>
      <c r="D84" s="12" t="str">
        <f aca="false">IF(NOT(ISNUMBER(C84)),"",INDEX(BP!$F$5:$F$9,MATCH(C84,BP!$E$5:$E$9,1)))</f>
        <v>ดีมาก</v>
      </c>
      <c r="E84" s="12" t="n">
        <f aca="false">YEAR(A84)</f>
        <v>2021</v>
      </c>
      <c r="F84" s="12" t="n">
        <f aca="false">MONTH(A84)</f>
        <v>3</v>
      </c>
      <c r="G84" s="12" t="n">
        <v>22</v>
      </c>
      <c r="H84" s="12" t="n">
        <v>55.1</v>
      </c>
      <c r="I84" s="12" t="n">
        <v>93</v>
      </c>
      <c r="J84" s="12" t="n">
        <v>10.8</v>
      </c>
      <c r="K84" s="12" t="n">
        <v>7</v>
      </c>
      <c r="L84" s="12" t="s">
        <v>36</v>
      </c>
    </row>
    <row r="85" customFormat="false" ht="15" hidden="false" customHeight="false" outlineLevel="0" collapsed="false">
      <c r="A85" s="11" t="n">
        <v>44280</v>
      </c>
      <c r="B85" s="12" t="n">
        <v>13</v>
      </c>
      <c r="C85" s="12" t="n">
        <f aca="false">IF(NOT(ISNUMBER(B85)),"",ROUND((INDEX(BP!$D$5:$D$9,MATCH(B85,BP!$A$5:$A$9,1))-INDEX(BP!$C$5:$C$9,MATCH(B85,BP!$A$5:$A$9,1)))/(INDEX(BP!$B$5:$B$9,MATCH(B85,BP!$A$5:$A$9,1))-INDEX(BP!$A$5:$A$9,MATCH(B85,BP!$A$5:$A$9,1)))*(B85-INDEX(BP!$A$5:$A$9,MATCH(B85,BP!$A$5:$A$9,1)))+INDEX(BP!$C$5:$C$9,MATCH(B85,BP!$A$5:$A$9,1)),0))</f>
        <v>22</v>
      </c>
      <c r="D85" s="12" t="str">
        <f aca="false">IF(NOT(ISNUMBER(C85)),"",INDEX(BP!$F$5:$F$9,MATCH(C85,BP!$E$5:$E$9,1)))</f>
        <v>ดีมาก</v>
      </c>
      <c r="E85" s="12" t="n">
        <f aca="false">YEAR(A85)</f>
        <v>2021</v>
      </c>
      <c r="F85" s="12" t="n">
        <f aca="false">MONTH(A85)</f>
        <v>3</v>
      </c>
      <c r="G85" s="12" t="n">
        <v>21.7</v>
      </c>
      <c r="H85" s="12" t="n">
        <v>47.5</v>
      </c>
      <c r="I85" s="12" t="n">
        <v>91</v>
      </c>
      <c r="J85" s="12" t="n">
        <v>3</v>
      </c>
      <c r="K85" s="12" t="n">
        <v>0</v>
      </c>
      <c r="L85" s="12" t="s">
        <v>36</v>
      </c>
    </row>
    <row r="86" customFormat="false" ht="15" hidden="false" customHeight="false" outlineLevel="0" collapsed="false">
      <c r="A86" s="11" t="n">
        <v>44281</v>
      </c>
      <c r="B86" s="12" t="n">
        <v>14</v>
      </c>
      <c r="C86" s="12" t="n">
        <f aca="false">IF(NOT(ISNUMBER(B86)),"",ROUND((INDEX(BP!$D$5:$D$9,MATCH(B86,BP!$A$5:$A$9,1))-INDEX(BP!$C$5:$C$9,MATCH(B86,BP!$A$5:$A$9,1)))/(INDEX(BP!$B$5:$B$9,MATCH(B86,BP!$A$5:$A$9,1))-INDEX(BP!$A$5:$A$9,MATCH(B86,BP!$A$5:$A$9,1)))*(B86-INDEX(BP!$A$5:$A$9,MATCH(B86,BP!$A$5:$A$9,1)))+INDEX(BP!$C$5:$C$9,MATCH(B86,BP!$A$5:$A$9,1)),0))</f>
        <v>23</v>
      </c>
      <c r="D86" s="12" t="str">
        <f aca="false">IF(NOT(ISNUMBER(C86)),"",INDEX(BP!$F$5:$F$9,MATCH(C86,BP!$E$5:$E$9,1)))</f>
        <v>ดีมาก</v>
      </c>
      <c r="E86" s="12" t="n">
        <f aca="false">YEAR(A86)</f>
        <v>2021</v>
      </c>
      <c r="F86" s="12" t="n">
        <f aca="false">MONTH(A86)</f>
        <v>3</v>
      </c>
      <c r="G86" s="12" t="n">
        <v>18.7</v>
      </c>
      <c r="H86" s="12" t="n">
        <v>42.5</v>
      </c>
      <c r="I86" s="12" t="n">
        <v>97</v>
      </c>
      <c r="J86" s="12" t="n">
        <v>11.2</v>
      </c>
      <c r="K86" s="12" t="n">
        <v>17</v>
      </c>
      <c r="L86" s="12" t="s">
        <v>36</v>
      </c>
    </row>
    <row r="87" customFormat="false" ht="15" hidden="false" customHeight="false" outlineLevel="0" collapsed="false">
      <c r="A87" s="11" t="n">
        <v>44282</v>
      </c>
      <c r="B87" s="12" t="n">
        <v>12</v>
      </c>
      <c r="C87" s="12" t="n">
        <f aca="false">IF(NOT(ISNUMBER(B87)),"",ROUND((INDEX(BP!$D$5:$D$9,MATCH(B87,BP!$A$5:$A$9,1))-INDEX(BP!$C$5:$C$9,MATCH(B87,BP!$A$5:$A$9,1)))/(INDEX(BP!$B$5:$B$9,MATCH(B87,BP!$A$5:$A$9,1))-INDEX(BP!$A$5:$A$9,MATCH(B87,BP!$A$5:$A$9,1)))*(B87-INDEX(BP!$A$5:$A$9,MATCH(B87,BP!$A$5:$A$9,1)))+INDEX(BP!$C$5:$C$9,MATCH(B87,BP!$A$5:$A$9,1)),0))</f>
        <v>20</v>
      </c>
      <c r="D87" s="12" t="str">
        <f aca="false">IF(NOT(ISNUMBER(C87)),"",INDEX(BP!$F$5:$F$9,MATCH(C87,BP!$E$5:$E$9,1)))</f>
        <v>ดีมาก</v>
      </c>
      <c r="E87" s="12" t="n">
        <f aca="false">YEAR(A87)</f>
        <v>2021</v>
      </c>
      <c r="F87" s="12" t="n">
        <f aca="false">MONTH(A87)</f>
        <v>3</v>
      </c>
      <c r="G87" s="12" t="n">
        <v>21.6</v>
      </c>
      <c r="H87" s="12" t="n">
        <v>45.7</v>
      </c>
      <c r="I87" s="12" t="n">
        <v>103</v>
      </c>
      <c r="J87" s="12" t="n">
        <v>0</v>
      </c>
      <c r="K87" s="12" t="n">
        <v>0</v>
      </c>
      <c r="L87" s="12" t="s">
        <v>35</v>
      </c>
    </row>
    <row r="88" customFormat="false" ht="15" hidden="false" customHeight="false" outlineLevel="0" collapsed="false">
      <c r="A88" s="11" t="n">
        <v>44283</v>
      </c>
      <c r="B88" s="12" t="n">
        <v>10</v>
      </c>
      <c r="C88" s="12" t="n">
        <f aca="false">IF(NOT(ISNUMBER(B88)),"",ROUND((INDEX(BP!$D$5:$D$9,MATCH(B88,BP!$A$5:$A$9,1))-INDEX(BP!$C$5:$C$9,MATCH(B88,BP!$A$5:$A$9,1)))/(INDEX(BP!$B$5:$B$9,MATCH(B88,BP!$A$5:$A$9,1))-INDEX(BP!$A$5:$A$9,MATCH(B88,BP!$A$5:$A$9,1)))*(B88-INDEX(BP!$A$5:$A$9,MATCH(B88,BP!$A$5:$A$9,1)))+INDEX(BP!$C$5:$C$9,MATCH(B88,BP!$A$5:$A$9,1)),0))</f>
        <v>17</v>
      </c>
      <c r="D88" s="12" t="str">
        <f aca="false">IF(NOT(ISNUMBER(C88)),"",INDEX(BP!$F$5:$F$9,MATCH(C88,BP!$E$5:$E$9,1)))</f>
        <v>ดีมาก</v>
      </c>
      <c r="E88" s="12" t="n">
        <f aca="false">YEAR(A88)</f>
        <v>2021</v>
      </c>
      <c r="F88" s="12" t="n">
        <f aca="false">MONTH(A88)</f>
        <v>3</v>
      </c>
      <c r="G88" s="12" t="n">
        <v>14.1</v>
      </c>
      <c r="H88" s="12" t="n">
        <v>33.5</v>
      </c>
      <c r="I88" s="12" t="n">
        <v>87</v>
      </c>
      <c r="J88" s="12" t="n">
        <v>7.3</v>
      </c>
      <c r="K88" s="12" t="n">
        <v>17.4</v>
      </c>
      <c r="L88" s="12" t="s">
        <v>35</v>
      </c>
    </row>
    <row r="89" customFormat="false" ht="15" hidden="false" customHeight="false" outlineLevel="0" collapsed="false">
      <c r="A89" s="11" t="n">
        <v>44284</v>
      </c>
      <c r="B89" s="12" t="n">
        <v>12</v>
      </c>
      <c r="C89" s="12" t="n">
        <f aca="false">IF(NOT(ISNUMBER(B89)),"",ROUND((INDEX(BP!$D$5:$D$9,MATCH(B89,BP!$A$5:$A$9,1))-INDEX(BP!$C$5:$C$9,MATCH(B89,BP!$A$5:$A$9,1)))/(INDEX(BP!$B$5:$B$9,MATCH(B89,BP!$A$5:$A$9,1))-INDEX(BP!$A$5:$A$9,MATCH(B89,BP!$A$5:$A$9,1)))*(B89-INDEX(BP!$A$5:$A$9,MATCH(B89,BP!$A$5:$A$9,1)))+INDEX(BP!$C$5:$C$9,MATCH(B89,BP!$A$5:$A$9,1)),0))</f>
        <v>20</v>
      </c>
      <c r="D89" s="12" t="str">
        <f aca="false">IF(NOT(ISNUMBER(C89)),"",INDEX(BP!$F$5:$F$9,MATCH(C89,BP!$E$5:$E$9,1)))</f>
        <v>ดีมาก</v>
      </c>
      <c r="E89" s="12" t="n">
        <f aca="false">YEAR(A89)</f>
        <v>2021</v>
      </c>
      <c r="F89" s="12" t="n">
        <f aca="false">MONTH(A89)</f>
        <v>3</v>
      </c>
      <c r="G89" s="12" t="n">
        <v>11.5</v>
      </c>
      <c r="H89" s="12" t="n">
        <v>27.7</v>
      </c>
      <c r="I89" s="12" t="n">
        <v>138</v>
      </c>
      <c r="J89" s="12" t="n">
        <v>4.9</v>
      </c>
      <c r="K89" s="12" t="n">
        <v>0.6</v>
      </c>
      <c r="L89" s="12" t="s">
        <v>36</v>
      </c>
    </row>
    <row r="90" customFormat="false" ht="15" hidden="false" customHeight="false" outlineLevel="0" collapsed="false">
      <c r="A90" s="11" t="n">
        <v>44285</v>
      </c>
      <c r="B90" s="12" t="n">
        <v>15</v>
      </c>
      <c r="C90" s="12" t="n">
        <f aca="false">IF(NOT(ISNUMBER(B90)),"",ROUND((INDEX(BP!$D$5:$D$9,MATCH(B90,BP!$A$5:$A$9,1))-INDEX(BP!$C$5:$C$9,MATCH(B90,BP!$A$5:$A$9,1)))/(INDEX(BP!$B$5:$B$9,MATCH(B90,BP!$A$5:$A$9,1))-INDEX(BP!$A$5:$A$9,MATCH(B90,BP!$A$5:$A$9,1)))*(B90-INDEX(BP!$A$5:$A$9,MATCH(B90,BP!$A$5:$A$9,1)))+INDEX(BP!$C$5:$C$9,MATCH(B90,BP!$A$5:$A$9,1)),0))</f>
        <v>25</v>
      </c>
      <c r="D90" s="12" t="str">
        <f aca="false">IF(NOT(ISNUMBER(C90)),"",INDEX(BP!$F$5:$F$9,MATCH(C90,BP!$E$5:$E$9,1)))</f>
        <v>ดีมาก</v>
      </c>
      <c r="E90" s="12" t="n">
        <f aca="false">YEAR(A90)</f>
        <v>2021</v>
      </c>
      <c r="F90" s="12" t="n">
        <f aca="false">MONTH(A90)</f>
        <v>3</v>
      </c>
      <c r="G90" s="12" t="n">
        <v>11.3</v>
      </c>
      <c r="H90" s="12" t="n">
        <v>26.6</v>
      </c>
      <c r="I90" s="12" t="n">
        <v>344</v>
      </c>
      <c r="J90" s="12" t="n">
        <v>27.1</v>
      </c>
      <c r="K90" s="12" t="n">
        <v>2.8</v>
      </c>
      <c r="L90" s="12" t="s">
        <v>36</v>
      </c>
    </row>
    <row r="91" customFormat="false" ht="15" hidden="false" customHeight="false" outlineLevel="0" collapsed="false">
      <c r="A91" s="11" t="n">
        <v>44286</v>
      </c>
      <c r="B91" s="12" t="n">
        <v>12</v>
      </c>
      <c r="C91" s="12" t="n">
        <f aca="false">IF(NOT(ISNUMBER(B91)),"",ROUND((INDEX(BP!$D$5:$D$9,MATCH(B91,BP!$A$5:$A$9,1))-INDEX(BP!$C$5:$C$9,MATCH(B91,BP!$A$5:$A$9,1)))/(INDEX(BP!$B$5:$B$9,MATCH(B91,BP!$A$5:$A$9,1))-INDEX(BP!$A$5:$A$9,MATCH(B91,BP!$A$5:$A$9,1)))*(B91-INDEX(BP!$A$5:$A$9,MATCH(B91,BP!$A$5:$A$9,1)))+INDEX(BP!$C$5:$C$9,MATCH(B91,BP!$A$5:$A$9,1)),0))</f>
        <v>20</v>
      </c>
      <c r="D91" s="12" t="str">
        <f aca="false">IF(NOT(ISNUMBER(C91)),"",INDEX(BP!$F$5:$F$9,MATCH(C91,BP!$E$5:$E$9,1)))</f>
        <v>ดีมาก</v>
      </c>
      <c r="E91" s="12" t="n">
        <f aca="false">YEAR(A91)</f>
        <v>2021</v>
      </c>
      <c r="F91" s="12" t="n">
        <f aca="false">MONTH(A91)</f>
        <v>3</v>
      </c>
      <c r="G91" s="12" t="n">
        <v>8.7</v>
      </c>
      <c r="H91" s="12" t="n">
        <v>24.5</v>
      </c>
      <c r="I91" s="12" t="n">
        <v>94</v>
      </c>
      <c r="J91" s="12" t="n">
        <v>1.1</v>
      </c>
      <c r="K91" s="12" t="n">
        <v>13.2</v>
      </c>
      <c r="L91" s="12" t="s">
        <v>36</v>
      </c>
    </row>
    <row r="92" customFormat="false" ht="15" hidden="false" customHeight="false" outlineLevel="0" collapsed="false">
      <c r="A92" s="11" t="n">
        <v>44287</v>
      </c>
      <c r="B92" s="12" t="n">
        <v>17</v>
      </c>
      <c r="C92" s="12" t="n">
        <f aca="false">IF(NOT(ISNUMBER(B92)),"",ROUND((INDEX(BP!$D$5:$D$9,MATCH(B92,BP!$A$5:$A$9,1))-INDEX(BP!$C$5:$C$9,MATCH(B92,BP!$A$5:$A$9,1)))/(INDEX(BP!$B$5:$B$9,MATCH(B92,BP!$A$5:$A$9,1))-INDEX(BP!$A$5:$A$9,MATCH(B92,BP!$A$5:$A$9,1)))*(B92-INDEX(BP!$A$5:$A$9,MATCH(B92,BP!$A$5:$A$9,1)))+INDEX(BP!$C$5:$C$9,MATCH(B92,BP!$A$5:$A$9,1)),0))</f>
        <v>31</v>
      </c>
      <c r="D92" s="12" t="str">
        <f aca="false">IF(NOT(ISNUMBER(C92)),"",INDEX(BP!$F$5:$F$9,MATCH(C92,BP!$E$5:$E$9,1)))</f>
        <v>ดี</v>
      </c>
      <c r="E92" s="12" t="n">
        <f aca="false">YEAR(A92)</f>
        <v>2021</v>
      </c>
      <c r="F92" s="12" t="n">
        <f aca="false">MONTH(A92)</f>
        <v>4</v>
      </c>
      <c r="G92" s="12" t="n">
        <v>7.4</v>
      </c>
      <c r="H92" s="12" t="n">
        <v>37.8</v>
      </c>
      <c r="I92" s="12" t="n">
        <v>212</v>
      </c>
      <c r="J92" s="12" t="n">
        <v>11.2</v>
      </c>
      <c r="K92" s="12" t="n">
        <v>0</v>
      </c>
      <c r="L92" s="12" t="s">
        <v>36</v>
      </c>
    </row>
    <row r="93" customFormat="false" ht="15" hidden="false" customHeight="false" outlineLevel="0" collapsed="false">
      <c r="A93" s="11" t="n">
        <v>44288</v>
      </c>
      <c r="B93" s="12" t="n">
        <v>17</v>
      </c>
      <c r="C93" s="12" t="n">
        <f aca="false">IF(NOT(ISNUMBER(B93)),"",ROUND((INDEX(BP!$D$5:$D$9,MATCH(B93,BP!$A$5:$A$9,1))-INDEX(BP!$C$5:$C$9,MATCH(B93,BP!$A$5:$A$9,1)))/(INDEX(BP!$B$5:$B$9,MATCH(B93,BP!$A$5:$A$9,1))-INDEX(BP!$A$5:$A$9,MATCH(B93,BP!$A$5:$A$9,1)))*(B93-INDEX(BP!$A$5:$A$9,MATCH(B93,BP!$A$5:$A$9,1)))+INDEX(BP!$C$5:$C$9,MATCH(B93,BP!$A$5:$A$9,1)),0))</f>
        <v>31</v>
      </c>
      <c r="D93" s="12" t="str">
        <f aca="false">IF(NOT(ISNUMBER(C93)),"",INDEX(BP!$F$5:$F$9,MATCH(C93,BP!$E$5:$E$9,1)))</f>
        <v>ดี</v>
      </c>
      <c r="E93" s="12" t="n">
        <f aca="false">YEAR(A93)</f>
        <v>2021</v>
      </c>
      <c r="F93" s="12" t="n">
        <f aca="false">MONTH(A93)</f>
        <v>4</v>
      </c>
      <c r="G93" s="12" t="n">
        <v>21.5</v>
      </c>
      <c r="H93" s="12" t="n">
        <v>51.1</v>
      </c>
      <c r="I93" s="12" t="n">
        <v>259</v>
      </c>
      <c r="J93" s="12" t="n">
        <v>2</v>
      </c>
      <c r="K93" s="12" t="n">
        <v>0.2</v>
      </c>
      <c r="L93" s="12" t="s">
        <v>36</v>
      </c>
    </row>
    <row r="94" customFormat="false" ht="15" hidden="false" customHeight="false" outlineLevel="0" collapsed="false">
      <c r="A94" s="11" t="n">
        <v>44289</v>
      </c>
      <c r="B94" s="12" t="n">
        <v>23</v>
      </c>
      <c r="C94" s="12" t="n">
        <f aca="false">IF(NOT(ISNUMBER(B94)),"",ROUND((INDEX(BP!$D$5:$D$9,MATCH(B94,BP!$A$5:$A$9,1))-INDEX(BP!$C$5:$C$9,MATCH(B94,BP!$A$5:$A$9,1)))/(INDEX(BP!$B$5:$B$9,MATCH(B94,BP!$A$5:$A$9,1))-INDEX(BP!$A$5:$A$9,MATCH(B94,BP!$A$5:$A$9,1)))*(B94-INDEX(BP!$A$5:$A$9,MATCH(B94,BP!$A$5:$A$9,1)))+INDEX(BP!$C$5:$C$9,MATCH(B94,BP!$A$5:$A$9,1)),0))</f>
        <v>45</v>
      </c>
      <c r="D94" s="12" t="str">
        <f aca="false">IF(NOT(ISNUMBER(C94)),"",INDEX(BP!$F$5:$F$9,MATCH(C94,BP!$E$5:$E$9,1)))</f>
        <v>ดี</v>
      </c>
      <c r="E94" s="12" t="n">
        <f aca="false">YEAR(A94)</f>
        <v>2021</v>
      </c>
      <c r="F94" s="12" t="n">
        <f aca="false">MONTH(A94)</f>
        <v>4</v>
      </c>
      <c r="G94" s="12" t="n">
        <v>11.6</v>
      </c>
      <c r="H94" s="12" t="n">
        <v>28.8</v>
      </c>
      <c r="I94" s="12" t="n">
        <v>258</v>
      </c>
      <c r="J94" s="12" t="n">
        <v>0.4</v>
      </c>
      <c r="K94" s="12" t="n">
        <v>0.2</v>
      </c>
      <c r="L94" s="12" t="s">
        <v>35</v>
      </c>
    </row>
    <row r="95" customFormat="false" ht="15" hidden="false" customHeight="false" outlineLevel="0" collapsed="false">
      <c r="A95" s="11" t="n">
        <v>44290</v>
      </c>
      <c r="B95" s="12" t="n">
        <v>19</v>
      </c>
      <c r="C95" s="12" t="n">
        <f aca="false">IF(NOT(ISNUMBER(B95)),"",ROUND((INDEX(BP!$D$5:$D$9,MATCH(B95,BP!$A$5:$A$9,1))-INDEX(BP!$C$5:$C$9,MATCH(B95,BP!$A$5:$A$9,1)))/(INDEX(BP!$B$5:$B$9,MATCH(B95,BP!$A$5:$A$9,1))-INDEX(BP!$A$5:$A$9,MATCH(B95,BP!$A$5:$A$9,1)))*(B95-INDEX(BP!$A$5:$A$9,MATCH(B95,BP!$A$5:$A$9,1)))+INDEX(BP!$C$5:$C$9,MATCH(B95,BP!$A$5:$A$9,1)),0))</f>
        <v>35</v>
      </c>
      <c r="D95" s="12" t="str">
        <f aca="false">IF(NOT(ISNUMBER(C95)),"",INDEX(BP!$F$5:$F$9,MATCH(C95,BP!$E$5:$E$9,1)))</f>
        <v>ดี</v>
      </c>
      <c r="E95" s="12" t="n">
        <f aca="false">YEAR(A95)</f>
        <v>2021</v>
      </c>
      <c r="F95" s="12" t="n">
        <f aca="false">MONTH(A95)</f>
        <v>4</v>
      </c>
      <c r="G95" s="12" t="n">
        <v>12</v>
      </c>
      <c r="H95" s="12" t="n">
        <v>28.1</v>
      </c>
      <c r="I95" s="12" t="n">
        <v>190</v>
      </c>
      <c r="J95" s="12" t="n">
        <v>14</v>
      </c>
      <c r="K95" s="12" t="n">
        <v>5</v>
      </c>
      <c r="L95" s="12" t="s">
        <v>35</v>
      </c>
    </row>
    <row r="96" customFormat="false" ht="15" hidden="false" customHeight="false" outlineLevel="0" collapsed="false">
      <c r="A96" s="11" t="n">
        <v>44291</v>
      </c>
      <c r="B96" s="12" t="n">
        <v>17</v>
      </c>
      <c r="C96" s="12" t="n">
        <f aca="false">IF(NOT(ISNUMBER(B96)),"",ROUND((INDEX(BP!$D$5:$D$9,MATCH(B96,BP!$A$5:$A$9,1))-INDEX(BP!$C$5:$C$9,MATCH(B96,BP!$A$5:$A$9,1)))/(INDEX(BP!$B$5:$B$9,MATCH(B96,BP!$A$5:$A$9,1))-INDEX(BP!$A$5:$A$9,MATCH(B96,BP!$A$5:$A$9,1)))*(B96-INDEX(BP!$A$5:$A$9,MATCH(B96,BP!$A$5:$A$9,1)))+INDEX(BP!$C$5:$C$9,MATCH(B96,BP!$A$5:$A$9,1)),0))</f>
        <v>31</v>
      </c>
      <c r="D96" s="12" t="str">
        <f aca="false">IF(NOT(ISNUMBER(C96)),"",INDEX(BP!$F$5:$F$9,MATCH(C96,BP!$E$5:$E$9,1)))</f>
        <v>ดี</v>
      </c>
      <c r="E96" s="12" t="n">
        <f aca="false">YEAR(A96)</f>
        <v>2021</v>
      </c>
      <c r="F96" s="12" t="n">
        <f aca="false">MONTH(A96)</f>
        <v>4</v>
      </c>
      <c r="G96" s="12" t="n">
        <v>12.6</v>
      </c>
      <c r="H96" s="12" t="n">
        <v>29.2</v>
      </c>
      <c r="I96" s="12" t="n">
        <v>88</v>
      </c>
      <c r="J96" s="12" t="n">
        <v>3.7</v>
      </c>
      <c r="K96" s="12" t="n">
        <v>0</v>
      </c>
      <c r="L96" s="12" t="s">
        <v>36</v>
      </c>
    </row>
    <row r="97" customFormat="false" ht="15" hidden="false" customHeight="false" outlineLevel="0" collapsed="false">
      <c r="A97" s="11" t="n">
        <v>44292</v>
      </c>
      <c r="B97" s="12" t="n">
        <v>12</v>
      </c>
      <c r="C97" s="12" t="n">
        <f aca="false">IF(NOT(ISNUMBER(B97)),"",ROUND((INDEX(BP!$D$5:$D$9,MATCH(B97,BP!$A$5:$A$9,1))-INDEX(BP!$C$5:$C$9,MATCH(B97,BP!$A$5:$A$9,1)))/(INDEX(BP!$B$5:$B$9,MATCH(B97,BP!$A$5:$A$9,1))-INDEX(BP!$A$5:$A$9,MATCH(B97,BP!$A$5:$A$9,1)))*(B97-INDEX(BP!$A$5:$A$9,MATCH(B97,BP!$A$5:$A$9,1)))+INDEX(BP!$C$5:$C$9,MATCH(B97,BP!$A$5:$A$9,1)),0))</f>
        <v>20</v>
      </c>
      <c r="D97" s="12" t="str">
        <f aca="false">IF(NOT(ISNUMBER(C97)),"",INDEX(BP!$F$5:$F$9,MATCH(C97,BP!$E$5:$E$9,1)))</f>
        <v>ดีมาก</v>
      </c>
      <c r="E97" s="12" t="n">
        <f aca="false">YEAR(A97)</f>
        <v>2021</v>
      </c>
      <c r="F97" s="12" t="n">
        <f aca="false">MONTH(A97)</f>
        <v>4</v>
      </c>
      <c r="G97" s="12" t="n">
        <v>17.3</v>
      </c>
      <c r="H97" s="12" t="n">
        <v>38.9</v>
      </c>
      <c r="I97" s="12" t="n">
        <v>101</v>
      </c>
      <c r="J97" s="12" t="n">
        <v>4.7</v>
      </c>
      <c r="K97" s="12" t="n">
        <v>3.2</v>
      </c>
      <c r="L97" s="12" t="s">
        <v>34</v>
      </c>
    </row>
    <row r="98" customFormat="false" ht="15" hidden="false" customHeight="false" outlineLevel="0" collapsed="false">
      <c r="A98" s="11" t="n">
        <v>44293</v>
      </c>
      <c r="B98" s="12" t="n">
        <v>16</v>
      </c>
      <c r="C98" s="12" t="n">
        <f aca="false">IF(NOT(ISNUMBER(B98)),"",ROUND((INDEX(BP!$D$5:$D$9,MATCH(B98,BP!$A$5:$A$9,1))-INDEX(BP!$C$5:$C$9,MATCH(B98,BP!$A$5:$A$9,1)))/(INDEX(BP!$B$5:$B$9,MATCH(B98,BP!$A$5:$A$9,1))-INDEX(BP!$A$5:$A$9,MATCH(B98,BP!$A$5:$A$9,1)))*(B98-INDEX(BP!$A$5:$A$9,MATCH(B98,BP!$A$5:$A$9,1)))+INDEX(BP!$C$5:$C$9,MATCH(B98,BP!$A$5:$A$9,1)),0))</f>
        <v>28</v>
      </c>
      <c r="D98" s="12" t="str">
        <f aca="false">IF(NOT(ISNUMBER(C98)),"",INDEX(BP!$F$5:$F$9,MATCH(C98,BP!$E$5:$E$9,1)))</f>
        <v>ดี</v>
      </c>
      <c r="E98" s="12" t="n">
        <f aca="false">YEAR(A98)</f>
        <v>2021</v>
      </c>
      <c r="F98" s="12" t="n">
        <f aca="false">MONTH(A98)</f>
        <v>4</v>
      </c>
      <c r="G98" s="12" t="n">
        <v>15.7</v>
      </c>
      <c r="H98" s="12" t="n">
        <v>37.8</v>
      </c>
      <c r="I98" s="12" t="n">
        <v>101</v>
      </c>
      <c r="J98" s="12" t="n">
        <v>1.5</v>
      </c>
      <c r="K98" s="12" t="n">
        <v>9.6</v>
      </c>
      <c r="L98" s="12" t="s">
        <v>36</v>
      </c>
    </row>
    <row r="99" customFormat="false" ht="15" hidden="false" customHeight="false" outlineLevel="0" collapsed="false">
      <c r="A99" s="11" t="n">
        <v>44294</v>
      </c>
      <c r="B99" s="12" t="n">
        <v>21</v>
      </c>
      <c r="C99" s="12" t="n">
        <f aca="false">IF(NOT(ISNUMBER(B99)),"",ROUND((INDEX(BP!$D$5:$D$9,MATCH(B99,BP!$A$5:$A$9,1))-INDEX(BP!$C$5:$C$9,MATCH(B99,BP!$A$5:$A$9,1)))/(INDEX(BP!$B$5:$B$9,MATCH(B99,BP!$A$5:$A$9,1))-INDEX(BP!$A$5:$A$9,MATCH(B99,BP!$A$5:$A$9,1)))*(B99-INDEX(BP!$A$5:$A$9,MATCH(B99,BP!$A$5:$A$9,1)))+INDEX(BP!$C$5:$C$9,MATCH(B99,BP!$A$5:$A$9,1)),0))</f>
        <v>40</v>
      </c>
      <c r="D99" s="12" t="str">
        <f aca="false">IF(NOT(ISNUMBER(C99)),"",INDEX(BP!$F$5:$F$9,MATCH(C99,BP!$E$5:$E$9,1)))</f>
        <v>ดี</v>
      </c>
      <c r="E99" s="12" t="n">
        <f aca="false">YEAR(A99)</f>
        <v>2021</v>
      </c>
      <c r="F99" s="12" t="n">
        <f aca="false">MONTH(A99)</f>
        <v>4</v>
      </c>
      <c r="G99" s="12" t="n">
        <v>14</v>
      </c>
      <c r="H99" s="12" t="n">
        <v>32</v>
      </c>
      <c r="I99" s="12" t="n">
        <v>64</v>
      </c>
      <c r="J99" s="12" t="n">
        <v>0</v>
      </c>
      <c r="K99" s="12" t="n">
        <v>0</v>
      </c>
      <c r="L99" s="12" t="s">
        <v>36</v>
      </c>
    </row>
    <row r="100" customFormat="false" ht="15" hidden="false" customHeight="false" outlineLevel="0" collapsed="false">
      <c r="A100" s="11" t="n">
        <v>44295</v>
      </c>
      <c r="B100" s="12" t="n">
        <v>22</v>
      </c>
      <c r="C100" s="12" t="n">
        <f aca="false">IF(NOT(ISNUMBER(B100)),"",ROUND((INDEX(BP!$D$5:$D$9,MATCH(B100,BP!$A$5:$A$9,1))-INDEX(BP!$C$5:$C$9,MATCH(B100,BP!$A$5:$A$9,1)))/(INDEX(BP!$B$5:$B$9,MATCH(B100,BP!$A$5:$A$9,1))-INDEX(BP!$A$5:$A$9,MATCH(B100,BP!$A$5:$A$9,1)))*(B100-INDEX(BP!$A$5:$A$9,MATCH(B100,BP!$A$5:$A$9,1)))+INDEX(BP!$C$5:$C$9,MATCH(B100,BP!$A$5:$A$9,1)),0))</f>
        <v>43</v>
      </c>
      <c r="D100" s="12" t="str">
        <f aca="false">IF(NOT(ISNUMBER(C100)),"",INDEX(BP!$F$5:$F$9,MATCH(C100,BP!$E$5:$E$9,1)))</f>
        <v>ดี</v>
      </c>
      <c r="E100" s="12" t="n">
        <f aca="false">YEAR(A100)</f>
        <v>2021</v>
      </c>
      <c r="F100" s="12" t="n">
        <f aca="false">MONTH(A100)</f>
        <v>4</v>
      </c>
      <c r="G100" s="12" t="n">
        <v>12.8</v>
      </c>
      <c r="H100" s="12" t="n">
        <v>31.7</v>
      </c>
      <c r="I100" s="12" t="n">
        <v>69</v>
      </c>
      <c r="J100" s="12" t="n">
        <v>0.1</v>
      </c>
      <c r="K100" s="12" t="n">
        <v>0</v>
      </c>
      <c r="L100" s="12" t="s">
        <v>36</v>
      </c>
    </row>
    <row r="101" customFormat="false" ht="15" hidden="false" customHeight="false" outlineLevel="0" collapsed="false">
      <c r="A101" s="11" t="n">
        <v>44296</v>
      </c>
      <c r="B101" s="12" t="n">
        <v>24</v>
      </c>
      <c r="C101" s="12" t="n">
        <f aca="false">IF(NOT(ISNUMBER(B101)),"",ROUND((INDEX(BP!$D$5:$D$9,MATCH(B101,BP!$A$5:$A$9,1))-INDEX(BP!$C$5:$C$9,MATCH(B101,BP!$A$5:$A$9,1)))/(INDEX(BP!$B$5:$B$9,MATCH(B101,BP!$A$5:$A$9,1))-INDEX(BP!$A$5:$A$9,MATCH(B101,BP!$A$5:$A$9,1)))*(B101-INDEX(BP!$A$5:$A$9,MATCH(B101,BP!$A$5:$A$9,1)))+INDEX(BP!$C$5:$C$9,MATCH(B101,BP!$A$5:$A$9,1)),0))</f>
        <v>48</v>
      </c>
      <c r="D101" s="12" t="str">
        <f aca="false">IF(NOT(ISNUMBER(C101)),"",INDEX(BP!$F$5:$F$9,MATCH(C101,BP!$E$5:$E$9,1)))</f>
        <v>ดี</v>
      </c>
      <c r="E101" s="12" t="n">
        <f aca="false">YEAR(A101)</f>
        <v>2021</v>
      </c>
      <c r="F101" s="12" t="n">
        <f aca="false">MONTH(A101)</f>
        <v>4</v>
      </c>
      <c r="G101" s="12" t="n">
        <v>15.2</v>
      </c>
      <c r="H101" s="12" t="n">
        <v>34.9</v>
      </c>
      <c r="I101" s="12" t="n">
        <v>84</v>
      </c>
      <c r="J101" s="12" t="n">
        <v>0.1</v>
      </c>
      <c r="K101" s="12" t="n">
        <v>0</v>
      </c>
      <c r="L101" s="12" t="s">
        <v>35</v>
      </c>
    </row>
    <row r="102" customFormat="false" ht="15" hidden="false" customHeight="false" outlineLevel="0" collapsed="false">
      <c r="A102" s="11" t="n">
        <v>44297</v>
      </c>
      <c r="B102" s="12" t="n">
        <v>23</v>
      </c>
      <c r="C102" s="12" t="n">
        <f aca="false">IF(NOT(ISNUMBER(B102)),"",ROUND((INDEX(BP!$D$5:$D$9,MATCH(B102,BP!$A$5:$A$9,1))-INDEX(BP!$C$5:$C$9,MATCH(B102,BP!$A$5:$A$9,1)))/(INDEX(BP!$B$5:$B$9,MATCH(B102,BP!$A$5:$A$9,1))-INDEX(BP!$A$5:$A$9,MATCH(B102,BP!$A$5:$A$9,1)))*(B102-INDEX(BP!$A$5:$A$9,MATCH(B102,BP!$A$5:$A$9,1)))+INDEX(BP!$C$5:$C$9,MATCH(B102,BP!$A$5:$A$9,1)),0))</f>
        <v>45</v>
      </c>
      <c r="D102" s="12" t="str">
        <f aca="false">IF(NOT(ISNUMBER(C102)),"",INDEX(BP!$F$5:$F$9,MATCH(C102,BP!$E$5:$E$9,1)))</f>
        <v>ดี</v>
      </c>
      <c r="E102" s="12" t="n">
        <f aca="false">YEAR(A102)</f>
        <v>2021</v>
      </c>
      <c r="F102" s="12" t="n">
        <f aca="false">MONTH(A102)</f>
        <v>4</v>
      </c>
      <c r="G102" s="12" t="n">
        <v>18.8</v>
      </c>
      <c r="H102" s="12" t="n">
        <v>40.7</v>
      </c>
      <c r="I102" s="12" t="n">
        <v>89</v>
      </c>
      <c r="J102" s="12" t="n">
        <v>0.9</v>
      </c>
      <c r="K102" s="12" t="n">
        <v>0</v>
      </c>
      <c r="L102" s="12" t="s">
        <v>35</v>
      </c>
    </row>
    <row r="103" customFormat="false" ht="15" hidden="false" customHeight="false" outlineLevel="0" collapsed="false">
      <c r="A103" s="11" t="n">
        <v>44298</v>
      </c>
      <c r="B103" s="12" t="n">
        <v>16</v>
      </c>
      <c r="C103" s="12" t="n">
        <f aca="false">IF(NOT(ISNUMBER(B103)),"",ROUND((INDEX(BP!$D$5:$D$9,MATCH(B103,BP!$A$5:$A$9,1))-INDEX(BP!$C$5:$C$9,MATCH(B103,BP!$A$5:$A$9,1)))/(INDEX(BP!$B$5:$B$9,MATCH(B103,BP!$A$5:$A$9,1))-INDEX(BP!$A$5:$A$9,MATCH(B103,BP!$A$5:$A$9,1)))*(B103-INDEX(BP!$A$5:$A$9,MATCH(B103,BP!$A$5:$A$9,1)))+INDEX(BP!$C$5:$C$9,MATCH(B103,BP!$A$5:$A$9,1)),0))</f>
        <v>28</v>
      </c>
      <c r="D103" s="12" t="str">
        <f aca="false">IF(NOT(ISNUMBER(C103)),"",INDEX(BP!$F$5:$F$9,MATCH(C103,BP!$E$5:$E$9,1)))</f>
        <v>ดี</v>
      </c>
      <c r="E103" s="12" t="n">
        <f aca="false">YEAR(A103)</f>
        <v>2021</v>
      </c>
      <c r="F103" s="12" t="n">
        <f aca="false">MONTH(A103)</f>
        <v>4</v>
      </c>
      <c r="G103" s="12" t="n">
        <v>19.4</v>
      </c>
      <c r="H103" s="12" t="n">
        <v>42.5</v>
      </c>
      <c r="I103" s="12" t="n">
        <v>106</v>
      </c>
      <c r="J103" s="12" t="n">
        <v>2.5</v>
      </c>
      <c r="K103" s="12" t="n">
        <v>23</v>
      </c>
      <c r="L103" s="12" t="s">
        <v>34</v>
      </c>
    </row>
    <row r="104" customFormat="false" ht="15" hidden="false" customHeight="false" outlineLevel="0" collapsed="false">
      <c r="A104" s="11" t="n">
        <v>44299</v>
      </c>
      <c r="B104" s="12" t="n">
        <v>17</v>
      </c>
      <c r="C104" s="12" t="n">
        <f aca="false">IF(NOT(ISNUMBER(B104)),"",ROUND((INDEX(BP!$D$5:$D$9,MATCH(B104,BP!$A$5:$A$9,1))-INDEX(BP!$C$5:$C$9,MATCH(B104,BP!$A$5:$A$9,1)))/(INDEX(BP!$B$5:$B$9,MATCH(B104,BP!$A$5:$A$9,1))-INDEX(BP!$A$5:$A$9,MATCH(B104,BP!$A$5:$A$9,1)))*(B104-INDEX(BP!$A$5:$A$9,MATCH(B104,BP!$A$5:$A$9,1)))+INDEX(BP!$C$5:$C$9,MATCH(B104,BP!$A$5:$A$9,1)),0))</f>
        <v>31</v>
      </c>
      <c r="D104" s="12" t="str">
        <f aca="false">IF(NOT(ISNUMBER(C104)),"",INDEX(BP!$F$5:$F$9,MATCH(C104,BP!$E$5:$E$9,1)))</f>
        <v>ดี</v>
      </c>
      <c r="E104" s="12" t="n">
        <f aca="false">YEAR(A104)</f>
        <v>2021</v>
      </c>
      <c r="F104" s="12" t="n">
        <f aca="false">MONTH(A104)</f>
        <v>4</v>
      </c>
      <c r="G104" s="12" t="n">
        <v>12.4</v>
      </c>
      <c r="H104" s="12" t="n">
        <v>31</v>
      </c>
      <c r="I104" s="12" t="n">
        <v>118</v>
      </c>
      <c r="J104" s="12" t="n">
        <v>5.5</v>
      </c>
      <c r="K104" s="12" t="n">
        <v>7.6</v>
      </c>
      <c r="L104" s="12" t="s">
        <v>34</v>
      </c>
    </row>
    <row r="105" customFormat="false" ht="15" hidden="false" customHeight="false" outlineLevel="0" collapsed="false">
      <c r="A105" s="11" t="n">
        <v>44300</v>
      </c>
      <c r="B105" s="12" t="n">
        <v>16</v>
      </c>
      <c r="C105" s="12" t="n">
        <f aca="false">IF(NOT(ISNUMBER(B105)),"",ROUND((INDEX(BP!$D$5:$D$9,MATCH(B105,BP!$A$5:$A$9,1))-INDEX(BP!$C$5:$C$9,MATCH(B105,BP!$A$5:$A$9,1)))/(INDEX(BP!$B$5:$B$9,MATCH(B105,BP!$A$5:$A$9,1))-INDEX(BP!$A$5:$A$9,MATCH(B105,BP!$A$5:$A$9,1)))*(B105-INDEX(BP!$A$5:$A$9,MATCH(B105,BP!$A$5:$A$9,1)))+INDEX(BP!$C$5:$C$9,MATCH(B105,BP!$A$5:$A$9,1)),0))</f>
        <v>28</v>
      </c>
      <c r="D105" s="12" t="str">
        <f aca="false">IF(NOT(ISNUMBER(C105)),"",INDEX(BP!$F$5:$F$9,MATCH(C105,BP!$E$5:$E$9,1)))</f>
        <v>ดี</v>
      </c>
      <c r="E105" s="12" t="n">
        <f aca="false">YEAR(A105)</f>
        <v>2021</v>
      </c>
      <c r="F105" s="12" t="n">
        <f aca="false">MONTH(A105)</f>
        <v>4</v>
      </c>
      <c r="G105" s="12" t="n">
        <v>10.1</v>
      </c>
      <c r="H105" s="12" t="n">
        <v>26.3</v>
      </c>
      <c r="I105" s="12" t="n">
        <v>267</v>
      </c>
      <c r="J105" s="12" t="n">
        <v>9</v>
      </c>
      <c r="K105" s="12" t="n">
        <v>0</v>
      </c>
      <c r="L105" s="12" t="s">
        <v>34</v>
      </c>
    </row>
    <row r="106" customFormat="false" ht="15" hidden="false" customHeight="false" outlineLevel="0" collapsed="false">
      <c r="A106" s="11" t="n">
        <v>44301</v>
      </c>
      <c r="B106" s="12" t="n">
        <v>19</v>
      </c>
      <c r="C106" s="12" t="n">
        <f aca="false">IF(NOT(ISNUMBER(B106)),"",ROUND((INDEX(BP!$D$5:$D$9,MATCH(B106,BP!$A$5:$A$9,1))-INDEX(BP!$C$5:$C$9,MATCH(B106,BP!$A$5:$A$9,1)))/(INDEX(BP!$B$5:$B$9,MATCH(B106,BP!$A$5:$A$9,1))-INDEX(BP!$A$5:$A$9,MATCH(B106,BP!$A$5:$A$9,1)))*(B106-INDEX(BP!$A$5:$A$9,MATCH(B106,BP!$A$5:$A$9,1)))+INDEX(BP!$C$5:$C$9,MATCH(B106,BP!$A$5:$A$9,1)),0))</f>
        <v>35</v>
      </c>
      <c r="D106" s="12" t="str">
        <f aca="false">IF(NOT(ISNUMBER(C106)),"",INDEX(BP!$F$5:$F$9,MATCH(C106,BP!$E$5:$E$9,1)))</f>
        <v>ดี</v>
      </c>
      <c r="E106" s="12" t="n">
        <f aca="false">YEAR(A106)</f>
        <v>2021</v>
      </c>
      <c r="F106" s="12" t="n">
        <f aca="false">MONTH(A106)</f>
        <v>4</v>
      </c>
      <c r="G106" s="12" t="n">
        <v>8.4</v>
      </c>
      <c r="H106" s="12" t="n">
        <v>26.3</v>
      </c>
      <c r="I106" s="12" t="n">
        <v>231</v>
      </c>
      <c r="J106" s="12" t="n">
        <v>2.2</v>
      </c>
      <c r="K106" s="12" t="n">
        <v>5.8</v>
      </c>
      <c r="L106" s="12" t="s">
        <v>34</v>
      </c>
    </row>
    <row r="107" customFormat="false" ht="15" hidden="false" customHeight="false" outlineLevel="0" collapsed="false">
      <c r="A107" s="11" t="n">
        <v>44302</v>
      </c>
      <c r="B107" s="12" t="n">
        <v>21</v>
      </c>
      <c r="C107" s="12" t="n">
        <f aca="false">IF(NOT(ISNUMBER(B107)),"",ROUND((INDEX(BP!$D$5:$D$9,MATCH(B107,BP!$A$5:$A$9,1))-INDEX(BP!$C$5:$C$9,MATCH(B107,BP!$A$5:$A$9,1)))/(INDEX(BP!$B$5:$B$9,MATCH(B107,BP!$A$5:$A$9,1))-INDEX(BP!$A$5:$A$9,MATCH(B107,BP!$A$5:$A$9,1)))*(B107-INDEX(BP!$A$5:$A$9,MATCH(B107,BP!$A$5:$A$9,1)))+INDEX(BP!$C$5:$C$9,MATCH(B107,BP!$A$5:$A$9,1)),0))</f>
        <v>40</v>
      </c>
      <c r="D107" s="12" t="str">
        <f aca="false">IF(NOT(ISNUMBER(C107)),"",INDEX(BP!$F$5:$F$9,MATCH(C107,BP!$E$5:$E$9,1)))</f>
        <v>ดี</v>
      </c>
      <c r="E107" s="12" t="n">
        <f aca="false">YEAR(A107)</f>
        <v>2021</v>
      </c>
      <c r="F107" s="12" t="n">
        <f aca="false">MONTH(A107)</f>
        <v>4</v>
      </c>
      <c r="G107" s="12" t="n">
        <v>9.7</v>
      </c>
      <c r="H107" s="12" t="n">
        <v>25.9</v>
      </c>
      <c r="I107" s="12" t="n">
        <v>218</v>
      </c>
      <c r="J107" s="12" t="n">
        <v>4</v>
      </c>
      <c r="K107" s="12" t="n">
        <v>0</v>
      </c>
      <c r="L107" s="12" t="s">
        <v>36</v>
      </c>
    </row>
    <row r="108" customFormat="false" ht="15" hidden="false" customHeight="false" outlineLevel="0" collapsed="false">
      <c r="A108" s="11" t="n">
        <v>44303</v>
      </c>
      <c r="B108" s="12" t="n">
        <v>18</v>
      </c>
      <c r="C108" s="12" t="n">
        <f aca="false">IF(NOT(ISNUMBER(B108)),"",ROUND((INDEX(BP!$D$5:$D$9,MATCH(B108,BP!$A$5:$A$9,1))-INDEX(BP!$C$5:$C$9,MATCH(B108,BP!$A$5:$A$9,1)))/(INDEX(BP!$B$5:$B$9,MATCH(B108,BP!$A$5:$A$9,1))-INDEX(BP!$A$5:$A$9,MATCH(B108,BP!$A$5:$A$9,1)))*(B108-INDEX(BP!$A$5:$A$9,MATCH(B108,BP!$A$5:$A$9,1)))+INDEX(BP!$C$5:$C$9,MATCH(B108,BP!$A$5:$A$9,1)),0))</f>
        <v>33</v>
      </c>
      <c r="D108" s="12" t="str">
        <f aca="false">IF(NOT(ISNUMBER(C108)),"",INDEX(BP!$F$5:$F$9,MATCH(C108,BP!$E$5:$E$9,1)))</f>
        <v>ดี</v>
      </c>
      <c r="E108" s="12" t="n">
        <f aca="false">YEAR(A108)</f>
        <v>2021</v>
      </c>
      <c r="F108" s="12" t="n">
        <f aca="false">MONTH(A108)</f>
        <v>4</v>
      </c>
      <c r="G108" s="12" t="n">
        <v>8.2</v>
      </c>
      <c r="H108" s="12" t="n">
        <v>22.3</v>
      </c>
      <c r="I108" s="12" t="n">
        <v>53</v>
      </c>
      <c r="J108" s="12" t="n">
        <v>4.5</v>
      </c>
      <c r="K108" s="12" t="n">
        <v>7.6</v>
      </c>
      <c r="L108" s="12" t="s">
        <v>35</v>
      </c>
    </row>
    <row r="109" customFormat="false" ht="15" hidden="false" customHeight="false" outlineLevel="0" collapsed="false">
      <c r="A109" s="11" t="n">
        <v>44304</v>
      </c>
      <c r="B109" s="12" t="n">
        <v>13</v>
      </c>
      <c r="C109" s="12" t="n">
        <f aca="false">IF(NOT(ISNUMBER(B109)),"",ROUND((INDEX(BP!$D$5:$D$9,MATCH(B109,BP!$A$5:$A$9,1))-INDEX(BP!$C$5:$C$9,MATCH(B109,BP!$A$5:$A$9,1)))/(INDEX(BP!$B$5:$B$9,MATCH(B109,BP!$A$5:$A$9,1))-INDEX(BP!$A$5:$A$9,MATCH(B109,BP!$A$5:$A$9,1)))*(B109-INDEX(BP!$A$5:$A$9,MATCH(B109,BP!$A$5:$A$9,1)))+INDEX(BP!$C$5:$C$9,MATCH(B109,BP!$A$5:$A$9,1)),0))</f>
        <v>22</v>
      </c>
      <c r="D109" s="12" t="str">
        <f aca="false">IF(NOT(ISNUMBER(C109)),"",INDEX(BP!$F$5:$F$9,MATCH(C109,BP!$E$5:$E$9,1)))</f>
        <v>ดีมาก</v>
      </c>
      <c r="E109" s="12" t="n">
        <f aca="false">YEAR(A109)</f>
        <v>2021</v>
      </c>
      <c r="F109" s="12" t="n">
        <f aca="false">MONTH(A109)</f>
        <v>4</v>
      </c>
      <c r="G109" s="12" t="n">
        <v>12.4</v>
      </c>
      <c r="H109" s="12" t="n">
        <v>30.6</v>
      </c>
      <c r="I109" s="12" t="n">
        <v>240</v>
      </c>
      <c r="J109" s="12" t="n">
        <v>1.4</v>
      </c>
      <c r="K109" s="12" t="n">
        <v>0</v>
      </c>
      <c r="L109" s="12" t="s">
        <v>35</v>
      </c>
    </row>
    <row r="110" customFormat="false" ht="15" hidden="false" customHeight="false" outlineLevel="0" collapsed="false">
      <c r="A110" s="11" t="n">
        <v>44305</v>
      </c>
      <c r="B110" s="12" t="n">
        <v>14</v>
      </c>
      <c r="C110" s="12" t="n">
        <f aca="false">IF(NOT(ISNUMBER(B110)),"",ROUND((INDEX(BP!$D$5:$D$9,MATCH(B110,BP!$A$5:$A$9,1))-INDEX(BP!$C$5:$C$9,MATCH(B110,BP!$A$5:$A$9,1)))/(INDEX(BP!$B$5:$B$9,MATCH(B110,BP!$A$5:$A$9,1))-INDEX(BP!$A$5:$A$9,MATCH(B110,BP!$A$5:$A$9,1)))*(B110-INDEX(BP!$A$5:$A$9,MATCH(B110,BP!$A$5:$A$9,1)))+INDEX(BP!$C$5:$C$9,MATCH(B110,BP!$A$5:$A$9,1)),0))</f>
        <v>23</v>
      </c>
      <c r="D110" s="12" t="str">
        <f aca="false">IF(NOT(ISNUMBER(C110)),"",INDEX(BP!$F$5:$F$9,MATCH(C110,BP!$E$5:$E$9,1)))</f>
        <v>ดีมาก</v>
      </c>
      <c r="E110" s="12" t="n">
        <f aca="false">YEAR(A110)</f>
        <v>2021</v>
      </c>
      <c r="F110" s="12" t="n">
        <f aca="false">MONTH(A110)</f>
        <v>4</v>
      </c>
      <c r="G110" s="12" t="n">
        <v>13.9</v>
      </c>
      <c r="H110" s="12" t="n">
        <v>33.1</v>
      </c>
      <c r="I110" s="12" t="n">
        <v>240</v>
      </c>
      <c r="J110" s="12" t="n">
        <v>11.4</v>
      </c>
      <c r="K110" s="12" t="n">
        <v>0</v>
      </c>
      <c r="L110" s="12" t="s">
        <v>36</v>
      </c>
    </row>
    <row r="111" customFormat="false" ht="15" hidden="false" customHeight="false" outlineLevel="0" collapsed="false">
      <c r="A111" s="11" t="n">
        <v>44306</v>
      </c>
      <c r="B111" s="12" t="n">
        <v>14</v>
      </c>
      <c r="C111" s="12" t="n">
        <f aca="false">IF(NOT(ISNUMBER(B111)),"",ROUND((INDEX(BP!$D$5:$D$9,MATCH(B111,BP!$A$5:$A$9,1))-INDEX(BP!$C$5:$C$9,MATCH(B111,BP!$A$5:$A$9,1)))/(INDEX(BP!$B$5:$B$9,MATCH(B111,BP!$A$5:$A$9,1))-INDEX(BP!$A$5:$A$9,MATCH(B111,BP!$A$5:$A$9,1)))*(B111-INDEX(BP!$A$5:$A$9,MATCH(B111,BP!$A$5:$A$9,1)))+INDEX(BP!$C$5:$C$9,MATCH(B111,BP!$A$5:$A$9,1)),0))</f>
        <v>23</v>
      </c>
      <c r="D111" s="12" t="str">
        <f aca="false">IF(NOT(ISNUMBER(C111)),"",INDEX(BP!$F$5:$F$9,MATCH(C111,BP!$E$5:$E$9,1)))</f>
        <v>ดีมาก</v>
      </c>
      <c r="E111" s="12" t="n">
        <f aca="false">YEAR(A111)</f>
        <v>2021</v>
      </c>
      <c r="F111" s="12" t="n">
        <f aca="false">MONTH(A111)</f>
        <v>4</v>
      </c>
      <c r="G111" s="12" t="n">
        <v>10.4</v>
      </c>
      <c r="H111" s="12" t="n">
        <v>31</v>
      </c>
      <c r="I111" s="12" t="n">
        <v>232</v>
      </c>
      <c r="J111" s="12" t="n">
        <v>5.4</v>
      </c>
      <c r="K111" s="12" t="n">
        <v>0</v>
      </c>
      <c r="L111" s="12" t="s">
        <v>36</v>
      </c>
    </row>
    <row r="112" customFormat="false" ht="15" hidden="false" customHeight="false" outlineLevel="0" collapsed="false">
      <c r="A112" s="11" t="n">
        <v>44307</v>
      </c>
      <c r="B112" s="12" t="n">
        <v>14</v>
      </c>
      <c r="C112" s="12" t="n">
        <f aca="false">IF(NOT(ISNUMBER(B112)),"",ROUND((INDEX(BP!$D$5:$D$9,MATCH(B112,BP!$A$5:$A$9,1))-INDEX(BP!$C$5:$C$9,MATCH(B112,BP!$A$5:$A$9,1)))/(INDEX(BP!$B$5:$B$9,MATCH(B112,BP!$A$5:$A$9,1))-INDEX(BP!$A$5:$A$9,MATCH(B112,BP!$A$5:$A$9,1)))*(B112-INDEX(BP!$A$5:$A$9,MATCH(B112,BP!$A$5:$A$9,1)))+INDEX(BP!$C$5:$C$9,MATCH(B112,BP!$A$5:$A$9,1)),0))</f>
        <v>23</v>
      </c>
      <c r="D112" s="12" t="str">
        <f aca="false">IF(NOT(ISNUMBER(C112)),"",INDEX(BP!$F$5:$F$9,MATCH(C112,BP!$E$5:$E$9,1)))</f>
        <v>ดีมาก</v>
      </c>
      <c r="E112" s="12" t="n">
        <f aca="false">YEAR(A112)</f>
        <v>2021</v>
      </c>
      <c r="F112" s="12" t="n">
        <f aca="false">MONTH(A112)</f>
        <v>4</v>
      </c>
      <c r="G112" s="12" t="n">
        <v>11.7</v>
      </c>
      <c r="H112" s="12" t="n">
        <v>30.2</v>
      </c>
      <c r="I112" s="12" t="n">
        <v>238</v>
      </c>
      <c r="J112" s="12" t="n">
        <v>4.6</v>
      </c>
      <c r="K112" s="12" t="n">
        <v>0</v>
      </c>
      <c r="L112" s="12" t="s">
        <v>36</v>
      </c>
    </row>
    <row r="113" customFormat="false" ht="15" hidden="false" customHeight="false" outlineLevel="0" collapsed="false">
      <c r="A113" s="11" t="n">
        <v>44308</v>
      </c>
      <c r="B113" s="12" t="n">
        <v>19</v>
      </c>
      <c r="C113" s="12" t="n">
        <f aca="false">IF(NOT(ISNUMBER(B113)),"",ROUND((INDEX(BP!$D$5:$D$9,MATCH(B113,BP!$A$5:$A$9,1))-INDEX(BP!$C$5:$C$9,MATCH(B113,BP!$A$5:$A$9,1)))/(INDEX(BP!$B$5:$B$9,MATCH(B113,BP!$A$5:$A$9,1))-INDEX(BP!$A$5:$A$9,MATCH(B113,BP!$A$5:$A$9,1)))*(B113-INDEX(BP!$A$5:$A$9,MATCH(B113,BP!$A$5:$A$9,1)))+INDEX(BP!$C$5:$C$9,MATCH(B113,BP!$A$5:$A$9,1)),0))</f>
        <v>35</v>
      </c>
      <c r="D113" s="12" t="str">
        <f aca="false">IF(NOT(ISNUMBER(C113)),"",INDEX(BP!$F$5:$F$9,MATCH(C113,BP!$E$5:$E$9,1)))</f>
        <v>ดี</v>
      </c>
      <c r="E113" s="12" t="n">
        <f aca="false">YEAR(A113)</f>
        <v>2021</v>
      </c>
      <c r="F113" s="12" t="n">
        <f aca="false">MONTH(A113)</f>
        <v>4</v>
      </c>
      <c r="G113" s="12" t="n">
        <v>11.5</v>
      </c>
      <c r="H113" s="12" t="n">
        <v>25.6</v>
      </c>
      <c r="I113" s="12" t="n">
        <v>229</v>
      </c>
      <c r="J113" s="12" t="n">
        <v>15.2</v>
      </c>
      <c r="K113" s="12" t="n">
        <v>2.8</v>
      </c>
      <c r="L113" s="12" t="s">
        <v>36</v>
      </c>
    </row>
    <row r="114" customFormat="false" ht="15" hidden="false" customHeight="false" outlineLevel="0" collapsed="false">
      <c r="A114" s="11" t="n">
        <v>44309</v>
      </c>
      <c r="B114" s="12" t="n">
        <v>20</v>
      </c>
      <c r="C114" s="12" t="n">
        <f aca="false">IF(NOT(ISNUMBER(B114)),"",ROUND((INDEX(BP!$D$5:$D$9,MATCH(B114,BP!$A$5:$A$9,1))-INDEX(BP!$C$5:$C$9,MATCH(B114,BP!$A$5:$A$9,1)))/(INDEX(BP!$B$5:$B$9,MATCH(B114,BP!$A$5:$A$9,1))-INDEX(BP!$A$5:$A$9,MATCH(B114,BP!$A$5:$A$9,1)))*(B114-INDEX(BP!$A$5:$A$9,MATCH(B114,BP!$A$5:$A$9,1)))+INDEX(BP!$C$5:$C$9,MATCH(B114,BP!$A$5:$A$9,1)),0))</f>
        <v>38</v>
      </c>
      <c r="D114" s="12" t="str">
        <f aca="false">IF(NOT(ISNUMBER(C114)),"",INDEX(BP!$F$5:$F$9,MATCH(C114,BP!$E$5:$E$9,1)))</f>
        <v>ดี</v>
      </c>
      <c r="E114" s="12" t="n">
        <f aca="false">YEAR(A114)</f>
        <v>2021</v>
      </c>
      <c r="F114" s="12" t="n">
        <f aca="false">MONTH(A114)</f>
        <v>4</v>
      </c>
      <c r="G114" s="12" t="n">
        <v>18</v>
      </c>
      <c r="H114" s="12" t="n">
        <v>38.2</v>
      </c>
      <c r="I114" s="12" t="n">
        <v>231</v>
      </c>
      <c r="J114" s="12" t="n">
        <v>5</v>
      </c>
      <c r="K114" s="12" t="n">
        <v>0</v>
      </c>
      <c r="L114" s="12" t="s">
        <v>36</v>
      </c>
    </row>
    <row r="115" customFormat="false" ht="15" hidden="false" customHeight="false" outlineLevel="0" collapsed="false">
      <c r="A115" s="11" t="n">
        <v>44310</v>
      </c>
      <c r="B115" s="12" t="n">
        <v>15</v>
      </c>
      <c r="C115" s="12" t="n">
        <f aca="false">IF(NOT(ISNUMBER(B115)),"",ROUND((INDEX(BP!$D$5:$D$9,MATCH(B115,BP!$A$5:$A$9,1))-INDEX(BP!$C$5:$C$9,MATCH(B115,BP!$A$5:$A$9,1)))/(INDEX(BP!$B$5:$B$9,MATCH(B115,BP!$A$5:$A$9,1))-INDEX(BP!$A$5:$A$9,MATCH(B115,BP!$A$5:$A$9,1)))*(B115-INDEX(BP!$A$5:$A$9,MATCH(B115,BP!$A$5:$A$9,1)))+INDEX(BP!$C$5:$C$9,MATCH(B115,BP!$A$5:$A$9,1)),0))</f>
        <v>25</v>
      </c>
      <c r="D115" s="12" t="str">
        <f aca="false">IF(NOT(ISNUMBER(C115)),"",INDEX(BP!$F$5:$F$9,MATCH(C115,BP!$E$5:$E$9,1)))</f>
        <v>ดีมาก</v>
      </c>
      <c r="E115" s="12" t="n">
        <f aca="false">YEAR(A115)</f>
        <v>2021</v>
      </c>
      <c r="F115" s="12" t="n">
        <f aca="false">MONTH(A115)</f>
        <v>4</v>
      </c>
      <c r="G115" s="12" t="n">
        <v>17.8</v>
      </c>
      <c r="H115" s="12" t="n">
        <v>37.8</v>
      </c>
      <c r="I115" s="12" t="n">
        <v>223</v>
      </c>
      <c r="J115" s="12" t="n">
        <v>5.7</v>
      </c>
      <c r="K115" s="12" t="n">
        <v>0.4</v>
      </c>
      <c r="L115" s="12" t="s">
        <v>35</v>
      </c>
    </row>
    <row r="116" customFormat="false" ht="15" hidden="false" customHeight="false" outlineLevel="0" collapsed="false">
      <c r="A116" s="11" t="n">
        <v>44311</v>
      </c>
      <c r="B116" s="12" t="n">
        <v>15</v>
      </c>
      <c r="C116" s="12" t="n">
        <f aca="false">IF(NOT(ISNUMBER(B116)),"",ROUND((INDEX(BP!$D$5:$D$9,MATCH(B116,BP!$A$5:$A$9,1))-INDEX(BP!$C$5:$C$9,MATCH(B116,BP!$A$5:$A$9,1)))/(INDEX(BP!$B$5:$B$9,MATCH(B116,BP!$A$5:$A$9,1))-INDEX(BP!$A$5:$A$9,MATCH(B116,BP!$A$5:$A$9,1)))*(B116-INDEX(BP!$A$5:$A$9,MATCH(B116,BP!$A$5:$A$9,1)))+INDEX(BP!$C$5:$C$9,MATCH(B116,BP!$A$5:$A$9,1)),0))</f>
        <v>25</v>
      </c>
      <c r="D116" s="12" t="str">
        <f aca="false">IF(NOT(ISNUMBER(C116)),"",INDEX(BP!$F$5:$F$9,MATCH(C116,BP!$E$5:$E$9,1)))</f>
        <v>ดีมาก</v>
      </c>
      <c r="E116" s="12" t="n">
        <f aca="false">YEAR(A116)</f>
        <v>2021</v>
      </c>
      <c r="F116" s="12" t="n">
        <f aca="false">MONTH(A116)</f>
        <v>4</v>
      </c>
      <c r="G116" s="12" t="n">
        <v>12.2</v>
      </c>
      <c r="H116" s="12" t="n">
        <v>33.1</v>
      </c>
      <c r="I116" s="12" t="n">
        <v>234</v>
      </c>
      <c r="J116" s="12" t="n">
        <v>5.5</v>
      </c>
      <c r="K116" s="12" t="n">
        <v>0</v>
      </c>
      <c r="L116" s="12" t="s">
        <v>35</v>
      </c>
    </row>
    <row r="117" customFormat="false" ht="15" hidden="false" customHeight="false" outlineLevel="0" collapsed="false">
      <c r="A117" s="11" t="n">
        <v>44312</v>
      </c>
      <c r="B117" s="12" t="n">
        <v>18</v>
      </c>
      <c r="C117" s="12" t="n">
        <f aca="false">IF(NOT(ISNUMBER(B117)),"",ROUND((INDEX(BP!$D$5:$D$9,MATCH(B117,BP!$A$5:$A$9,1))-INDEX(BP!$C$5:$C$9,MATCH(B117,BP!$A$5:$A$9,1)))/(INDEX(BP!$B$5:$B$9,MATCH(B117,BP!$A$5:$A$9,1))-INDEX(BP!$A$5:$A$9,MATCH(B117,BP!$A$5:$A$9,1)))*(B117-INDEX(BP!$A$5:$A$9,MATCH(B117,BP!$A$5:$A$9,1)))+INDEX(BP!$C$5:$C$9,MATCH(B117,BP!$A$5:$A$9,1)),0))</f>
        <v>33</v>
      </c>
      <c r="D117" s="12" t="str">
        <f aca="false">IF(NOT(ISNUMBER(C117)),"",INDEX(BP!$F$5:$F$9,MATCH(C117,BP!$E$5:$E$9,1)))</f>
        <v>ดี</v>
      </c>
      <c r="E117" s="12" t="n">
        <f aca="false">YEAR(A117)</f>
        <v>2021</v>
      </c>
      <c r="F117" s="12" t="n">
        <f aca="false">MONTH(A117)</f>
        <v>4</v>
      </c>
      <c r="G117" s="12" t="n">
        <v>11.2</v>
      </c>
      <c r="H117" s="12" t="n">
        <v>30.2</v>
      </c>
      <c r="I117" s="12" t="n">
        <v>250</v>
      </c>
      <c r="J117" s="12" t="n">
        <v>3.4</v>
      </c>
      <c r="K117" s="12" t="n">
        <v>0.2</v>
      </c>
      <c r="L117" s="12" t="s">
        <v>36</v>
      </c>
    </row>
    <row r="118" customFormat="false" ht="15" hidden="false" customHeight="false" outlineLevel="0" collapsed="false">
      <c r="A118" s="11" t="n">
        <v>44313</v>
      </c>
      <c r="B118" s="12" t="n">
        <v>12</v>
      </c>
      <c r="C118" s="12" t="n">
        <f aca="false">IF(NOT(ISNUMBER(B118)),"",ROUND((INDEX(BP!$D$5:$D$9,MATCH(B118,BP!$A$5:$A$9,1))-INDEX(BP!$C$5:$C$9,MATCH(B118,BP!$A$5:$A$9,1)))/(INDEX(BP!$B$5:$B$9,MATCH(B118,BP!$A$5:$A$9,1))-INDEX(BP!$A$5:$A$9,MATCH(B118,BP!$A$5:$A$9,1)))*(B118-INDEX(BP!$A$5:$A$9,MATCH(B118,BP!$A$5:$A$9,1)))+INDEX(BP!$C$5:$C$9,MATCH(B118,BP!$A$5:$A$9,1)),0))</f>
        <v>20</v>
      </c>
      <c r="D118" s="12" t="str">
        <f aca="false">IF(NOT(ISNUMBER(C118)),"",INDEX(BP!$F$5:$F$9,MATCH(C118,BP!$E$5:$E$9,1)))</f>
        <v>ดีมาก</v>
      </c>
      <c r="E118" s="12" t="n">
        <f aca="false">YEAR(A118)</f>
        <v>2021</v>
      </c>
      <c r="F118" s="12" t="n">
        <f aca="false">MONTH(A118)</f>
        <v>4</v>
      </c>
      <c r="G118" s="12" t="n">
        <v>10.9</v>
      </c>
      <c r="H118" s="12" t="n">
        <v>29.2</v>
      </c>
      <c r="I118" s="12" t="n">
        <v>236</v>
      </c>
      <c r="J118" s="12" t="n">
        <v>7.8</v>
      </c>
      <c r="K118" s="12" t="n">
        <v>2</v>
      </c>
      <c r="L118" s="12" t="s">
        <v>36</v>
      </c>
    </row>
    <row r="119" customFormat="false" ht="15" hidden="false" customHeight="false" outlineLevel="0" collapsed="false">
      <c r="A119" s="11" t="n">
        <v>44314</v>
      </c>
      <c r="B119" s="12" t="n">
        <v>16</v>
      </c>
      <c r="C119" s="12" t="n">
        <f aca="false">IF(NOT(ISNUMBER(B119)),"",ROUND((INDEX(BP!$D$5:$D$9,MATCH(B119,BP!$A$5:$A$9,1))-INDEX(BP!$C$5:$C$9,MATCH(B119,BP!$A$5:$A$9,1)))/(INDEX(BP!$B$5:$B$9,MATCH(B119,BP!$A$5:$A$9,1))-INDEX(BP!$A$5:$A$9,MATCH(B119,BP!$A$5:$A$9,1)))*(B119-INDEX(BP!$A$5:$A$9,MATCH(B119,BP!$A$5:$A$9,1)))+INDEX(BP!$C$5:$C$9,MATCH(B119,BP!$A$5:$A$9,1)),0))</f>
        <v>28</v>
      </c>
      <c r="D119" s="12" t="str">
        <f aca="false">IF(NOT(ISNUMBER(C119)),"",INDEX(BP!$F$5:$F$9,MATCH(C119,BP!$E$5:$E$9,1)))</f>
        <v>ดี</v>
      </c>
      <c r="E119" s="12" t="n">
        <f aca="false">YEAR(A119)</f>
        <v>2021</v>
      </c>
      <c r="F119" s="12" t="n">
        <f aca="false">MONTH(A119)</f>
        <v>4</v>
      </c>
      <c r="G119" s="12" t="n">
        <v>11</v>
      </c>
      <c r="H119" s="12" t="n">
        <v>28.8</v>
      </c>
      <c r="I119" s="12" t="n">
        <v>169</v>
      </c>
      <c r="J119" s="12" t="n">
        <v>1.3</v>
      </c>
      <c r="K119" s="12" t="n">
        <v>0</v>
      </c>
      <c r="L119" s="12" t="s">
        <v>36</v>
      </c>
    </row>
    <row r="120" customFormat="false" ht="15" hidden="false" customHeight="false" outlineLevel="0" collapsed="false">
      <c r="A120" s="11" t="n">
        <v>44315</v>
      </c>
      <c r="B120" s="12" t="n">
        <v>20</v>
      </c>
      <c r="C120" s="12" t="n">
        <f aca="false">IF(NOT(ISNUMBER(B120)),"",ROUND((INDEX(BP!$D$5:$D$9,MATCH(B120,BP!$A$5:$A$9,1))-INDEX(BP!$C$5:$C$9,MATCH(B120,BP!$A$5:$A$9,1)))/(INDEX(BP!$B$5:$B$9,MATCH(B120,BP!$A$5:$A$9,1))-INDEX(BP!$A$5:$A$9,MATCH(B120,BP!$A$5:$A$9,1)))*(B120-INDEX(BP!$A$5:$A$9,MATCH(B120,BP!$A$5:$A$9,1)))+INDEX(BP!$C$5:$C$9,MATCH(B120,BP!$A$5:$A$9,1)),0))</f>
        <v>38</v>
      </c>
      <c r="D120" s="12" t="str">
        <f aca="false">IF(NOT(ISNUMBER(C120)),"",INDEX(BP!$F$5:$F$9,MATCH(C120,BP!$E$5:$E$9,1)))</f>
        <v>ดี</v>
      </c>
      <c r="E120" s="12" t="n">
        <f aca="false">YEAR(A120)</f>
        <v>2021</v>
      </c>
      <c r="F120" s="12" t="n">
        <f aca="false">MONTH(A120)</f>
        <v>4</v>
      </c>
      <c r="G120" s="12" t="n">
        <v>11.2</v>
      </c>
      <c r="H120" s="12" t="n">
        <v>28.8</v>
      </c>
      <c r="I120" s="12" t="n">
        <v>85</v>
      </c>
      <c r="J120" s="12" t="n">
        <v>10.4</v>
      </c>
      <c r="K120" s="12" t="n">
        <v>0.2</v>
      </c>
      <c r="L120" s="12" t="s">
        <v>36</v>
      </c>
    </row>
    <row r="121" customFormat="false" ht="15" hidden="false" customHeight="false" outlineLevel="0" collapsed="false">
      <c r="A121" s="11" t="n">
        <v>44316</v>
      </c>
      <c r="B121" s="12" t="n">
        <v>20</v>
      </c>
      <c r="C121" s="12" t="n">
        <f aca="false">IF(NOT(ISNUMBER(B121)),"",ROUND((INDEX(BP!$D$5:$D$9,MATCH(B121,BP!$A$5:$A$9,1))-INDEX(BP!$C$5:$C$9,MATCH(B121,BP!$A$5:$A$9,1)))/(INDEX(BP!$B$5:$B$9,MATCH(B121,BP!$A$5:$A$9,1))-INDEX(BP!$A$5:$A$9,MATCH(B121,BP!$A$5:$A$9,1)))*(B121-INDEX(BP!$A$5:$A$9,MATCH(B121,BP!$A$5:$A$9,1)))+INDEX(BP!$C$5:$C$9,MATCH(B121,BP!$A$5:$A$9,1)),0))</f>
        <v>38</v>
      </c>
      <c r="D121" s="12" t="str">
        <f aca="false">IF(NOT(ISNUMBER(C121)),"",INDEX(BP!$F$5:$F$9,MATCH(C121,BP!$E$5:$E$9,1)))</f>
        <v>ดี</v>
      </c>
      <c r="E121" s="12" t="n">
        <f aca="false">YEAR(A121)</f>
        <v>2021</v>
      </c>
      <c r="F121" s="12" t="n">
        <f aca="false">MONTH(A121)</f>
        <v>4</v>
      </c>
      <c r="G121" s="12" t="n">
        <v>13.2</v>
      </c>
      <c r="H121" s="12" t="n">
        <v>28.8</v>
      </c>
      <c r="I121" s="12" t="n">
        <v>101</v>
      </c>
      <c r="J121" s="12" t="n">
        <v>17.1</v>
      </c>
      <c r="K121" s="12" t="n">
        <v>65.2</v>
      </c>
      <c r="L121" s="12" t="s">
        <v>36</v>
      </c>
    </row>
    <row r="122" customFormat="false" ht="15" hidden="false" customHeight="false" outlineLevel="0" collapsed="false">
      <c r="A122" s="11" t="n">
        <v>44317</v>
      </c>
      <c r="B122" s="12" t="n">
        <v>18</v>
      </c>
      <c r="C122" s="12" t="n">
        <f aca="false">IF(NOT(ISNUMBER(B122)),"",ROUND((INDEX(BP!$D$5:$D$9,MATCH(B122,BP!$A$5:$A$9,1))-INDEX(BP!$C$5:$C$9,MATCH(B122,BP!$A$5:$A$9,1)))/(INDEX(BP!$B$5:$B$9,MATCH(B122,BP!$A$5:$A$9,1))-INDEX(BP!$A$5:$A$9,MATCH(B122,BP!$A$5:$A$9,1)))*(B122-INDEX(BP!$A$5:$A$9,MATCH(B122,BP!$A$5:$A$9,1)))+INDEX(BP!$C$5:$C$9,MATCH(B122,BP!$A$5:$A$9,1)),0))</f>
        <v>33</v>
      </c>
      <c r="D122" s="12" t="str">
        <f aca="false">IF(NOT(ISNUMBER(C122)),"",INDEX(BP!$F$5:$F$9,MATCH(C122,BP!$E$5:$E$9,1)))</f>
        <v>ดี</v>
      </c>
      <c r="E122" s="12" t="n">
        <f aca="false">YEAR(A122)</f>
        <v>2021</v>
      </c>
      <c r="F122" s="12" t="n">
        <f aca="false">MONTH(A122)</f>
        <v>5</v>
      </c>
      <c r="G122" s="12" t="n">
        <v>14.3</v>
      </c>
      <c r="H122" s="12" t="n">
        <v>33.8</v>
      </c>
      <c r="I122" s="12" t="n">
        <v>91</v>
      </c>
      <c r="J122" s="12" t="n">
        <v>5.7</v>
      </c>
      <c r="K122" s="12" t="n">
        <v>0.2</v>
      </c>
      <c r="L122" s="12" t="s">
        <v>34</v>
      </c>
    </row>
    <row r="123" customFormat="false" ht="15" hidden="false" customHeight="false" outlineLevel="0" collapsed="false">
      <c r="A123" s="11" t="n">
        <v>44318</v>
      </c>
      <c r="B123" s="12" t="n">
        <v>15</v>
      </c>
      <c r="C123" s="12" t="n">
        <f aca="false">IF(NOT(ISNUMBER(B123)),"",ROUND((INDEX(BP!$D$5:$D$9,MATCH(B123,BP!$A$5:$A$9,1))-INDEX(BP!$C$5:$C$9,MATCH(B123,BP!$A$5:$A$9,1)))/(INDEX(BP!$B$5:$B$9,MATCH(B123,BP!$A$5:$A$9,1))-INDEX(BP!$A$5:$A$9,MATCH(B123,BP!$A$5:$A$9,1)))*(B123-INDEX(BP!$A$5:$A$9,MATCH(B123,BP!$A$5:$A$9,1)))+INDEX(BP!$C$5:$C$9,MATCH(B123,BP!$A$5:$A$9,1)),0))</f>
        <v>25</v>
      </c>
      <c r="D123" s="12" t="str">
        <f aca="false">IF(NOT(ISNUMBER(C123)),"",INDEX(BP!$F$5:$F$9,MATCH(C123,BP!$E$5:$E$9,1)))</f>
        <v>ดีมาก</v>
      </c>
      <c r="E123" s="12" t="n">
        <f aca="false">YEAR(A123)</f>
        <v>2021</v>
      </c>
      <c r="F123" s="12" t="n">
        <f aca="false">MONTH(A123)</f>
        <v>5</v>
      </c>
      <c r="G123" s="12" t="n">
        <v>22</v>
      </c>
      <c r="H123" s="12" t="n">
        <v>47.9</v>
      </c>
      <c r="I123" s="12" t="n">
        <v>90</v>
      </c>
      <c r="J123" s="12" t="n">
        <v>4.2</v>
      </c>
      <c r="K123" s="12" t="n">
        <v>20.4</v>
      </c>
      <c r="L123" s="12" t="s">
        <v>35</v>
      </c>
    </row>
    <row r="124" customFormat="false" ht="15" hidden="false" customHeight="false" outlineLevel="0" collapsed="false">
      <c r="A124" s="11" t="n">
        <v>44319</v>
      </c>
      <c r="B124" s="12" t="n">
        <v>15</v>
      </c>
      <c r="C124" s="12" t="n">
        <f aca="false">IF(NOT(ISNUMBER(B124)),"",ROUND((INDEX(BP!$D$5:$D$9,MATCH(B124,BP!$A$5:$A$9,1))-INDEX(BP!$C$5:$C$9,MATCH(B124,BP!$A$5:$A$9,1)))/(INDEX(BP!$B$5:$B$9,MATCH(B124,BP!$A$5:$A$9,1))-INDEX(BP!$A$5:$A$9,MATCH(B124,BP!$A$5:$A$9,1)))*(B124-INDEX(BP!$A$5:$A$9,MATCH(B124,BP!$A$5:$A$9,1)))+INDEX(BP!$C$5:$C$9,MATCH(B124,BP!$A$5:$A$9,1)),0))</f>
        <v>25</v>
      </c>
      <c r="D124" s="12" t="str">
        <f aca="false">IF(NOT(ISNUMBER(C124)),"",INDEX(BP!$F$5:$F$9,MATCH(C124,BP!$E$5:$E$9,1)))</f>
        <v>ดีมาก</v>
      </c>
      <c r="E124" s="12" t="n">
        <f aca="false">YEAR(A124)</f>
        <v>2021</v>
      </c>
      <c r="F124" s="12" t="n">
        <f aca="false">MONTH(A124)</f>
        <v>5</v>
      </c>
      <c r="G124" s="12" t="n">
        <v>17.7</v>
      </c>
      <c r="H124" s="12" t="n">
        <v>42.8</v>
      </c>
      <c r="I124" s="12" t="n">
        <v>94</v>
      </c>
      <c r="J124" s="12" t="n">
        <v>1.1</v>
      </c>
      <c r="K124" s="12" t="n">
        <v>3</v>
      </c>
      <c r="L124" s="12" t="s">
        <v>34</v>
      </c>
    </row>
    <row r="125" customFormat="false" ht="15" hidden="false" customHeight="false" outlineLevel="0" collapsed="false">
      <c r="A125" s="11" t="n">
        <v>44320</v>
      </c>
      <c r="B125" s="12" t="n">
        <v>13</v>
      </c>
      <c r="C125" s="12" t="n">
        <f aca="false">IF(NOT(ISNUMBER(B125)),"",ROUND((INDEX(BP!$D$5:$D$9,MATCH(B125,BP!$A$5:$A$9,1))-INDEX(BP!$C$5:$C$9,MATCH(B125,BP!$A$5:$A$9,1)))/(INDEX(BP!$B$5:$B$9,MATCH(B125,BP!$A$5:$A$9,1))-INDEX(BP!$A$5:$A$9,MATCH(B125,BP!$A$5:$A$9,1)))*(B125-INDEX(BP!$A$5:$A$9,MATCH(B125,BP!$A$5:$A$9,1)))+INDEX(BP!$C$5:$C$9,MATCH(B125,BP!$A$5:$A$9,1)),0))</f>
        <v>22</v>
      </c>
      <c r="D125" s="12" t="str">
        <f aca="false">IF(NOT(ISNUMBER(C125)),"",INDEX(BP!$F$5:$F$9,MATCH(C125,BP!$E$5:$E$9,1)))</f>
        <v>ดีมาก</v>
      </c>
      <c r="E125" s="12" t="n">
        <f aca="false">YEAR(A125)</f>
        <v>2021</v>
      </c>
      <c r="F125" s="12" t="n">
        <f aca="false">MONTH(A125)</f>
        <v>5</v>
      </c>
      <c r="G125" s="12" t="n">
        <v>16.5</v>
      </c>
      <c r="H125" s="12" t="n">
        <v>43.2</v>
      </c>
      <c r="I125" s="12" t="n">
        <v>87</v>
      </c>
      <c r="J125" s="12" t="n">
        <v>2.8</v>
      </c>
      <c r="K125" s="12" t="n">
        <v>4.4</v>
      </c>
      <c r="L125" s="12" t="s">
        <v>34</v>
      </c>
    </row>
    <row r="126" customFormat="false" ht="15" hidden="false" customHeight="false" outlineLevel="0" collapsed="false">
      <c r="A126" s="11" t="n">
        <v>44321</v>
      </c>
      <c r="B126" s="12" t="n">
        <v>10</v>
      </c>
      <c r="C126" s="12" t="n">
        <f aca="false">IF(NOT(ISNUMBER(B126)),"",ROUND((INDEX(BP!$D$5:$D$9,MATCH(B126,BP!$A$5:$A$9,1))-INDEX(BP!$C$5:$C$9,MATCH(B126,BP!$A$5:$A$9,1)))/(INDEX(BP!$B$5:$B$9,MATCH(B126,BP!$A$5:$A$9,1))-INDEX(BP!$A$5:$A$9,MATCH(B126,BP!$A$5:$A$9,1)))*(B126-INDEX(BP!$A$5:$A$9,MATCH(B126,BP!$A$5:$A$9,1)))+INDEX(BP!$C$5:$C$9,MATCH(B126,BP!$A$5:$A$9,1)),0))</f>
        <v>17</v>
      </c>
      <c r="D126" s="12" t="str">
        <f aca="false">IF(NOT(ISNUMBER(C126)),"",INDEX(BP!$F$5:$F$9,MATCH(C126,BP!$E$5:$E$9,1)))</f>
        <v>ดีมาก</v>
      </c>
      <c r="E126" s="12" t="n">
        <f aca="false">YEAR(A126)</f>
        <v>2021</v>
      </c>
      <c r="F126" s="12" t="n">
        <f aca="false">MONTH(A126)</f>
        <v>5</v>
      </c>
      <c r="G126" s="12" t="n">
        <v>14.2</v>
      </c>
      <c r="H126" s="12" t="n">
        <v>40</v>
      </c>
      <c r="I126" s="12" t="n">
        <v>79</v>
      </c>
      <c r="J126" s="12" t="n">
        <v>9.1</v>
      </c>
      <c r="K126" s="12" t="n">
        <v>4.8</v>
      </c>
      <c r="L126" s="12" t="s">
        <v>36</v>
      </c>
    </row>
    <row r="127" customFormat="false" ht="15" hidden="false" customHeight="false" outlineLevel="0" collapsed="false">
      <c r="A127" s="11" t="n">
        <v>44322</v>
      </c>
      <c r="B127" s="12" t="n">
        <v>12</v>
      </c>
      <c r="C127" s="12" t="n">
        <f aca="false">IF(NOT(ISNUMBER(B127)),"",ROUND((INDEX(BP!$D$5:$D$9,MATCH(B127,BP!$A$5:$A$9,1))-INDEX(BP!$C$5:$C$9,MATCH(B127,BP!$A$5:$A$9,1)))/(INDEX(BP!$B$5:$B$9,MATCH(B127,BP!$A$5:$A$9,1))-INDEX(BP!$A$5:$A$9,MATCH(B127,BP!$A$5:$A$9,1)))*(B127-INDEX(BP!$A$5:$A$9,MATCH(B127,BP!$A$5:$A$9,1)))+INDEX(BP!$C$5:$C$9,MATCH(B127,BP!$A$5:$A$9,1)),0))</f>
        <v>20</v>
      </c>
      <c r="D127" s="12" t="str">
        <f aca="false">IF(NOT(ISNUMBER(C127)),"",INDEX(BP!$F$5:$F$9,MATCH(C127,BP!$E$5:$E$9,1)))</f>
        <v>ดีมาก</v>
      </c>
      <c r="E127" s="12" t="n">
        <f aca="false">YEAR(A127)</f>
        <v>2021</v>
      </c>
      <c r="F127" s="12" t="n">
        <f aca="false">MONTH(A127)</f>
        <v>5</v>
      </c>
      <c r="G127" s="12" t="n">
        <v>13.6</v>
      </c>
      <c r="H127" s="12" t="n">
        <v>32</v>
      </c>
      <c r="I127" s="12" t="n">
        <v>69</v>
      </c>
      <c r="J127" s="12" t="n">
        <v>37.6</v>
      </c>
      <c r="K127" s="12" t="n">
        <v>25.8</v>
      </c>
      <c r="L127" s="12" t="s">
        <v>36</v>
      </c>
    </row>
    <row r="128" customFormat="false" ht="15" hidden="false" customHeight="false" outlineLevel="0" collapsed="false">
      <c r="A128" s="11" t="n">
        <v>44323</v>
      </c>
      <c r="B128" s="12" t="n">
        <v>9</v>
      </c>
      <c r="C128" s="12" t="n">
        <f aca="false">IF(NOT(ISNUMBER(B128)),"",ROUND((INDEX(BP!$D$5:$D$9,MATCH(B128,BP!$A$5:$A$9,1))-INDEX(BP!$C$5:$C$9,MATCH(B128,BP!$A$5:$A$9,1)))/(INDEX(BP!$B$5:$B$9,MATCH(B128,BP!$A$5:$A$9,1))-INDEX(BP!$A$5:$A$9,MATCH(B128,BP!$A$5:$A$9,1)))*(B128-INDEX(BP!$A$5:$A$9,MATCH(B128,BP!$A$5:$A$9,1)))+INDEX(BP!$C$5:$C$9,MATCH(B128,BP!$A$5:$A$9,1)),0))</f>
        <v>15</v>
      </c>
      <c r="D128" s="12" t="str">
        <f aca="false">IF(NOT(ISNUMBER(C128)),"",INDEX(BP!$F$5:$F$9,MATCH(C128,BP!$E$5:$E$9,1)))</f>
        <v>ดีมาก</v>
      </c>
      <c r="E128" s="12" t="n">
        <f aca="false">YEAR(A128)</f>
        <v>2021</v>
      </c>
      <c r="F128" s="12" t="n">
        <f aca="false">MONTH(A128)</f>
        <v>5</v>
      </c>
      <c r="G128" s="12" t="n">
        <v>15.5</v>
      </c>
      <c r="H128" s="12" t="n">
        <v>38.5</v>
      </c>
      <c r="I128" s="12" t="n">
        <v>95</v>
      </c>
      <c r="J128" s="12" t="n">
        <v>10.1</v>
      </c>
      <c r="K128" s="12" t="n">
        <v>2.8</v>
      </c>
      <c r="L128" s="12" t="s">
        <v>36</v>
      </c>
    </row>
    <row r="129" customFormat="false" ht="15" hidden="false" customHeight="false" outlineLevel="0" collapsed="false">
      <c r="A129" s="11" t="n">
        <v>44324</v>
      </c>
      <c r="B129" s="12" t="n">
        <v>13</v>
      </c>
      <c r="C129" s="12" t="n">
        <f aca="false">IF(NOT(ISNUMBER(B129)),"",ROUND((INDEX(BP!$D$5:$D$9,MATCH(B129,BP!$A$5:$A$9,1))-INDEX(BP!$C$5:$C$9,MATCH(B129,BP!$A$5:$A$9,1)))/(INDEX(BP!$B$5:$B$9,MATCH(B129,BP!$A$5:$A$9,1))-INDEX(BP!$A$5:$A$9,MATCH(B129,BP!$A$5:$A$9,1)))*(B129-INDEX(BP!$A$5:$A$9,MATCH(B129,BP!$A$5:$A$9,1)))+INDEX(BP!$C$5:$C$9,MATCH(B129,BP!$A$5:$A$9,1)),0))</f>
        <v>22</v>
      </c>
      <c r="D129" s="12" t="str">
        <f aca="false">IF(NOT(ISNUMBER(C129)),"",INDEX(BP!$F$5:$F$9,MATCH(C129,BP!$E$5:$E$9,1)))</f>
        <v>ดีมาก</v>
      </c>
      <c r="E129" s="12" t="n">
        <f aca="false">YEAR(A129)</f>
        <v>2021</v>
      </c>
      <c r="F129" s="12" t="n">
        <f aca="false">MONTH(A129)</f>
        <v>5</v>
      </c>
      <c r="G129" s="12" t="n">
        <v>11.1</v>
      </c>
      <c r="H129" s="12" t="n">
        <v>29.2</v>
      </c>
      <c r="I129" s="12" t="n">
        <v>76</v>
      </c>
      <c r="J129" s="12" t="n">
        <v>8</v>
      </c>
      <c r="K129" s="12" t="n">
        <v>0</v>
      </c>
      <c r="L129" s="12" t="s">
        <v>35</v>
      </c>
    </row>
    <row r="130" customFormat="false" ht="15" hidden="false" customHeight="false" outlineLevel="0" collapsed="false">
      <c r="A130" s="11" t="n">
        <v>44325</v>
      </c>
      <c r="B130" s="12" t="n">
        <v>14</v>
      </c>
      <c r="C130" s="12" t="n">
        <f aca="false">IF(NOT(ISNUMBER(B130)),"",ROUND((INDEX(BP!$D$5:$D$9,MATCH(B130,BP!$A$5:$A$9,1))-INDEX(BP!$C$5:$C$9,MATCH(B130,BP!$A$5:$A$9,1)))/(INDEX(BP!$B$5:$B$9,MATCH(B130,BP!$A$5:$A$9,1))-INDEX(BP!$A$5:$A$9,MATCH(B130,BP!$A$5:$A$9,1)))*(B130-INDEX(BP!$A$5:$A$9,MATCH(B130,BP!$A$5:$A$9,1)))+INDEX(BP!$C$5:$C$9,MATCH(B130,BP!$A$5:$A$9,1)),0))</f>
        <v>23</v>
      </c>
      <c r="D130" s="12" t="str">
        <f aca="false">IF(NOT(ISNUMBER(C130)),"",INDEX(BP!$F$5:$F$9,MATCH(C130,BP!$E$5:$E$9,1)))</f>
        <v>ดีมาก</v>
      </c>
      <c r="E130" s="12" t="n">
        <f aca="false">YEAR(A130)</f>
        <v>2021</v>
      </c>
      <c r="F130" s="12" t="n">
        <f aca="false">MONTH(A130)</f>
        <v>5</v>
      </c>
      <c r="G130" s="12" t="n">
        <v>10.7</v>
      </c>
      <c r="H130" s="12" t="n">
        <v>28.8</v>
      </c>
      <c r="I130" s="12" t="n">
        <v>51</v>
      </c>
      <c r="J130" s="12" t="n">
        <v>3.6</v>
      </c>
      <c r="K130" s="12" t="n">
        <v>0</v>
      </c>
      <c r="L130" s="12" t="s">
        <v>35</v>
      </c>
    </row>
    <row r="131" customFormat="false" ht="15" hidden="false" customHeight="false" outlineLevel="0" collapsed="false">
      <c r="A131" s="11" t="n">
        <v>44326</v>
      </c>
      <c r="B131" s="12" t="n">
        <v>15</v>
      </c>
      <c r="C131" s="12" t="n">
        <f aca="false">IF(NOT(ISNUMBER(B131)),"",ROUND((INDEX(BP!$D$5:$D$9,MATCH(B131,BP!$A$5:$A$9,1))-INDEX(BP!$C$5:$C$9,MATCH(B131,BP!$A$5:$A$9,1)))/(INDEX(BP!$B$5:$B$9,MATCH(B131,BP!$A$5:$A$9,1))-INDEX(BP!$A$5:$A$9,MATCH(B131,BP!$A$5:$A$9,1)))*(B131-INDEX(BP!$A$5:$A$9,MATCH(B131,BP!$A$5:$A$9,1)))+INDEX(BP!$C$5:$C$9,MATCH(B131,BP!$A$5:$A$9,1)),0))</f>
        <v>25</v>
      </c>
      <c r="D131" s="12" t="str">
        <f aca="false">IF(NOT(ISNUMBER(C131)),"",INDEX(BP!$F$5:$F$9,MATCH(C131,BP!$E$5:$E$9,1)))</f>
        <v>ดีมาก</v>
      </c>
      <c r="E131" s="12" t="n">
        <f aca="false">YEAR(A131)</f>
        <v>2021</v>
      </c>
      <c r="F131" s="12" t="n">
        <f aca="false">MONTH(A131)</f>
        <v>5</v>
      </c>
      <c r="G131" s="12" t="n">
        <v>9.4</v>
      </c>
      <c r="H131" s="12" t="n">
        <v>26.6</v>
      </c>
      <c r="I131" s="12" t="n">
        <v>76</v>
      </c>
      <c r="J131" s="12" t="n">
        <v>5.5</v>
      </c>
      <c r="K131" s="12" t="n">
        <v>1.4</v>
      </c>
      <c r="L131" s="12" t="s">
        <v>34</v>
      </c>
    </row>
    <row r="132" customFormat="false" ht="15" hidden="false" customHeight="false" outlineLevel="0" collapsed="false">
      <c r="A132" s="11" t="n">
        <v>44327</v>
      </c>
      <c r="B132" s="12" t="n">
        <v>11</v>
      </c>
      <c r="C132" s="12" t="n">
        <f aca="false">IF(NOT(ISNUMBER(B132)),"",ROUND((INDEX(BP!$D$5:$D$9,MATCH(B132,BP!$A$5:$A$9,1))-INDEX(BP!$C$5:$C$9,MATCH(B132,BP!$A$5:$A$9,1)))/(INDEX(BP!$B$5:$B$9,MATCH(B132,BP!$A$5:$A$9,1))-INDEX(BP!$A$5:$A$9,MATCH(B132,BP!$A$5:$A$9,1)))*(B132-INDEX(BP!$A$5:$A$9,MATCH(B132,BP!$A$5:$A$9,1)))+INDEX(BP!$C$5:$C$9,MATCH(B132,BP!$A$5:$A$9,1)),0))</f>
        <v>18</v>
      </c>
      <c r="D132" s="12" t="str">
        <f aca="false">IF(NOT(ISNUMBER(C132)),"",INDEX(BP!$F$5:$F$9,MATCH(C132,BP!$E$5:$E$9,1)))</f>
        <v>ดีมาก</v>
      </c>
      <c r="E132" s="12" t="n">
        <f aca="false">YEAR(A132)</f>
        <v>2021</v>
      </c>
      <c r="F132" s="12" t="n">
        <f aca="false">MONTH(A132)</f>
        <v>5</v>
      </c>
      <c r="G132" s="12" t="n">
        <v>13.4</v>
      </c>
      <c r="H132" s="12" t="n">
        <v>32</v>
      </c>
      <c r="I132" s="12" t="n">
        <v>91</v>
      </c>
      <c r="J132" s="12" t="n">
        <v>2.8</v>
      </c>
      <c r="K132" s="12" t="n">
        <v>13.6</v>
      </c>
      <c r="L132" s="12" t="s">
        <v>36</v>
      </c>
    </row>
    <row r="133" customFormat="false" ht="15" hidden="false" customHeight="false" outlineLevel="0" collapsed="false">
      <c r="A133" s="11" t="n">
        <v>44328</v>
      </c>
      <c r="B133" s="12" t="n">
        <v>19</v>
      </c>
      <c r="C133" s="12" t="n">
        <f aca="false">IF(NOT(ISNUMBER(B133)),"",ROUND((INDEX(BP!$D$5:$D$9,MATCH(B133,BP!$A$5:$A$9,1))-INDEX(BP!$C$5:$C$9,MATCH(B133,BP!$A$5:$A$9,1)))/(INDEX(BP!$B$5:$B$9,MATCH(B133,BP!$A$5:$A$9,1))-INDEX(BP!$A$5:$A$9,MATCH(B133,BP!$A$5:$A$9,1)))*(B133-INDEX(BP!$A$5:$A$9,MATCH(B133,BP!$A$5:$A$9,1)))+INDEX(BP!$C$5:$C$9,MATCH(B133,BP!$A$5:$A$9,1)),0))</f>
        <v>35</v>
      </c>
      <c r="D133" s="12" t="str">
        <f aca="false">IF(NOT(ISNUMBER(C133)),"",INDEX(BP!$F$5:$F$9,MATCH(C133,BP!$E$5:$E$9,1)))</f>
        <v>ดี</v>
      </c>
      <c r="E133" s="12" t="n">
        <f aca="false">YEAR(A133)</f>
        <v>2021</v>
      </c>
      <c r="F133" s="12" t="n">
        <f aca="false">MONTH(A133)</f>
        <v>5</v>
      </c>
      <c r="G133" s="12" t="n">
        <v>8.7</v>
      </c>
      <c r="H133" s="12" t="n">
        <v>25.2</v>
      </c>
      <c r="I133" s="12" t="n">
        <v>151</v>
      </c>
      <c r="J133" s="12" t="n">
        <v>4.8</v>
      </c>
      <c r="K133" s="12" t="n">
        <v>2.2</v>
      </c>
      <c r="L133" s="12" t="s">
        <v>36</v>
      </c>
    </row>
    <row r="134" customFormat="false" ht="15" hidden="false" customHeight="false" outlineLevel="0" collapsed="false">
      <c r="A134" s="11" t="n">
        <v>44329</v>
      </c>
      <c r="B134" s="12" t="n">
        <v>20</v>
      </c>
      <c r="C134" s="12" t="n">
        <f aca="false">IF(NOT(ISNUMBER(B134)),"",ROUND((INDEX(BP!$D$5:$D$9,MATCH(B134,BP!$A$5:$A$9,1))-INDEX(BP!$C$5:$C$9,MATCH(B134,BP!$A$5:$A$9,1)))/(INDEX(BP!$B$5:$B$9,MATCH(B134,BP!$A$5:$A$9,1))-INDEX(BP!$A$5:$A$9,MATCH(B134,BP!$A$5:$A$9,1)))*(B134-INDEX(BP!$A$5:$A$9,MATCH(B134,BP!$A$5:$A$9,1)))+INDEX(BP!$C$5:$C$9,MATCH(B134,BP!$A$5:$A$9,1)),0))</f>
        <v>38</v>
      </c>
      <c r="D134" s="12" t="str">
        <f aca="false">IF(NOT(ISNUMBER(C134)),"",INDEX(BP!$F$5:$F$9,MATCH(C134,BP!$E$5:$E$9,1)))</f>
        <v>ดี</v>
      </c>
      <c r="E134" s="12" t="n">
        <f aca="false">YEAR(A134)</f>
        <v>2021</v>
      </c>
      <c r="F134" s="12" t="n">
        <f aca="false">MONTH(A134)</f>
        <v>5</v>
      </c>
      <c r="G134" s="12" t="n">
        <v>11.4</v>
      </c>
      <c r="H134" s="12" t="n">
        <v>28.4</v>
      </c>
      <c r="I134" s="12" t="n">
        <v>102</v>
      </c>
      <c r="J134" s="12" t="n">
        <v>0</v>
      </c>
      <c r="K134" s="12" t="n">
        <v>0</v>
      </c>
      <c r="L134" s="12" t="s">
        <v>36</v>
      </c>
    </row>
    <row r="135" customFormat="false" ht="15" hidden="false" customHeight="false" outlineLevel="0" collapsed="false">
      <c r="A135" s="11" t="n">
        <v>44330</v>
      </c>
      <c r="B135" s="12" t="n">
        <v>17</v>
      </c>
      <c r="C135" s="12" t="n">
        <f aca="false">IF(NOT(ISNUMBER(B135)),"",ROUND((INDEX(BP!$D$5:$D$9,MATCH(B135,BP!$A$5:$A$9,1))-INDEX(BP!$C$5:$C$9,MATCH(B135,BP!$A$5:$A$9,1)))/(INDEX(BP!$B$5:$B$9,MATCH(B135,BP!$A$5:$A$9,1))-INDEX(BP!$A$5:$A$9,MATCH(B135,BP!$A$5:$A$9,1)))*(B135-INDEX(BP!$A$5:$A$9,MATCH(B135,BP!$A$5:$A$9,1)))+INDEX(BP!$C$5:$C$9,MATCH(B135,BP!$A$5:$A$9,1)),0))</f>
        <v>31</v>
      </c>
      <c r="D135" s="12" t="str">
        <f aca="false">IF(NOT(ISNUMBER(C135)),"",INDEX(BP!$F$5:$F$9,MATCH(C135,BP!$E$5:$E$9,1)))</f>
        <v>ดี</v>
      </c>
      <c r="E135" s="12" t="n">
        <f aca="false">YEAR(A135)</f>
        <v>2021</v>
      </c>
      <c r="F135" s="12" t="n">
        <f aca="false">MONTH(A135)</f>
        <v>5</v>
      </c>
      <c r="G135" s="12" t="n">
        <v>9.2</v>
      </c>
      <c r="H135" s="12" t="n">
        <v>21.2</v>
      </c>
      <c r="I135" s="12" t="n">
        <v>199</v>
      </c>
      <c r="J135" s="12" t="n">
        <v>2.4</v>
      </c>
      <c r="K135" s="12" t="n">
        <v>0</v>
      </c>
      <c r="L135" s="12" t="s">
        <v>36</v>
      </c>
    </row>
    <row r="136" customFormat="false" ht="15" hidden="false" customHeight="false" outlineLevel="0" collapsed="false">
      <c r="A136" s="11" t="n">
        <v>44331</v>
      </c>
      <c r="B136" s="12" t="n">
        <v>15</v>
      </c>
      <c r="C136" s="12" t="n">
        <f aca="false">IF(NOT(ISNUMBER(B136)),"",ROUND((INDEX(BP!$D$5:$D$9,MATCH(B136,BP!$A$5:$A$9,1))-INDEX(BP!$C$5:$C$9,MATCH(B136,BP!$A$5:$A$9,1)))/(INDEX(BP!$B$5:$B$9,MATCH(B136,BP!$A$5:$A$9,1))-INDEX(BP!$A$5:$A$9,MATCH(B136,BP!$A$5:$A$9,1)))*(B136-INDEX(BP!$A$5:$A$9,MATCH(B136,BP!$A$5:$A$9,1)))+INDEX(BP!$C$5:$C$9,MATCH(B136,BP!$A$5:$A$9,1)),0))</f>
        <v>25</v>
      </c>
      <c r="D136" s="12" t="str">
        <f aca="false">IF(NOT(ISNUMBER(C136)),"",INDEX(BP!$F$5:$F$9,MATCH(C136,BP!$E$5:$E$9,1)))</f>
        <v>ดีมาก</v>
      </c>
      <c r="E136" s="12" t="n">
        <f aca="false">YEAR(A136)</f>
        <v>2021</v>
      </c>
      <c r="F136" s="12" t="n">
        <f aca="false">MONTH(A136)</f>
        <v>5</v>
      </c>
      <c r="G136" s="12" t="n">
        <v>10.2</v>
      </c>
      <c r="H136" s="12" t="n">
        <v>29.2</v>
      </c>
      <c r="I136" s="12" t="n">
        <v>131</v>
      </c>
      <c r="J136" s="12" t="n">
        <v>1</v>
      </c>
      <c r="K136" s="12" t="n">
        <v>0.2</v>
      </c>
      <c r="L136" s="12" t="s">
        <v>35</v>
      </c>
    </row>
    <row r="137" customFormat="false" ht="15" hidden="false" customHeight="false" outlineLevel="0" collapsed="false">
      <c r="A137" s="11" t="n">
        <v>44332</v>
      </c>
      <c r="B137" s="12" t="n">
        <v>20</v>
      </c>
      <c r="C137" s="12" t="n">
        <f aca="false">IF(NOT(ISNUMBER(B137)),"",ROUND((INDEX(BP!$D$5:$D$9,MATCH(B137,BP!$A$5:$A$9,1))-INDEX(BP!$C$5:$C$9,MATCH(B137,BP!$A$5:$A$9,1)))/(INDEX(BP!$B$5:$B$9,MATCH(B137,BP!$A$5:$A$9,1))-INDEX(BP!$A$5:$A$9,MATCH(B137,BP!$A$5:$A$9,1)))*(B137-INDEX(BP!$A$5:$A$9,MATCH(B137,BP!$A$5:$A$9,1)))+INDEX(BP!$C$5:$C$9,MATCH(B137,BP!$A$5:$A$9,1)),0))</f>
        <v>38</v>
      </c>
      <c r="D137" s="12" t="str">
        <f aca="false">IF(NOT(ISNUMBER(C137)),"",INDEX(BP!$F$5:$F$9,MATCH(C137,BP!$E$5:$E$9,1)))</f>
        <v>ดี</v>
      </c>
      <c r="E137" s="12" t="n">
        <f aca="false">YEAR(A137)</f>
        <v>2021</v>
      </c>
      <c r="F137" s="12" t="n">
        <f aca="false">MONTH(A137)</f>
        <v>5</v>
      </c>
      <c r="G137" s="12" t="n">
        <v>11.7</v>
      </c>
      <c r="H137" s="12" t="n">
        <v>29.2</v>
      </c>
      <c r="I137" s="12" t="n">
        <v>191</v>
      </c>
      <c r="J137" s="12" t="n">
        <v>3.4</v>
      </c>
      <c r="K137" s="12" t="n">
        <v>0</v>
      </c>
      <c r="L137" s="12" t="s">
        <v>35</v>
      </c>
    </row>
    <row r="138" customFormat="false" ht="15" hidden="false" customHeight="false" outlineLevel="0" collapsed="false">
      <c r="A138" s="11" t="n">
        <v>44333</v>
      </c>
      <c r="B138" s="12" t="n">
        <v>18</v>
      </c>
      <c r="C138" s="12" t="n">
        <f aca="false">IF(NOT(ISNUMBER(B138)),"",ROUND((INDEX(BP!$D$5:$D$9,MATCH(B138,BP!$A$5:$A$9,1))-INDEX(BP!$C$5:$C$9,MATCH(B138,BP!$A$5:$A$9,1)))/(INDEX(BP!$B$5:$B$9,MATCH(B138,BP!$A$5:$A$9,1))-INDEX(BP!$A$5:$A$9,MATCH(B138,BP!$A$5:$A$9,1)))*(B138-INDEX(BP!$A$5:$A$9,MATCH(B138,BP!$A$5:$A$9,1)))+INDEX(BP!$C$5:$C$9,MATCH(B138,BP!$A$5:$A$9,1)),0))</f>
        <v>33</v>
      </c>
      <c r="D138" s="12" t="str">
        <f aca="false">IF(NOT(ISNUMBER(C138)),"",INDEX(BP!$F$5:$F$9,MATCH(C138,BP!$E$5:$E$9,1)))</f>
        <v>ดี</v>
      </c>
      <c r="E138" s="12" t="n">
        <f aca="false">YEAR(A138)</f>
        <v>2021</v>
      </c>
      <c r="F138" s="12" t="n">
        <f aca="false">MONTH(A138)</f>
        <v>5</v>
      </c>
      <c r="G138" s="12" t="n">
        <v>8.6</v>
      </c>
      <c r="H138" s="12" t="n">
        <v>22.3</v>
      </c>
      <c r="I138" s="12" t="n">
        <v>219</v>
      </c>
      <c r="J138" s="12" t="n">
        <v>6.8</v>
      </c>
      <c r="K138" s="12" t="n">
        <v>0.6</v>
      </c>
      <c r="L138" s="12" t="s">
        <v>36</v>
      </c>
    </row>
    <row r="139" customFormat="false" ht="15" hidden="false" customHeight="false" outlineLevel="0" collapsed="false">
      <c r="A139" s="11" t="n">
        <v>44334</v>
      </c>
      <c r="B139" s="12" t="n">
        <v>14</v>
      </c>
      <c r="C139" s="12" t="n">
        <f aca="false">IF(NOT(ISNUMBER(B139)),"",ROUND((INDEX(BP!$D$5:$D$9,MATCH(B139,BP!$A$5:$A$9,1))-INDEX(BP!$C$5:$C$9,MATCH(B139,BP!$A$5:$A$9,1)))/(INDEX(BP!$B$5:$B$9,MATCH(B139,BP!$A$5:$A$9,1))-INDEX(BP!$A$5:$A$9,MATCH(B139,BP!$A$5:$A$9,1)))*(B139-INDEX(BP!$A$5:$A$9,MATCH(B139,BP!$A$5:$A$9,1)))+INDEX(BP!$C$5:$C$9,MATCH(B139,BP!$A$5:$A$9,1)),0))</f>
        <v>23</v>
      </c>
      <c r="D139" s="12" t="str">
        <f aca="false">IF(NOT(ISNUMBER(C139)),"",INDEX(BP!$F$5:$F$9,MATCH(C139,BP!$E$5:$E$9,1)))</f>
        <v>ดีมาก</v>
      </c>
      <c r="E139" s="12" t="n">
        <f aca="false">YEAR(A139)</f>
        <v>2021</v>
      </c>
      <c r="F139" s="12" t="n">
        <f aca="false">MONTH(A139)</f>
        <v>5</v>
      </c>
      <c r="G139" s="12" t="n">
        <v>11.6</v>
      </c>
      <c r="H139" s="12" t="n">
        <v>29.2</v>
      </c>
      <c r="I139" s="12" t="n">
        <v>234</v>
      </c>
      <c r="J139" s="12" t="n">
        <v>17</v>
      </c>
      <c r="K139" s="12" t="n">
        <v>0</v>
      </c>
      <c r="L139" s="12" t="s">
        <v>36</v>
      </c>
    </row>
    <row r="140" customFormat="false" ht="15" hidden="false" customHeight="false" outlineLevel="0" collapsed="false">
      <c r="A140" s="11" t="n">
        <v>44335</v>
      </c>
      <c r="B140" s="12" t="n">
        <v>16</v>
      </c>
      <c r="C140" s="12" t="n">
        <f aca="false">IF(NOT(ISNUMBER(B140)),"",ROUND((INDEX(BP!$D$5:$D$9,MATCH(B140,BP!$A$5:$A$9,1))-INDEX(BP!$C$5:$C$9,MATCH(B140,BP!$A$5:$A$9,1)))/(INDEX(BP!$B$5:$B$9,MATCH(B140,BP!$A$5:$A$9,1))-INDEX(BP!$A$5:$A$9,MATCH(B140,BP!$A$5:$A$9,1)))*(B140-INDEX(BP!$A$5:$A$9,MATCH(B140,BP!$A$5:$A$9,1)))+INDEX(BP!$C$5:$C$9,MATCH(B140,BP!$A$5:$A$9,1)),0))</f>
        <v>28</v>
      </c>
      <c r="D140" s="12" t="str">
        <f aca="false">IF(NOT(ISNUMBER(C140)),"",INDEX(BP!$F$5:$F$9,MATCH(C140,BP!$E$5:$E$9,1)))</f>
        <v>ดี</v>
      </c>
      <c r="E140" s="12" t="n">
        <f aca="false">YEAR(A140)</f>
        <v>2021</v>
      </c>
      <c r="F140" s="12" t="n">
        <f aca="false">MONTH(A140)</f>
        <v>5</v>
      </c>
      <c r="G140" s="12" t="n">
        <v>10.5</v>
      </c>
      <c r="H140" s="12" t="n">
        <v>29.5</v>
      </c>
      <c r="I140" s="12" t="n">
        <v>238</v>
      </c>
      <c r="J140" s="12" t="n">
        <v>16.4</v>
      </c>
      <c r="K140" s="12" t="n">
        <v>20</v>
      </c>
      <c r="L140" s="12" t="s">
        <v>36</v>
      </c>
    </row>
    <row r="141" customFormat="false" ht="15" hidden="false" customHeight="false" outlineLevel="0" collapsed="false">
      <c r="A141" s="11" t="n">
        <v>44336</v>
      </c>
      <c r="B141" s="12" t="n">
        <v>15</v>
      </c>
      <c r="C141" s="12" t="n">
        <f aca="false">IF(NOT(ISNUMBER(B141)),"",ROUND((INDEX(BP!$D$5:$D$9,MATCH(B141,BP!$A$5:$A$9,1))-INDEX(BP!$C$5:$C$9,MATCH(B141,BP!$A$5:$A$9,1)))/(INDEX(BP!$B$5:$B$9,MATCH(B141,BP!$A$5:$A$9,1))-INDEX(BP!$A$5:$A$9,MATCH(B141,BP!$A$5:$A$9,1)))*(B141-INDEX(BP!$A$5:$A$9,MATCH(B141,BP!$A$5:$A$9,1)))+INDEX(BP!$C$5:$C$9,MATCH(B141,BP!$A$5:$A$9,1)),0))</f>
        <v>25</v>
      </c>
      <c r="D141" s="12" t="str">
        <f aca="false">IF(NOT(ISNUMBER(C141)),"",INDEX(BP!$F$5:$F$9,MATCH(C141,BP!$E$5:$E$9,1)))</f>
        <v>ดีมาก</v>
      </c>
      <c r="E141" s="12" t="n">
        <f aca="false">YEAR(A141)</f>
        <v>2021</v>
      </c>
      <c r="F141" s="12" t="n">
        <f aca="false">MONTH(A141)</f>
        <v>5</v>
      </c>
      <c r="G141" s="12" t="n">
        <v>12.4</v>
      </c>
      <c r="H141" s="12" t="n">
        <v>23.8</v>
      </c>
      <c r="I141" s="12" t="n">
        <v>223</v>
      </c>
      <c r="J141" s="12" t="n">
        <v>0.1</v>
      </c>
      <c r="K141" s="12" t="n">
        <v>0</v>
      </c>
      <c r="L141" s="12" t="s">
        <v>36</v>
      </c>
    </row>
    <row r="142" customFormat="false" ht="15" hidden="false" customHeight="false" outlineLevel="0" collapsed="false">
      <c r="A142" s="11" t="n">
        <v>44337</v>
      </c>
      <c r="B142" s="12" t="n">
        <v>16</v>
      </c>
      <c r="C142" s="12" t="n">
        <f aca="false">IF(NOT(ISNUMBER(B142)),"",ROUND((INDEX(BP!$D$5:$D$9,MATCH(B142,BP!$A$5:$A$9,1))-INDEX(BP!$C$5:$C$9,MATCH(B142,BP!$A$5:$A$9,1)))/(INDEX(BP!$B$5:$B$9,MATCH(B142,BP!$A$5:$A$9,1))-INDEX(BP!$A$5:$A$9,MATCH(B142,BP!$A$5:$A$9,1)))*(B142-INDEX(BP!$A$5:$A$9,MATCH(B142,BP!$A$5:$A$9,1)))+INDEX(BP!$C$5:$C$9,MATCH(B142,BP!$A$5:$A$9,1)),0))</f>
        <v>28</v>
      </c>
      <c r="D142" s="12" t="str">
        <f aca="false">IF(NOT(ISNUMBER(C142)),"",INDEX(BP!$F$5:$F$9,MATCH(C142,BP!$E$5:$E$9,1)))</f>
        <v>ดี</v>
      </c>
      <c r="E142" s="12" t="n">
        <f aca="false">YEAR(A142)</f>
        <v>2021</v>
      </c>
      <c r="F142" s="12" t="n">
        <f aca="false">MONTH(A142)</f>
        <v>5</v>
      </c>
      <c r="G142" s="12" t="n">
        <v>13.3</v>
      </c>
      <c r="H142" s="12" t="n">
        <v>32</v>
      </c>
      <c r="I142" s="12" t="n">
        <v>227</v>
      </c>
      <c r="J142" s="12" t="n">
        <v>10.7</v>
      </c>
      <c r="K142" s="12" t="n">
        <v>13.6</v>
      </c>
      <c r="L142" s="12" t="s">
        <v>36</v>
      </c>
    </row>
    <row r="143" customFormat="false" ht="15" hidden="false" customHeight="false" outlineLevel="0" collapsed="false">
      <c r="A143" s="11" t="n">
        <v>44338</v>
      </c>
      <c r="B143" s="12" t="n">
        <v>16</v>
      </c>
      <c r="C143" s="12" t="n">
        <f aca="false">IF(NOT(ISNUMBER(B143)),"",ROUND((INDEX(BP!$D$5:$D$9,MATCH(B143,BP!$A$5:$A$9,1))-INDEX(BP!$C$5:$C$9,MATCH(B143,BP!$A$5:$A$9,1)))/(INDEX(BP!$B$5:$B$9,MATCH(B143,BP!$A$5:$A$9,1))-INDEX(BP!$A$5:$A$9,MATCH(B143,BP!$A$5:$A$9,1)))*(B143-INDEX(BP!$A$5:$A$9,MATCH(B143,BP!$A$5:$A$9,1)))+INDEX(BP!$C$5:$C$9,MATCH(B143,BP!$A$5:$A$9,1)),0))</f>
        <v>28</v>
      </c>
      <c r="D143" s="12" t="str">
        <f aca="false">IF(NOT(ISNUMBER(C143)),"",INDEX(BP!$F$5:$F$9,MATCH(C143,BP!$E$5:$E$9,1)))</f>
        <v>ดี</v>
      </c>
      <c r="E143" s="12" t="n">
        <f aca="false">YEAR(A143)</f>
        <v>2021</v>
      </c>
      <c r="F143" s="12" t="n">
        <f aca="false">MONTH(A143)</f>
        <v>5</v>
      </c>
      <c r="G143" s="12" t="n">
        <v>14.8</v>
      </c>
      <c r="H143" s="12" t="n">
        <v>39.2</v>
      </c>
      <c r="I143" s="12" t="n">
        <v>237</v>
      </c>
      <c r="J143" s="12" t="n">
        <v>1.7</v>
      </c>
      <c r="K143" s="12" t="n">
        <v>5.6</v>
      </c>
      <c r="L143" s="12" t="s">
        <v>35</v>
      </c>
    </row>
    <row r="144" customFormat="false" ht="15" hidden="false" customHeight="false" outlineLevel="0" collapsed="false">
      <c r="A144" s="11" t="n">
        <v>44339</v>
      </c>
      <c r="B144" s="12" t="n">
        <v>16</v>
      </c>
      <c r="C144" s="12" t="n">
        <f aca="false">IF(NOT(ISNUMBER(B144)),"",ROUND((INDEX(BP!$D$5:$D$9,MATCH(B144,BP!$A$5:$A$9,1))-INDEX(BP!$C$5:$C$9,MATCH(B144,BP!$A$5:$A$9,1)))/(INDEX(BP!$B$5:$B$9,MATCH(B144,BP!$A$5:$A$9,1))-INDEX(BP!$A$5:$A$9,MATCH(B144,BP!$A$5:$A$9,1)))*(B144-INDEX(BP!$A$5:$A$9,MATCH(B144,BP!$A$5:$A$9,1)))+INDEX(BP!$C$5:$C$9,MATCH(B144,BP!$A$5:$A$9,1)),0))</f>
        <v>28</v>
      </c>
      <c r="D144" s="12" t="str">
        <f aca="false">IF(NOT(ISNUMBER(C144)),"",INDEX(BP!$F$5:$F$9,MATCH(C144,BP!$E$5:$E$9,1)))</f>
        <v>ดี</v>
      </c>
      <c r="E144" s="12" t="n">
        <f aca="false">YEAR(A144)</f>
        <v>2021</v>
      </c>
      <c r="F144" s="12" t="n">
        <f aca="false">MONTH(A144)</f>
        <v>5</v>
      </c>
      <c r="G144" s="12" t="n">
        <v>15.6</v>
      </c>
      <c r="H144" s="12" t="n">
        <v>38.9</v>
      </c>
      <c r="I144" s="12" t="n">
        <v>260</v>
      </c>
      <c r="J144" s="12" t="n">
        <v>0.1</v>
      </c>
      <c r="K144" s="12" t="n">
        <v>0</v>
      </c>
      <c r="L144" s="12" t="s">
        <v>35</v>
      </c>
    </row>
    <row r="145" customFormat="false" ht="15" hidden="false" customHeight="false" outlineLevel="0" collapsed="false">
      <c r="A145" s="11" t="n">
        <v>44340</v>
      </c>
      <c r="B145" s="12" t="n">
        <v>18</v>
      </c>
      <c r="C145" s="12" t="n">
        <f aca="false">IF(NOT(ISNUMBER(B145)),"",ROUND((INDEX(BP!$D$5:$D$9,MATCH(B145,BP!$A$5:$A$9,1))-INDEX(BP!$C$5:$C$9,MATCH(B145,BP!$A$5:$A$9,1)))/(INDEX(BP!$B$5:$B$9,MATCH(B145,BP!$A$5:$A$9,1))-INDEX(BP!$A$5:$A$9,MATCH(B145,BP!$A$5:$A$9,1)))*(B145-INDEX(BP!$A$5:$A$9,MATCH(B145,BP!$A$5:$A$9,1)))+INDEX(BP!$C$5:$C$9,MATCH(B145,BP!$A$5:$A$9,1)),0))</f>
        <v>33</v>
      </c>
      <c r="D145" s="12" t="str">
        <f aca="false">IF(NOT(ISNUMBER(C145)),"",INDEX(BP!$F$5:$F$9,MATCH(C145,BP!$E$5:$E$9,1)))</f>
        <v>ดี</v>
      </c>
      <c r="E145" s="12" t="n">
        <f aca="false">YEAR(A145)</f>
        <v>2021</v>
      </c>
      <c r="F145" s="12" t="n">
        <f aca="false">MONTH(A145)</f>
        <v>5</v>
      </c>
      <c r="G145" s="12" t="n">
        <v>13.2</v>
      </c>
      <c r="H145" s="12" t="n">
        <v>32.4</v>
      </c>
      <c r="I145" s="12" t="n">
        <v>246</v>
      </c>
      <c r="J145" s="12" t="n">
        <v>1.2</v>
      </c>
      <c r="K145" s="12" t="n">
        <v>0</v>
      </c>
      <c r="L145" s="12" t="s">
        <v>36</v>
      </c>
    </row>
    <row r="146" customFormat="false" ht="15" hidden="false" customHeight="false" outlineLevel="0" collapsed="false">
      <c r="A146" s="11" t="n">
        <v>44341</v>
      </c>
      <c r="B146" s="12" t="n">
        <v>16</v>
      </c>
      <c r="C146" s="12" t="n">
        <f aca="false">IF(NOT(ISNUMBER(B146)),"",ROUND((INDEX(BP!$D$5:$D$9,MATCH(B146,BP!$A$5:$A$9,1))-INDEX(BP!$C$5:$C$9,MATCH(B146,BP!$A$5:$A$9,1)))/(INDEX(BP!$B$5:$B$9,MATCH(B146,BP!$A$5:$A$9,1))-INDEX(BP!$A$5:$A$9,MATCH(B146,BP!$A$5:$A$9,1)))*(B146-INDEX(BP!$A$5:$A$9,MATCH(B146,BP!$A$5:$A$9,1)))+INDEX(BP!$C$5:$C$9,MATCH(B146,BP!$A$5:$A$9,1)),0))</f>
        <v>28</v>
      </c>
      <c r="D146" s="12" t="str">
        <f aca="false">IF(NOT(ISNUMBER(C146)),"",INDEX(BP!$F$5:$F$9,MATCH(C146,BP!$E$5:$E$9,1)))</f>
        <v>ดี</v>
      </c>
      <c r="E146" s="12" t="n">
        <f aca="false">YEAR(A146)</f>
        <v>2021</v>
      </c>
      <c r="F146" s="12" t="n">
        <f aca="false">MONTH(A146)</f>
        <v>5</v>
      </c>
      <c r="G146" s="12" t="n">
        <v>15.8</v>
      </c>
      <c r="H146" s="12" t="n">
        <v>38.2</v>
      </c>
      <c r="I146" s="12" t="n">
        <v>261</v>
      </c>
      <c r="J146" s="12" t="n">
        <v>0.9</v>
      </c>
      <c r="K146" s="12" t="n">
        <v>0.8</v>
      </c>
      <c r="L146" s="12" t="s">
        <v>36</v>
      </c>
    </row>
    <row r="147" customFormat="false" ht="15" hidden="false" customHeight="false" outlineLevel="0" collapsed="false">
      <c r="A147" s="11" t="n">
        <v>44342</v>
      </c>
      <c r="B147" s="12" t="n">
        <v>14</v>
      </c>
      <c r="C147" s="12" t="n">
        <f aca="false">IF(NOT(ISNUMBER(B147)),"",ROUND((INDEX(BP!$D$5:$D$9,MATCH(B147,BP!$A$5:$A$9,1))-INDEX(BP!$C$5:$C$9,MATCH(B147,BP!$A$5:$A$9,1)))/(INDEX(BP!$B$5:$B$9,MATCH(B147,BP!$A$5:$A$9,1))-INDEX(BP!$A$5:$A$9,MATCH(B147,BP!$A$5:$A$9,1)))*(B147-INDEX(BP!$A$5:$A$9,MATCH(B147,BP!$A$5:$A$9,1)))+INDEX(BP!$C$5:$C$9,MATCH(B147,BP!$A$5:$A$9,1)),0))</f>
        <v>23</v>
      </c>
      <c r="D147" s="12" t="str">
        <f aca="false">IF(NOT(ISNUMBER(C147)),"",INDEX(BP!$F$5:$F$9,MATCH(C147,BP!$E$5:$E$9,1)))</f>
        <v>ดีมาก</v>
      </c>
      <c r="E147" s="12" t="n">
        <f aca="false">YEAR(A147)</f>
        <v>2021</v>
      </c>
      <c r="F147" s="12" t="n">
        <f aca="false">MONTH(A147)</f>
        <v>5</v>
      </c>
      <c r="G147" s="12" t="n">
        <v>8.9</v>
      </c>
      <c r="H147" s="12" t="n">
        <v>34.2</v>
      </c>
      <c r="I147" s="12" t="n">
        <v>159</v>
      </c>
      <c r="J147" s="12" t="n">
        <v>0.9</v>
      </c>
      <c r="K147" s="12" t="n">
        <v>3</v>
      </c>
      <c r="L147" s="12" t="s">
        <v>34</v>
      </c>
    </row>
    <row r="148" customFormat="false" ht="15" hidden="false" customHeight="false" outlineLevel="0" collapsed="false">
      <c r="A148" s="11" t="n">
        <v>44343</v>
      </c>
      <c r="B148" s="12" t="n">
        <v>14</v>
      </c>
      <c r="C148" s="12" t="n">
        <f aca="false">IF(NOT(ISNUMBER(B148)),"",ROUND((INDEX(BP!$D$5:$D$9,MATCH(B148,BP!$A$5:$A$9,1))-INDEX(BP!$C$5:$C$9,MATCH(B148,BP!$A$5:$A$9,1)))/(INDEX(BP!$B$5:$B$9,MATCH(B148,BP!$A$5:$A$9,1))-INDEX(BP!$A$5:$A$9,MATCH(B148,BP!$A$5:$A$9,1)))*(B148-INDEX(BP!$A$5:$A$9,MATCH(B148,BP!$A$5:$A$9,1)))+INDEX(BP!$C$5:$C$9,MATCH(B148,BP!$A$5:$A$9,1)),0))</f>
        <v>23</v>
      </c>
      <c r="D148" s="12" t="str">
        <f aca="false">IF(NOT(ISNUMBER(C148)),"",INDEX(BP!$F$5:$F$9,MATCH(C148,BP!$E$5:$E$9,1)))</f>
        <v>ดีมาก</v>
      </c>
      <c r="E148" s="12" t="n">
        <f aca="false">YEAR(A148)</f>
        <v>2021</v>
      </c>
      <c r="F148" s="12" t="n">
        <f aca="false">MONTH(A148)</f>
        <v>5</v>
      </c>
      <c r="G148" s="12" t="n">
        <v>16.4</v>
      </c>
      <c r="H148" s="12" t="n">
        <v>44.6</v>
      </c>
      <c r="I148" s="12" t="n">
        <v>229</v>
      </c>
      <c r="J148" s="12" t="n">
        <v>3.6</v>
      </c>
      <c r="K148" s="12" t="n">
        <v>2.2</v>
      </c>
      <c r="L148" s="12" t="s">
        <v>36</v>
      </c>
    </row>
    <row r="149" customFormat="false" ht="15" hidden="false" customHeight="false" outlineLevel="0" collapsed="false">
      <c r="A149" s="11" t="n">
        <v>44344</v>
      </c>
      <c r="B149" s="12" t="n">
        <v>15</v>
      </c>
      <c r="C149" s="12" t="n">
        <f aca="false">IF(NOT(ISNUMBER(B149)),"",ROUND((INDEX(BP!$D$5:$D$9,MATCH(B149,BP!$A$5:$A$9,1))-INDEX(BP!$C$5:$C$9,MATCH(B149,BP!$A$5:$A$9,1)))/(INDEX(BP!$B$5:$B$9,MATCH(B149,BP!$A$5:$A$9,1))-INDEX(BP!$A$5:$A$9,MATCH(B149,BP!$A$5:$A$9,1)))*(B149-INDEX(BP!$A$5:$A$9,MATCH(B149,BP!$A$5:$A$9,1)))+INDEX(BP!$C$5:$C$9,MATCH(B149,BP!$A$5:$A$9,1)),0))</f>
        <v>25</v>
      </c>
      <c r="D149" s="12" t="str">
        <f aca="false">IF(NOT(ISNUMBER(C149)),"",INDEX(BP!$F$5:$F$9,MATCH(C149,BP!$E$5:$E$9,1)))</f>
        <v>ดีมาก</v>
      </c>
      <c r="E149" s="12" t="n">
        <f aca="false">YEAR(A149)</f>
        <v>2021</v>
      </c>
      <c r="F149" s="12" t="n">
        <f aca="false">MONTH(A149)</f>
        <v>5</v>
      </c>
      <c r="G149" s="12" t="n">
        <v>9.7</v>
      </c>
      <c r="H149" s="12" t="n">
        <v>30.6</v>
      </c>
      <c r="I149" s="12" t="n">
        <v>223</v>
      </c>
      <c r="J149" s="12" t="n">
        <v>12.6</v>
      </c>
      <c r="K149" s="12" t="n">
        <v>0</v>
      </c>
      <c r="L149" s="12" t="s">
        <v>36</v>
      </c>
    </row>
    <row r="150" customFormat="false" ht="15" hidden="false" customHeight="false" outlineLevel="0" collapsed="false">
      <c r="A150" s="11" t="n">
        <v>44345</v>
      </c>
      <c r="B150" s="12" t="n">
        <v>16</v>
      </c>
      <c r="C150" s="12" t="n">
        <f aca="false">IF(NOT(ISNUMBER(B150)),"",ROUND((INDEX(BP!$D$5:$D$9,MATCH(B150,BP!$A$5:$A$9,1))-INDEX(BP!$C$5:$C$9,MATCH(B150,BP!$A$5:$A$9,1)))/(INDEX(BP!$B$5:$B$9,MATCH(B150,BP!$A$5:$A$9,1))-INDEX(BP!$A$5:$A$9,MATCH(B150,BP!$A$5:$A$9,1)))*(B150-INDEX(BP!$A$5:$A$9,MATCH(B150,BP!$A$5:$A$9,1)))+INDEX(BP!$C$5:$C$9,MATCH(B150,BP!$A$5:$A$9,1)),0))</f>
        <v>28</v>
      </c>
      <c r="D150" s="12" t="str">
        <f aca="false">IF(NOT(ISNUMBER(C150)),"",INDEX(BP!$F$5:$F$9,MATCH(C150,BP!$E$5:$E$9,1)))</f>
        <v>ดี</v>
      </c>
      <c r="E150" s="12" t="n">
        <f aca="false">YEAR(A150)</f>
        <v>2021</v>
      </c>
      <c r="F150" s="12" t="n">
        <f aca="false">MONTH(A150)</f>
        <v>5</v>
      </c>
      <c r="G150" s="12" t="n">
        <v>11.6</v>
      </c>
      <c r="H150" s="12" t="n">
        <v>35.6</v>
      </c>
      <c r="I150" s="12" t="n">
        <v>131</v>
      </c>
      <c r="J150" s="12" t="n">
        <v>3</v>
      </c>
      <c r="K150" s="12" t="n">
        <v>0</v>
      </c>
      <c r="L150" s="12" t="s">
        <v>35</v>
      </c>
    </row>
    <row r="151" customFormat="false" ht="15" hidden="false" customHeight="false" outlineLevel="0" collapsed="false">
      <c r="A151" s="11" t="n">
        <v>44346</v>
      </c>
      <c r="B151" s="12" t="n">
        <v>21</v>
      </c>
      <c r="C151" s="12" t="n">
        <f aca="false">IF(NOT(ISNUMBER(B151)),"",ROUND((INDEX(BP!$D$5:$D$9,MATCH(B151,BP!$A$5:$A$9,1))-INDEX(BP!$C$5:$C$9,MATCH(B151,BP!$A$5:$A$9,1)))/(INDEX(BP!$B$5:$B$9,MATCH(B151,BP!$A$5:$A$9,1))-INDEX(BP!$A$5:$A$9,MATCH(B151,BP!$A$5:$A$9,1)))*(B151-INDEX(BP!$A$5:$A$9,MATCH(B151,BP!$A$5:$A$9,1)))+INDEX(BP!$C$5:$C$9,MATCH(B151,BP!$A$5:$A$9,1)),0))</f>
        <v>40</v>
      </c>
      <c r="D151" s="12" t="str">
        <f aca="false">IF(NOT(ISNUMBER(C151)),"",INDEX(BP!$F$5:$F$9,MATCH(C151,BP!$E$5:$E$9,1)))</f>
        <v>ดี</v>
      </c>
      <c r="E151" s="12" t="n">
        <f aca="false">YEAR(A151)</f>
        <v>2021</v>
      </c>
      <c r="F151" s="12" t="n">
        <f aca="false">MONTH(A151)</f>
        <v>5</v>
      </c>
      <c r="G151" s="12" t="n">
        <v>10.2</v>
      </c>
      <c r="H151" s="12" t="n">
        <v>29.2</v>
      </c>
      <c r="I151" s="12" t="n">
        <v>206</v>
      </c>
      <c r="J151" s="12" t="n">
        <v>7.6</v>
      </c>
      <c r="K151" s="12" t="n">
        <v>18.6</v>
      </c>
      <c r="L151" s="12" t="s">
        <v>35</v>
      </c>
    </row>
    <row r="152" customFormat="false" ht="15" hidden="false" customHeight="false" outlineLevel="0" collapsed="false">
      <c r="A152" s="11" t="n">
        <v>44347</v>
      </c>
      <c r="B152" s="12" t="n">
        <v>23</v>
      </c>
      <c r="C152" s="12" t="n">
        <f aca="false">IF(NOT(ISNUMBER(B152)),"",ROUND((INDEX(BP!$D$5:$D$9,MATCH(B152,BP!$A$5:$A$9,1))-INDEX(BP!$C$5:$C$9,MATCH(B152,BP!$A$5:$A$9,1)))/(INDEX(BP!$B$5:$B$9,MATCH(B152,BP!$A$5:$A$9,1))-INDEX(BP!$A$5:$A$9,MATCH(B152,BP!$A$5:$A$9,1)))*(B152-INDEX(BP!$A$5:$A$9,MATCH(B152,BP!$A$5:$A$9,1)))+INDEX(BP!$C$5:$C$9,MATCH(B152,BP!$A$5:$A$9,1)),0))</f>
        <v>45</v>
      </c>
      <c r="D152" s="12" t="str">
        <f aca="false">IF(NOT(ISNUMBER(C152)),"",INDEX(BP!$F$5:$F$9,MATCH(C152,BP!$E$5:$E$9,1)))</f>
        <v>ดี</v>
      </c>
      <c r="E152" s="12" t="n">
        <f aca="false">YEAR(A152)</f>
        <v>2021</v>
      </c>
      <c r="F152" s="12" t="n">
        <f aca="false">MONTH(A152)</f>
        <v>5</v>
      </c>
      <c r="G152" s="12" t="n">
        <v>5.9</v>
      </c>
      <c r="H152" s="12" t="n">
        <v>26.3</v>
      </c>
      <c r="I152" s="12" t="n">
        <v>182</v>
      </c>
      <c r="J152" s="12" t="n">
        <v>8</v>
      </c>
      <c r="K152" s="12" t="n">
        <v>3.4</v>
      </c>
      <c r="L152" s="12" t="s">
        <v>36</v>
      </c>
    </row>
    <row r="153" customFormat="false" ht="15" hidden="false" customHeight="false" outlineLevel="0" collapsed="false">
      <c r="A153" s="11" t="n">
        <v>44348</v>
      </c>
      <c r="B153" s="12" t="n">
        <v>26</v>
      </c>
      <c r="C153" s="12" t="n">
        <f aca="false">IF(NOT(ISNUMBER(B153)),"",ROUND((INDEX(BP!$D$5:$D$9,MATCH(B153,BP!$A$5:$A$9,1))-INDEX(BP!$C$5:$C$9,MATCH(B153,BP!$A$5:$A$9,1)))/(INDEX(BP!$B$5:$B$9,MATCH(B153,BP!$A$5:$A$9,1))-INDEX(BP!$A$5:$A$9,MATCH(B153,BP!$A$5:$A$9,1)))*(B153-INDEX(BP!$A$5:$A$9,MATCH(B153,BP!$A$5:$A$9,1)))+INDEX(BP!$C$5:$C$9,MATCH(B153,BP!$A$5:$A$9,1)),0))</f>
        <v>55</v>
      </c>
      <c r="D153" s="12" t="str">
        <f aca="false">IF(NOT(ISNUMBER(C153)),"",INDEX(BP!$F$5:$F$9,MATCH(C153,BP!$E$5:$E$9,1)))</f>
        <v>ปานกลาง</v>
      </c>
      <c r="E153" s="12" t="n">
        <f aca="false">YEAR(A153)</f>
        <v>2021</v>
      </c>
      <c r="F153" s="12" t="n">
        <f aca="false">MONTH(A153)</f>
        <v>6</v>
      </c>
      <c r="G153" s="12" t="n">
        <v>9</v>
      </c>
      <c r="H153" s="12" t="n">
        <v>24.5</v>
      </c>
      <c r="I153" s="12" t="n">
        <v>158</v>
      </c>
      <c r="J153" s="12" t="n">
        <v>0.7</v>
      </c>
      <c r="K153" s="12" t="n">
        <v>8.4</v>
      </c>
      <c r="L153" s="12" t="s">
        <v>36</v>
      </c>
    </row>
    <row r="154" customFormat="false" ht="15" hidden="false" customHeight="false" outlineLevel="0" collapsed="false">
      <c r="A154" s="11" t="n">
        <v>44349</v>
      </c>
      <c r="B154" s="12" t="n">
        <v>25</v>
      </c>
      <c r="C154" s="12" t="n">
        <f aca="false">IF(NOT(ISNUMBER(B154)),"",ROUND((INDEX(BP!$D$5:$D$9,MATCH(B154,BP!$A$5:$A$9,1))-INDEX(BP!$C$5:$C$9,MATCH(B154,BP!$A$5:$A$9,1)))/(INDEX(BP!$B$5:$B$9,MATCH(B154,BP!$A$5:$A$9,1))-INDEX(BP!$A$5:$A$9,MATCH(B154,BP!$A$5:$A$9,1)))*(B154-INDEX(BP!$A$5:$A$9,MATCH(B154,BP!$A$5:$A$9,1)))+INDEX(BP!$C$5:$C$9,MATCH(B154,BP!$A$5:$A$9,1)),0))</f>
        <v>50</v>
      </c>
      <c r="D154" s="12" t="str">
        <f aca="false">IF(NOT(ISNUMBER(C154)),"",INDEX(BP!$F$5:$F$9,MATCH(C154,BP!$E$5:$E$9,1)))</f>
        <v>ดี</v>
      </c>
      <c r="E154" s="12" t="n">
        <f aca="false">YEAR(A154)</f>
        <v>2021</v>
      </c>
      <c r="F154" s="12" t="n">
        <f aca="false">MONTH(A154)</f>
        <v>6</v>
      </c>
      <c r="G154" s="12" t="n">
        <v>7.9</v>
      </c>
      <c r="H154" s="12" t="n">
        <v>27.7</v>
      </c>
      <c r="I154" s="12" t="n">
        <v>198</v>
      </c>
      <c r="J154" s="12" t="n">
        <v>5.5</v>
      </c>
      <c r="K154" s="12" t="n">
        <v>0</v>
      </c>
      <c r="L154" s="12" t="s">
        <v>36</v>
      </c>
    </row>
    <row r="155" customFormat="false" ht="15" hidden="false" customHeight="false" outlineLevel="0" collapsed="false">
      <c r="A155" s="11" t="n">
        <v>44350</v>
      </c>
      <c r="B155" s="12" t="n">
        <v>24</v>
      </c>
      <c r="C155" s="12" t="n">
        <f aca="false">IF(NOT(ISNUMBER(B155)),"",ROUND((INDEX(BP!$D$5:$D$9,MATCH(B155,BP!$A$5:$A$9,1))-INDEX(BP!$C$5:$C$9,MATCH(B155,BP!$A$5:$A$9,1)))/(INDEX(BP!$B$5:$B$9,MATCH(B155,BP!$A$5:$A$9,1))-INDEX(BP!$A$5:$A$9,MATCH(B155,BP!$A$5:$A$9,1)))*(B155-INDEX(BP!$A$5:$A$9,MATCH(B155,BP!$A$5:$A$9,1)))+INDEX(BP!$C$5:$C$9,MATCH(B155,BP!$A$5:$A$9,1)),0))</f>
        <v>48</v>
      </c>
      <c r="D155" s="12" t="str">
        <f aca="false">IF(NOT(ISNUMBER(C155)),"",INDEX(BP!$F$5:$F$9,MATCH(C155,BP!$E$5:$E$9,1)))</f>
        <v>ดี</v>
      </c>
      <c r="E155" s="12" t="n">
        <f aca="false">YEAR(A155)</f>
        <v>2021</v>
      </c>
      <c r="F155" s="12" t="n">
        <f aca="false">MONTH(A155)</f>
        <v>6</v>
      </c>
      <c r="G155" s="12" t="n">
        <v>8</v>
      </c>
      <c r="H155" s="12" t="n">
        <v>25.2</v>
      </c>
      <c r="I155" s="12" t="n">
        <v>204</v>
      </c>
      <c r="J155" s="12" t="n">
        <v>4.5</v>
      </c>
      <c r="K155" s="12" t="n">
        <v>15.2</v>
      </c>
      <c r="L155" s="12" t="s">
        <v>34</v>
      </c>
    </row>
    <row r="156" customFormat="false" ht="15" hidden="false" customHeight="false" outlineLevel="0" collapsed="false">
      <c r="A156" s="11" t="n">
        <v>44351</v>
      </c>
      <c r="B156" s="12" t="n">
        <v>23</v>
      </c>
      <c r="C156" s="12" t="n">
        <f aca="false">IF(NOT(ISNUMBER(B156)),"",ROUND((INDEX(BP!$D$5:$D$9,MATCH(B156,BP!$A$5:$A$9,1))-INDEX(BP!$C$5:$C$9,MATCH(B156,BP!$A$5:$A$9,1)))/(INDEX(BP!$B$5:$B$9,MATCH(B156,BP!$A$5:$A$9,1))-INDEX(BP!$A$5:$A$9,MATCH(B156,BP!$A$5:$A$9,1)))*(B156-INDEX(BP!$A$5:$A$9,MATCH(B156,BP!$A$5:$A$9,1)))+INDEX(BP!$C$5:$C$9,MATCH(B156,BP!$A$5:$A$9,1)),0))</f>
        <v>45</v>
      </c>
      <c r="D156" s="12" t="str">
        <f aca="false">IF(NOT(ISNUMBER(C156)),"",INDEX(BP!$F$5:$F$9,MATCH(C156,BP!$E$5:$E$9,1)))</f>
        <v>ดี</v>
      </c>
      <c r="E156" s="12" t="n">
        <f aca="false">YEAR(A156)</f>
        <v>2021</v>
      </c>
      <c r="F156" s="12" t="n">
        <f aca="false">MONTH(A156)</f>
        <v>6</v>
      </c>
      <c r="G156" s="12" t="n">
        <v>11.8</v>
      </c>
      <c r="H156" s="12" t="n">
        <v>27.4</v>
      </c>
      <c r="I156" s="12" t="n">
        <v>217</v>
      </c>
      <c r="J156" s="12" t="n">
        <v>22.5</v>
      </c>
      <c r="K156" s="12" t="n">
        <v>24</v>
      </c>
      <c r="L156" s="12" t="s">
        <v>36</v>
      </c>
    </row>
    <row r="157" customFormat="false" ht="15" hidden="false" customHeight="false" outlineLevel="0" collapsed="false">
      <c r="A157" s="11" t="n">
        <v>44352</v>
      </c>
      <c r="B157" s="12" t="n">
        <v>20</v>
      </c>
      <c r="C157" s="12" t="n">
        <f aca="false">IF(NOT(ISNUMBER(B157)),"",ROUND((INDEX(BP!$D$5:$D$9,MATCH(B157,BP!$A$5:$A$9,1))-INDEX(BP!$C$5:$C$9,MATCH(B157,BP!$A$5:$A$9,1)))/(INDEX(BP!$B$5:$B$9,MATCH(B157,BP!$A$5:$A$9,1))-INDEX(BP!$A$5:$A$9,MATCH(B157,BP!$A$5:$A$9,1)))*(B157-INDEX(BP!$A$5:$A$9,MATCH(B157,BP!$A$5:$A$9,1)))+INDEX(BP!$C$5:$C$9,MATCH(B157,BP!$A$5:$A$9,1)),0))</f>
        <v>38</v>
      </c>
      <c r="D157" s="12" t="str">
        <f aca="false">IF(NOT(ISNUMBER(C157)),"",INDEX(BP!$F$5:$F$9,MATCH(C157,BP!$E$5:$E$9,1)))</f>
        <v>ดี</v>
      </c>
      <c r="E157" s="12" t="n">
        <f aca="false">YEAR(A157)</f>
        <v>2021</v>
      </c>
      <c r="F157" s="12" t="n">
        <f aca="false">MONTH(A157)</f>
        <v>6</v>
      </c>
      <c r="G157" s="12" t="n">
        <v>15.3</v>
      </c>
      <c r="H157" s="12" t="n">
        <v>32</v>
      </c>
      <c r="I157" s="12" t="n">
        <v>231</v>
      </c>
      <c r="J157" s="12" t="n">
        <v>24</v>
      </c>
      <c r="K157" s="12" t="n">
        <v>1.4</v>
      </c>
      <c r="L157" s="12" t="s">
        <v>35</v>
      </c>
    </row>
    <row r="158" customFormat="false" ht="15" hidden="false" customHeight="false" outlineLevel="0" collapsed="false">
      <c r="A158" s="11" t="n">
        <v>44353</v>
      </c>
      <c r="B158" s="12" t="n">
        <v>18</v>
      </c>
      <c r="C158" s="12" t="n">
        <f aca="false">IF(NOT(ISNUMBER(B158)),"",ROUND((INDEX(BP!$D$5:$D$9,MATCH(B158,BP!$A$5:$A$9,1))-INDEX(BP!$C$5:$C$9,MATCH(B158,BP!$A$5:$A$9,1)))/(INDEX(BP!$B$5:$B$9,MATCH(B158,BP!$A$5:$A$9,1))-INDEX(BP!$A$5:$A$9,MATCH(B158,BP!$A$5:$A$9,1)))*(B158-INDEX(BP!$A$5:$A$9,MATCH(B158,BP!$A$5:$A$9,1)))+INDEX(BP!$C$5:$C$9,MATCH(B158,BP!$A$5:$A$9,1)),0))</f>
        <v>33</v>
      </c>
      <c r="D158" s="12" t="str">
        <f aca="false">IF(NOT(ISNUMBER(C158)),"",INDEX(BP!$F$5:$F$9,MATCH(C158,BP!$E$5:$E$9,1)))</f>
        <v>ดี</v>
      </c>
      <c r="E158" s="12" t="n">
        <f aca="false">YEAR(A158)</f>
        <v>2021</v>
      </c>
      <c r="F158" s="12" t="n">
        <f aca="false">MONTH(A158)</f>
        <v>6</v>
      </c>
      <c r="G158" s="12" t="n">
        <v>14.3</v>
      </c>
      <c r="H158" s="12" t="n">
        <v>34.9</v>
      </c>
      <c r="I158" s="12" t="n">
        <v>222</v>
      </c>
      <c r="J158" s="12" t="n">
        <v>8.1</v>
      </c>
      <c r="K158" s="12" t="n">
        <v>26.6</v>
      </c>
      <c r="L158" s="12" t="s">
        <v>35</v>
      </c>
    </row>
    <row r="159" customFormat="false" ht="15" hidden="false" customHeight="false" outlineLevel="0" collapsed="false">
      <c r="A159" s="11" t="n">
        <v>44354</v>
      </c>
      <c r="B159" s="12" t="n">
        <v>17</v>
      </c>
      <c r="C159" s="12" t="n">
        <f aca="false">IF(NOT(ISNUMBER(B159)),"",ROUND((INDEX(BP!$D$5:$D$9,MATCH(B159,BP!$A$5:$A$9,1))-INDEX(BP!$C$5:$C$9,MATCH(B159,BP!$A$5:$A$9,1)))/(INDEX(BP!$B$5:$B$9,MATCH(B159,BP!$A$5:$A$9,1))-INDEX(BP!$A$5:$A$9,MATCH(B159,BP!$A$5:$A$9,1)))*(B159-INDEX(BP!$A$5:$A$9,MATCH(B159,BP!$A$5:$A$9,1)))+INDEX(BP!$C$5:$C$9,MATCH(B159,BP!$A$5:$A$9,1)),0))</f>
        <v>31</v>
      </c>
      <c r="D159" s="12" t="str">
        <f aca="false">IF(NOT(ISNUMBER(C159)),"",INDEX(BP!$F$5:$F$9,MATCH(C159,BP!$E$5:$E$9,1)))</f>
        <v>ดี</v>
      </c>
      <c r="E159" s="12" t="n">
        <f aca="false">YEAR(A159)</f>
        <v>2021</v>
      </c>
      <c r="F159" s="12" t="n">
        <f aca="false">MONTH(A159)</f>
        <v>6</v>
      </c>
      <c r="G159" s="12" t="n">
        <v>12.6</v>
      </c>
      <c r="H159" s="12" t="n">
        <v>35.6</v>
      </c>
      <c r="I159" s="12" t="n">
        <v>237</v>
      </c>
      <c r="J159" s="12" t="n">
        <v>0.1</v>
      </c>
      <c r="K159" s="12" t="n">
        <v>5.8</v>
      </c>
      <c r="L159" s="12" t="s">
        <v>36</v>
      </c>
    </row>
    <row r="160" customFormat="false" ht="15" hidden="false" customHeight="false" outlineLevel="0" collapsed="false">
      <c r="A160" s="11" t="n">
        <v>44355</v>
      </c>
      <c r="B160" s="12" t="n">
        <v>21</v>
      </c>
      <c r="C160" s="12" t="n">
        <f aca="false">IF(NOT(ISNUMBER(B160)),"",ROUND((INDEX(BP!$D$5:$D$9,MATCH(B160,BP!$A$5:$A$9,1))-INDEX(BP!$C$5:$C$9,MATCH(B160,BP!$A$5:$A$9,1)))/(INDEX(BP!$B$5:$B$9,MATCH(B160,BP!$A$5:$A$9,1))-INDEX(BP!$A$5:$A$9,MATCH(B160,BP!$A$5:$A$9,1)))*(B160-INDEX(BP!$A$5:$A$9,MATCH(B160,BP!$A$5:$A$9,1)))+INDEX(BP!$C$5:$C$9,MATCH(B160,BP!$A$5:$A$9,1)),0))</f>
        <v>40</v>
      </c>
      <c r="D160" s="12" t="str">
        <f aca="false">IF(NOT(ISNUMBER(C160)),"",INDEX(BP!$F$5:$F$9,MATCH(C160,BP!$E$5:$E$9,1)))</f>
        <v>ดี</v>
      </c>
      <c r="E160" s="12" t="n">
        <f aca="false">YEAR(A160)</f>
        <v>2021</v>
      </c>
      <c r="F160" s="12" t="n">
        <f aca="false">MONTH(A160)</f>
        <v>6</v>
      </c>
      <c r="G160" s="12" t="n">
        <v>14.7</v>
      </c>
      <c r="H160" s="12" t="n">
        <v>32.4</v>
      </c>
      <c r="I160" s="12" t="n">
        <v>220</v>
      </c>
      <c r="J160" s="12" t="n">
        <v>2.6</v>
      </c>
      <c r="K160" s="12" t="n">
        <v>0.6</v>
      </c>
      <c r="L160" s="12" t="s">
        <v>36</v>
      </c>
    </row>
    <row r="161" customFormat="false" ht="15" hidden="false" customHeight="false" outlineLevel="0" collapsed="false">
      <c r="A161" s="11" t="n">
        <v>44356</v>
      </c>
      <c r="B161" s="12" t="n">
        <v>20</v>
      </c>
      <c r="C161" s="12" t="n">
        <f aca="false">IF(NOT(ISNUMBER(B161)),"",ROUND((INDEX(BP!$D$5:$D$9,MATCH(B161,BP!$A$5:$A$9,1))-INDEX(BP!$C$5:$C$9,MATCH(B161,BP!$A$5:$A$9,1)))/(INDEX(BP!$B$5:$B$9,MATCH(B161,BP!$A$5:$A$9,1))-INDEX(BP!$A$5:$A$9,MATCH(B161,BP!$A$5:$A$9,1)))*(B161-INDEX(BP!$A$5:$A$9,MATCH(B161,BP!$A$5:$A$9,1)))+INDEX(BP!$C$5:$C$9,MATCH(B161,BP!$A$5:$A$9,1)),0))</f>
        <v>38</v>
      </c>
      <c r="D161" s="12" t="str">
        <f aca="false">IF(NOT(ISNUMBER(C161)),"",INDEX(BP!$F$5:$F$9,MATCH(C161,BP!$E$5:$E$9,1)))</f>
        <v>ดี</v>
      </c>
      <c r="E161" s="12" t="n">
        <f aca="false">YEAR(A161)</f>
        <v>2021</v>
      </c>
      <c r="F161" s="12" t="n">
        <f aca="false">MONTH(A161)</f>
        <v>6</v>
      </c>
      <c r="G161" s="12" t="n">
        <v>13</v>
      </c>
      <c r="H161" s="12" t="n">
        <v>34.6</v>
      </c>
      <c r="I161" s="12" t="n">
        <v>229</v>
      </c>
      <c r="J161" s="12" t="n">
        <v>10.5</v>
      </c>
      <c r="K161" s="12" t="n">
        <v>0</v>
      </c>
      <c r="L161" s="12" t="s">
        <v>36</v>
      </c>
    </row>
    <row r="162" customFormat="false" ht="15" hidden="false" customHeight="false" outlineLevel="0" collapsed="false">
      <c r="A162" s="11" t="n">
        <v>44357</v>
      </c>
      <c r="B162" s="12" t="n">
        <v>22</v>
      </c>
      <c r="C162" s="12" t="n">
        <f aca="false">IF(NOT(ISNUMBER(B162)),"",ROUND((INDEX(BP!$D$5:$D$9,MATCH(B162,BP!$A$5:$A$9,1))-INDEX(BP!$C$5:$C$9,MATCH(B162,BP!$A$5:$A$9,1)))/(INDEX(BP!$B$5:$B$9,MATCH(B162,BP!$A$5:$A$9,1))-INDEX(BP!$A$5:$A$9,MATCH(B162,BP!$A$5:$A$9,1)))*(B162-INDEX(BP!$A$5:$A$9,MATCH(B162,BP!$A$5:$A$9,1)))+INDEX(BP!$C$5:$C$9,MATCH(B162,BP!$A$5:$A$9,1)),0))</f>
        <v>43</v>
      </c>
      <c r="D162" s="12" t="str">
        <f aca="false">IF(NOT(ISNUMBER(C162)),"",INDEX(BP!$F$5:$F$9,MATCH(C162,BP!$E$5:$E$9,1)))</f>
        <v>ดี</v>
      </c>
      <c r="E162" s="12" t="n">
        <f aca="false">YEAR(A162)</f>
        <v>2021</v>
      </c>
      <c r="F162" s="12" t="n">
        <f aca="false">MONTH(A162)</f>
        <v>6</v>
      </c>
      <c r="G162" s="12" t="n">
        <v>10.4</v>
      </c>
      <c r="H162" s="12" t="n">
        <v>31</v>
      </c>
      <c r="I162" s="12" t="n">
        <v>243</v>
      </c>
      <c r="J162" s="12" t="n">
        <v>0.4</v>
      </c>
      <c r="K162" s="12" t="n">
        <v>0</v>
      </c>
      <c r="L162" s="12" t="s">
        <v>36</v>
      </c>
    </row>
    <row r="163" customFormat="false" ht="15" hidden="false" customHeight="false" outlineLevel="0" collapsed="false">
      <c r="A163" s="11" t="n">
        <v>44358</v>
      </c>
      <c r="B163" s="12" t="n">
        <v>18</v>
      </c>
      <c r="C163" s="12" t="n">
        <f aca="false">IF(NOT(ISNUMBER(B163)),"",ROUND((INDEX(BP!$D$5:$D$9,MATCH(B163,BP!$A$5:$A$9,1))-INDEX(BP!$C$5:$C$9,MATCH(B163,BP!$A$5:$A$9,1)))/(INDEX(BP!$B$5:$B$9,MATCH(B163,BP!$A$5:$A$9,1))-INDEX(BP!$A$5:$A$9,MATCH(B163,BP!$A$5:$A$9,1)))*(B163-INDEX(BP!$A$5:$A$9,MATCH(B163,BP!$A$5:$A$9,1)))+INDEX(BP!$C$5:$C$9,MATCH(B163,BP!$A$5:$A$9,1)),0))</f>
        <v>33</v>
      </c>
      <c r="D163" s="12" t="str">
        <f aca="false">IF(NOT(ISNUMBER(C163)),"",INDEX(BP!$F$5:$F$9,MATCH(C163,BP!$E$5:$E$9,1)))</f>
        <v>ดี</v>
      </c>
      <c r="E163" s="12" t="n">
        <f aca="false">YEAR(A163)</f>
        <v>2021</v>
      </c>
      <c r="F163" s="12" t="n">
        <f aca="false">MONTH(A163)</f>
        <v>6</v>
      </c>
      <c r="G163" s="12" t="n">
        <v>15.9</v>
      </c>
      <c r="H163" s="12" t="n">
        <v>40.7</v>
      </c>
      <c r="I163" s="12" t="n">
        <v>245</v>
      </c>
      <c r="J163" s="12" t="n">
        <v>0.6</v>
      </c>
      <c r="K163" s="12" t="n">
        <v>1</v>
      </c>
      <c r="L163" s="12" t="s">
        <v>36</v>
      </c>
    </row>
    <row r="164" customFormat="false" ht="15" hidden="false" customHeight="false" outlineLevel="0" collapsed="false">
      <c r="A164" s="11" t="n">
        <v>44359</v>
      </c>
      <c r="B164" s="12" t="n">
        <v>16</v>
      </c>
      <c r="C164" s="12" t="n">
        <f aca="false">IF(NOT(ISNUMBER(B164)),"",ROUND((INDEX(BP!$D$5:$D$9,MATCH(B164,BP!$A$5:$A$9,1))-INDEX(BP!$C$5:$C$9,MATCH(B164,BP!$A$5:$A$9,1)))/(INDEX(BP!$B$5:$B$9,MATCH(B164,BP!$A$5:$A$9,1))-INDEX(BP!$A$5:$A$9,MATCH(B164,BP!$A$5:$A$9,1)))*(B164-INDEX(BP!$A$5:$A$9,MATCH(B164,BP!$A$5:$A$9,1)))+INDEX(BP!$C$5:$C$9,MATCH(B164,BP!$A$5:$A$9,1)),0))</f>
        <v>28</v>
      </c>
      <c r="D164" s="12" t="str">
        <f aca="false">IF(NOT(ISNUMBER(C164)),"",INDEX(BP!$F$5:$F$9,MATCH(C164,BP!$E$5:$E$9,1)))</f>
        <v>ดี</v>
      </c>
      <c r="E164" s="12" t="n">
        <f aca="false">YEAR(A164)</f>
        <v>2021</v>
      </c>
      <c r="F164" s="12" t="n">
        <f aca="false">MONTH(A164)</f>
        <v>6</v>
      </c>
      <c r="G164" s="12" t="n">
        <v>13.1</v>
      </c>
      <c r="H164" s="12" t="n">
        <v>33.5</v>
      </c>
      <c r="I164" s="12" t="n">
        <v>245</v>
      </c>
      <c r="J164" s="12" t="n">
        <v>0.3</v>
      </c>
      <c r="K164" s="12" t="n">
        <v>0</v>
      </c>
      <c r="L164" s="12" t="s">
        <v>35</v>
      </c>
    </row>
    <row r="165" customFormat="false" ht="15" hidden="false" customHeight="false" outlineLevel="0" collapsed="false">
      <c r="A165" s="11" t="n">
        <v>44360</v>
      </c>
      <c r="B165" s="12" t="n">
        <v>25</v>
      </c>
      <c r="C165" s="12" t="n">
        <f aca="false">IF(NOT(ISNUMBER(B165)),"",ROUND((INDEX(BP!$D$5:$D$9,MATCH(B165,BP!$A$5:$A$9,1))-INDEX(BP!$C$5:$C$9,MATCH(B165,BP!$A$5:$A$9,1)))/(INDEX(BP!$B$5:$B$9,MATCH(B165,BP!$A$5:$A$9,1))-INDEX(BP!$A$5:$A$9,MATCH(B165,BP!$A$5:$A$9,1)))*(B165-INDEX(BP!$A$5:$A$9,MATCH(B165,BP!$A$5:$A$9,1)))+INDEX(BP!$C$5:$C$9,MATCH(B165,BP!$A$5:$A$9,1)),0))</f>
        <v>50</v>
      </c>
      <c r="D165" s="12" t="str">
        <f aca="false">IF(NOT(ISNUMBER(C165)),"",INDEX(BP!$F$5:$F$9,MATCH(C165,BP!$E$5:$E$9,1)))</f>
        <v>ดี</v>
      </c>
      <c r="E165" s="12" t="n">
        <f aca="false">YEAR(A165)</f>
        <v>2021</v>
      </c>
      <c r="F165" s="12" t="n">
        <f aca="false">MONTH(A165)</f>
        <v>6</v>
      </c>
      <c r="G165" s="12" t="n">
        <v>14.6</v>
      </c>
      <c r="H165" s="12" t="n">
        <v>37.8</v>
      </c>
      <c r="I165" s="12" t="n">
        <v>220</v>
      </c>
      <c r="J165" s="12" t="n">
        <v>0.6</v>
      </c>
      <c r="K165" s="12" t="n">
        <v>0</v>
      </c>
      <c r="L165" s="12" t="s">
        <v>35</v>
      </c>
    </row>
    <row r="166" customFormat="false" ht="15" hidden="false" customHeight="false" outlineLevel="0" collapsed="false">
      <c r="A166" s="11" t="n">
        <v>44361</v>
      </c>
      <c r="B166" s="12" t="n">
        <v>21</v>
      </c>
      <c r="C166" s="12" t="n">
        <f aca="false">IF(NOT(ISNUMBER(B166)),"",ROUND((INDEX(BP!$D$5:$D$9,MATCH(B166,BP!$A$5:$A$9,1))-INDEX(BP!$C$5:$C$9,MATCH(B166,BP!$A$5:$A$9,1)))/(INDEX(BP!$B$5:$B$9,MATCH(B166,BP!$A$5:$A$9,1))-INDEX(BP!$A$5:$A$9,MATCH(B166,BP!$A$5:$A$9,1)))*(B166-INDEX(BP!$A$5:$A$9,MATCH(B166,BP!$A$5:$A$9,1)))+INDEX(BP!$C$5:$C$9,MATCH(B166,BP!$A$5:$A$9,1)),0))</f>
        <v>40</v>
      </c>
      <c r="D166" s="12" t="str">
        <f aca="false">IF(NOT(ISNUMBER(C166)),"",INDEX(BP!$F$5:$F$9,MATCH(C166,BP!$E$5:$E$9,1)))</f>
        <v>ดี</v>
      </c>
      <c r="E166" s="12" t="n">
        <f aca="false">YEAR(A166)</f>
        <v>2021</v>
      </c>
      <c r="F166" s="12" t="n">
        <f aca="false">MONTH(A166)</f>
        <v>6</v>
      </c>
      <c r="G166" s="12" t="n">
        <v>13.8</v>
      </c>
      <c r="H166" s="12" t="n">
        <v>32.4</v>
      </c>
      <c r="I166" s="12" t="n">
        <v>214</v>
      </c>
      <c r="J166" s="12" t="n">
        <v>0.3</v>
      </c>
      <c r="K166" s="12" t="n">
        <v>0</v>
      </c>
      <c r="L166" s="12" t="s">
        <v>36</v>
      </c>
    </row>
    <row r="167" customFormat="false" ht="15" hidden="false" customHeight="false" outlineLevel="0" collapsed="false">
      <c r="A167" s="11" t="n">
        <v>44362</v>
      </c>
      <c r="B167" s="12" t="n">
        <v>18</v>
      </c>
      <c r="C167" s="12" t="n">
        <f aca="false">IF(NOT(ISNUMBER(B167)),"",ROUND((INDEX(BP!$D$5:$D$9,MATCH(B167,BP!$A$5:$A$9,1))-INDEX(BP!$C$5:$C$9,MATCH(B167,BP!$A$5:$A$9,1)))/(INDEX(BP!$B$5:$B$9,MATCH(B167,BP!$A$5:$A$9,1))-INDEX(BP!$A$5:$A$9,MATCH(B167,BP!$A$5:$A$9,1)))*(B167-INDEX(BP!$A$5:$A$9,MATCH(B167,BP!$A$5:$A$9,1)))+INDEX(BP!$C$5:$C$9,MATCH(B167,BP!$A$5:$A$9,1)),0))</f>
        <v>33</v>
      </c>
      <c r="D167" s="12" t="str">
        <f aca="false">IF(NOT(ISNUMBER(C167)),"",INDEX(BP!$F$5:$F$9,MATCH(C167,BP!$E$5:$E$9,1)))</f>
        <v>ดี</v>
      </c>
      <c r="E167" s="12" t="n">
        <f aca="false">YEAR(A167)</f>
        <v>2021</v>
      </c>
      <c r="F167" s="12" t="n">
        <f aca="false">MONTH(A167)</f>
        <v>6</v>
      </c>
      <c r="G167" s="12" t="n">
        <v>11.2</v>
      </c>
      <c r="H167" s="12" t="n">
        <v>35.3</v>
      </c>
      <c r="I167" s="12" t="n">
        <v>227</v>
      </c>
      <c r="J167" s="12" t="n">
        <v>0.1</v>
      </c>
      <c r="K167" s="12" t="n">
        <v>0</v>
      </c>
      <c r="L167" s="12" t="s">
        <v>36</v>
      </c>
    </row>
    <row r="168" customFormat="false" ht="15" hidden="false" customHeight="false" outlineLevel="0" collapsed="false">
      <c r="A168" s="11" t="n">
        <v>44363</v>
      </c>
      <c r="B168" s="12" t="n">
        <v>21</v>
      </c>
      <c r="C168" s="12" t="n">
        <f aca="false">IF(NOT(ISNUMBER(B168)),"",ROUND((INDEX(BP!$D$5:$D$9,MATCH(B168,BP!$A$5:$A$9,1))-INDEX(BP!$C$5:$C$9,MATCH(B168,BP!$A$5:$A$9,1)))/(INDEX(BP!$B$5:$B$9,MATCH(B168,BP!$A$5:$A$9,1))-INDEX(BP!$A$5:$A$9,MATCH(B168,BP!$A$5:$A$9,1)))*(B168-INDEX(BP!$A$5:$A$9,MATCH(B168,BP!$A$5:$A$9,1)))+INDEX(BP!$C$5:$C$9,MATCH(B168,BP!$A$5:$A$9,1)),0))</f>
        <v>40</v>
      </c>
      <c r="D168" s="12" t="str">
        <f aca="false">IF(NOT(ISNUMBER(C168)),"",INDEX(BP!$F$5:$F$9,MATCH(C168,BP!$E$5:$E$9,1)))</f>
        <v>ดี</v>
      </c>
      <c r="E168" s="12" t="n">
        <f aca="false">YEAR(A168)</f>
        <v>2021</v>
      </c>
      <c r="F168" s="12" t="n">
        <f aca="false">MONTH(A168)</f>
        <v>6</v>
      </c>
      <c r="G168" s="12" t="n">
        <v>9.9</v>
      </c>
      <c r="H168" s="12" t="n">
        <v>29.9</v>
      </c>
      <c r="I168" s="12" t="n">
        <v>213</v>
      </c>
      <c r="J168" s="12" t="n">
        <v>1.8</v>
      </c>
      <c r="K168" s="12" t="n">
        <v>0</v>
      </c>
      <c r="L168" s="12" t="s">
        <v>36</v>
      </c>
    </row>
    <row r="169" customFormat="false" ht="15" hidden="false" customHeight="false" outlineLevel="0" collapsed="false">
      <c r="A169" s="11" t="n">
        <v>44364</v>
      </c>
      <c r="B169" s="12" t="n">
        <v>20</v>
      </c>
      <c r="C169" s="12" t="n">
        <f aca="false">IF(NOT(ISNUMBER(B169)),"",ROUND((INDEX(BP!$D$5:$D$9,MATCH(B169,BP!$A$5:$A$9,1))-INDEX(BP!$C$5:$C$9,MATCH(B169,BP!$A$5:$A$9,1)))/(INDEX(BP!$B$5:$B$9,MATCH(B169,BP!$A$5:$A$9,1))-INDEX(BP!$A$5:$A$9,MATCH(B169,BP!$A$5:$A$9,1)))*(B169-INDEX(BP!$A$5:$A$9,MATCH(B169,BP!$A$5:$A$9,1)))+INDEX(BP!$C$5:$C$9,MATCH(B169,BP!$A$5:$A$9,1)),0))</f>
        <v>38</v>
      </c>
      <c r="D169" s="12" t="str">
        <f aca="false">IF(NOT(ISNUMBER(C169)),"",INDEX(BP!$F$5:$F$9,MATCH(C169,BP!$E$5:$E$9,1)))</f>
        <v>ดี</v>
      </c>
      <c r="E169" s="12" t="n">
        <f aca="false">YEAR(A169)</f>
        <v>2021</v>
      </c>
      <c r="F169" s="12" t="n">
        <f aca="false">MONTH(A169)</f>
        <v>6</v>
      </c>
      <c r="G169" s="12" t="n">
        <v>7.4</v>
      </c>
      <c r="H169" s="12" t="n">
        <v>29.9</v>
      </c>
      <c r="I169" s="12" t="n">
        <v>180</v>
      </c>
      <c r="J169" s="12" t="n">
        <v>2.2</v>
      </c>
      <c r="K169" s="12" t="n">
        <v>4.2</v>
      </c>
      <c r="L169" s="12" t="s">
        <v>36</v>
      </c>
    </row>
    <row r="170" customFormat="false" ht="15" hidden="false" customHeight="false" outlineLevel="0" collapsed="false">
      <c r="A170" s="11" t="n">
        <v>44365</v>
      </c>
      <c r="B170" s="12" t="n">
        <v>21</v>
      </c>
      <c r="C170" s="12" t="n">
        <f aca="false">IF(NOT(ISNUMBER(B170)),"",ROUND((INDEX(BP!$D$5:$D$9,MATCH(B170,BP!$A$5:$A$9,1))-INDEX(BP!$C$5:$C$9,MATCH(B170,BP!$A$5:$A$9,1)))/(INDEX(BP!$B$5:$B$9,MATCH(B170,BP!$A$5:$A$9,1))-INDEX(BP!$A$5:$A$9,MATCH(B170,BP!$A$5:$A$9,1)))*(B170-INDEX(BP!$A$5:$A$9,MATCH(B170,BP!$A$5:$A$9,1)))+INDEX(BP!$C$5:$C$9,MATCH(B170,BP!$A$5:$A$9,1)),0))</f>
        <v>40</v>
      </c>
      <c r="D170" s="12" t="str">
        <f aca="false">IF(NOT(ISNUMBER(C170)),"",INDEX(BP!$F$5:$F$9,MATCH(C170,BP!$E$5:$E$9,1)))</f>
        <v>ดี</v>
      </c>
      <c r="E170" s="12" t="n">
        <f aca="false">YEAR(A170)</f>
        <v>2021</v>
      </c>
      <c r="F170" s="12" t="n">
        <f aca="false">MONTH(A170)</f>
        <v>6</v>
      </c>
      <c r="G170" s="12" t="n">
        <v>8.9</v>
      </c>
      <c r="H170" s="12" t="n">
        <v>30.2</v>
      </c>
      <c r="I170" s="12" t="n">
        <v>212</v>
      </c>
      <c r="J170" s="12" t="n">
        <v>5.6</v>
      </c>
      <c r="K170" s="12" t="n">
        <v>0</v>
      </c>
      <c r="L170" s="12" t="s">
        <v>36</v>
      </c>
    </row>
    <row r="171" customFormat="false" ht="15" hidden="false" customHeight="false" outlineLevel="0" collapsed="false">
      <c r="A171" s="11" t="n">
        <v>44366</v>
      </c>
      <c r="B171" s="12" t="n">
        <v>23</v>
      </c>
      <c r="C171" s="12" t="n">
        <f aca="false">IF(NOT(ISNUMBER(B171)),"",ROUND((INDEX(BP!$D$5:$D$9,MATCH(B171,BP!$A$5:$A$9,1))-INDEX(BP!$C$5:$C$9,MATCH(B171,BP!$A$5:$A$9,1)))/(INDEX(BP!$B$5:$B$9,MATCH(B171,BP!$A$5:$A$9,1))-INDEX(BP!$A$5:$A$9,MATCH(B171,BP!$A$5:$A$9,1)))*(B171-INDEX(BP!$A$5:$A$9,MATCH(B171,BP!$A$5:$A$9,1)))+INDEX(BP!$C$5:$C$9,MATCH(B171,BP!$A$5:$A$9,1)),0))</f>
        <v>45</v>
      </c>
      <c r="D171" s="12" t="str">
        <f aca="false">IF(NOT(ISNUMBER(C171)),"",INDEX(BP!$F$5:$F$9,MATCH(C171,BP!$E$5:$E$9,1)))</f>
        <v>ดี</v>
      </c>
      <c r="E171" s="12" t="n">
        <f aca="false">YEAR(A171)</f>
        <v>2021</v>
      </c>
      <c r="F171" s="12" t="n">
        <f aca="false">MONTH(A171)</f>
        <v>6</v>
      </c>
      <c r="G171" s="12" t="n">
        <v>10.8</v>
      </c>
      <c r="H171" s="12" t="n">
        <v>24.1</v>
      </c>
      <c r="I171" s="12" t="n">
        <v>206</v>
      </c>
      <c r="J171" s="12" t="n">
        <v>2.2</v>
      </c>
      <c r="K171" s="12" t="n">
        <v>0</v>
      </c>
      <c r="L171" s="12" t="s">
        <v>35</v>
      </c>
    </row>
    <row r="172" customFormat="false" ht="15" hidden="false" customHeight="false" outlineLevel="0" collapsed="false">
      <c r="A172" s="11" t="n">
        <v>44367</v>
      </c>
      <c r="B172" s="12" t="n">
        <v>20</v>
      </c>
      <c r="C172" s="12" t="n">
        <f aca="false">IF(NOT(ISNUMBER(B172)),"",ROUND((INDEX(BP!$D$5:$D$9,MATCH(B172,BP!$A$5:$A$9,1))-INDEX(BP!$C$5:$C$9,MATCH(B172,BP!$A$5:$A$9,1)))/(INDEX(BP!$B$5:$B$9,MATCH(B172,BP!$A$5:$A$9,1))-INDEX(BP!$A$5:$A$9,MATCH(B172,BP!$A$5:$A$9,1)))*(B172-INDEX(BP!$A$5:$A$9,MATCH(B172,BP!$A$5:$A$9,1)))+INDEX(BP!$C$5:$C$9,MATCH(B172,BP!$A$5:$A$9,1)),0))</f>
        <v>38</v>
      </c>
      <c r="D172" s="12" t="str">
        <f aca="false">IF(NOT(ISNUMBER(C172)),"",INDEX(BP!$F$5:$F$9,MATCH(C172,BP!$E$5:$E$9,1)))</f>
        <v>ดี</v>
      </c>
      <c r="E172" s="12" t="n">
        <f aca="false">YEAR(A172)</f>
        <v>2021</v>
      </c>
      <c r="F172" s="12" t="n">
        <f aca="false">MONTH(A172)</f>
        <v>6</v>
      </c>
      <c r="G172" s="12" t="n">
        <v>12.3</v>
      </c>
      <c r="H172" s="12" t="n">
        <v>31</v>
      </c>
      <c r="I172" s="12" t="n">
        <v>228</v>
      </c>
      <c r="J172" s="12" t="n">
        <v>5.7</v>
      </c>
      <c r="K172" s="12" t="n">
        <v>3.2</v>
      </c>
      <c r="L172" s="12" t="s">
        <v>35</v>
      </c>
    </row>
    <row r="173" customFormat="false" ht="15" hidden="false" customHeight="false" outlineLevel="0" collapsed="false">
      <c r="A173" s="11" t="n">
        <v>44368</v>
      </c>
      <c r="B173" s="12" t="n">
        <v>14</v>
      </c>
      <c r="C173" s="12" t="n">
        <f aca="false">IF(NOT(ISNUMBER(B173)),"",ROUND((INDEX(BP!$D$5:$D$9,MATCH(B173,BP!$A$5:$A$9,1))-INDEX(BP!$C$5:$C$9,MATCH(B173,BP!$A$5:$A$9,1)))/(INDEX(BP!$B$5:$B$9,MATCH(B173,BP!$A$5:$A$9,1))-INDEX(BP!$A$5:$A$9,MATCH(B173,BP!$A$5:$A$9,1)))*(B173-INDEX(BP!$A$5:$A$9,MATCH(B173,BP!$A$5:$A$9,1)))+INDEX(BP!$C$5:$C$9,MATCH(B173,BP!$A$5:$A$9,1)),0))</f>
        <v>23</v>
      </c>
      <c r="D173" s="12" t="str">
        <f aca="false">IF(NOT(ISNUMBER(C173)),"",INDEX(BP!$F$5:$F$9,MATCH(C173,BP!$E$5:$E$9,1)))</f>
        <v>ดีมาก</v>
      </c>
      <c r="E173" s="12" t="n">
        <f aca="false">YEAR(A173)</f>
        <v>2021</v>
      </c>
      <c r="F173" s="12" t="n">
        <f aca="false">MONTH(A173)</f>
        <v>6</v>
      </c>
      <c r="G173" s="12" t="n">
        <v>19.5</v>
      </c>
      <c r="H173" s="12" t="n">
        <v>42.5</v>
      </c>
      <c r="I173" s="12" t="n">
        <v>227</v>
      </c>
      <c r="J173" s="12" t="n">
        <v>1.3</v>
      </c>
      <c r="K173" s="12" t="n">
        <v>0</v>
      </c>
      <c r="L173" s="12" t="s">
        <v>36</v>
      </c>
    </row>
    <row r="174" customFormat="false" ht="15" hidden="false" customHeight="false" outlineLevel="0" collapsed="false">
      <c r="A174" s="11" t="n">
        <v>44369</v>
      </c>
      <c r="B174" s="12" t="n">
        <v>22</v>
      </c>
      <c r="C174" s="12" t="n">
        <f aca="false">IF(NOT(ISNUMBER(B174)),"",ROUND((INDEX(BP!$D$5:$D$9,MATCH(B174,BP!$A$5:$A$9,1))-INDEX(BP!$C$5:$C$9,MATCH(B174,BP!$A$5:$A$9,1)))/(INDEX(BP!$B$5:$B$9,MATCH(B174,BP!$A$5:$A$9,1))-INDEX(BP!$A$5:$A$9,MATCH(B174,BP!$A$5:$A$9,1)))*(B174-INDEX(BP!$A$5:$A$9,MATCH(B174,BP!$A$5:$A$9,1)))+INDEX(BP!$C$5:$C$9,MATCH(B174,BP!$A$5:$A$9,1)),0))</f>
        <v>43</v>
      </c>
      <c r="D174" s="12" t="str">
        <f aca="false">IF(NOT(ISNUMBER(C174)),"",INDEX(BP!$F$5:$F$9,MATCH(C174,BP!$E$5:$E$9,1)))</f>
        <v>ดี</v>
      </c>
      <c r="E174" s="12" t="n">
        <f aca="false">YEAR(A174)</f>
        <v>2021</v>
      </c>
      <c r="F174" s="12" t="n">
        <f aca="false">MONTH(A174)</f>
        <v>6</v>
      </c>
      <c r="G174" s="12" t="n">
        <v>11.5</v>
      </c>
      <c r="H174" s="12" t="n">
        <v>29.9</v>
      </c>
      <c r="I174" s="12" t="n">
        <v>236</v>
      </c>
      <c r="J174" s="12" t="n">
        <v>1.2</v>
      </c>
      <c r="K174" s="12" t="n">
        <v>0</v>
      </c>
      <c r="L174" s="12" t="s">
        <v>36</v>
      </c>
    </row>
    <row r="175" customFormat="false" ht="15" hidden="false" customHeight="false" outlineLevel="0" collapsed="false">
      <c r="A175" s="11" t="n">
        <v>44370</v>
      </c>
      <c r="B175" s="12" t="n">
        <v>14</v>
      </c>
      <c r="C175" s="12" t="n">
        <f aca="false">IF(NOT(ISNUMBER(B175)),"",ROUND((INDEX(BP!$D$5:$D$9,MATCH(B175,BP!$A$5:$A$9,1))-INDEX(BP!$C$5:$C$9,MATCH(B175,BP!$A$5:$A$9,1)))/(INDEX(BP!$B$5:$B$9,MATCH(B175,BP!$A$5:$A$9,1))-INDEX(BP!$A$5:$A$9,MATCH(B175,BP!$A$5:$A$9,1)))*(B175-INDEX(BP!$A$5:$A$9,MATCH(B175,BP!$A$5:$A$9,1)))+INDEX(BP!$C$5:$C$9,MATCH(B175,BP!$A$5:$A$9,1)),0))</f>
        <v>23</v>
      </c>
      <c r="D175" s="12" t="str">
        <f aca="false">IF(NOT(ISNUMBER(C175)),"",INDEX(BP!$F$5:$F$9,MATCH(C175,BP!$E$5:$E$9,1)))</f>
        <v>ดีมาก</v>
      </c>
      <c r="E175" s="12" t="n">
        <f aca="false">YEAR(A175)</f>
        <v>2021</v>
      </c>
      <c r="F175" s="12" t="n">
        <f aca="false">MONTH(A175)</f>
        <v>6</v>
      </c>
      <c r="G175" s="12" t="n">
        <v>14.9</v>
      </c>
      <c r="H175" s="12" t="n">
        <v>39.6</v>
      </c>
      <c r="I175" s="12" t="n">
        <v>252</v>
      </c>
      <c r="J175" s="12" t="n">
        <v>5.8</v>
      </c>
      <c r="K175" s="12" t="n">
        <v>0</v>
      </c>
      <c r="L175" s="12" t="s">
        <v>36</v>
      </c>
    </row>
    <row r="176" customFormat="false" ht="15" hidden="false" customHeight="false" outlineLevel="0" collapsed="false">
      <c r="A176" s="11" t="n">
        <v>44371</v>
      </c>
      <c r="B176" s="12" t="n">
        <v>19</v>
      </c>
      <c r="C176" s="12" t="n">
        <f aca="false">IF(NOT(ISNUMBER(B176)),"",ROUND((INDEX(BP!$D$5:$D$9,MATCH(B176,BP!$A$5:$A$9,1))-INDEX(BP!$C$5:$C$9,MATCH(B176,BP!$A$5:$A$9,1)))/(INDEX(BP!$B$5:$B$9,MATCH(B176,BP!$A$5:$A$9,1))-INDEX(BP!$A$5:$A$9,MATCH(B176,BP!$A$5:$A$9,1)))*(B176-INDEX(BP!$A$5:$A$9,MATCH(B176,BP!$A$5:$A$9,1)))+INDEX(BP!$C$5:$C$9,MATCH(B176,BP!$A$5:$A$9,1)),0))</f>
        <v>35</v>
      </c>
      <c r="D176" s="12" t="str">
        <f aca="false">IF(NOT(ISNUMBER(C176)),"",INDEX(BP!$F$5:$F$9,MATCH(C176,BP!$E$5:$E$9,1)))</f>
        <v>ดี</v>
      </c>
      <c r="E176" s="12" t="n">
        <f aca="false">YEAR(A176)</f>
        <v>2021</v>
      </c>
      <c r="F176" s="12" t="n">
        <f aca="false">MONTH(A176)</f>
        <v>6</v>
      </c>
      <c r="G176" s="12" t="n">
        <v>7</v>
      </c>
      <c r="H176" s="12" t="n">
        <v>29.5</v>
      </c>
      <c r="I176" s="12" t="n">
        <v>297</v>
      </c>
      <c r="J176" s="12" t="n">
        <v>1.2</v>
      </c>
      <c r="K176" s="12" t="n">
        <v>0</v>
      </c>
      <c r="L176" s="12" t="s">
        <v>36</v>
      </c>
    </row>
    <row r="177" customFormat="false" ht="15" hidden="false" customHeight="false" outlineLevel="0" collapsed="false">
      <c r="A177" s="11" t="n">
        <v>44372</v>
      </c>
      <c r="B177" s="12" t="n">
        <v>14</v>
      </c>
      <c r="C177" s="12" t="n">
        <f aca="false">IF(NOT(ISNUMBER(B177)),"",ROUND((INDEX(BP!$D$5:$D$9,MATCH(B177,BP!$A$5:$A$9,1))-INDEX(BP!$C$5:$C$9,MATCH(B177,BP!$A$5:$A$9,1)))/(INDEX(BP!$B$5:$B$9,MATCH(B177,BP!$A$5:$A$9,1))-INDEX(BP!$A$5:$A$9,MATCH(B177,BP!$A$5:$A$9,1)))*(B177-INDEX(BP!$A$5:$A$9,MATCH(B177,BP!$A$5:$A$9,1)))+INDEX(BP!$C$5:$C$9,MATCH(B177,BP!$A$5:$A$9,1)),0))</f>
        <v>23</v>
      </c>
      <c r="D177" s="12" t="str">
        <f aca="false">IF(NOT(ISNUMBER(C177)),"",INDEX(BP!$F$5:$F$9,MATCH(C177,BP!$E$5:$E$9,1)))</f>
        <v>ดีมาก</v>
      </c>
      <c r="E177" s="12" t="n">
        <f aca="false">YEAR(A177)</f>
        <v>2021</v>
      </c>
      <c r="F177" s="12" t="n">
        <f aca="false">MONTH(A177)</f>
        <v>6</v>
      </c>
      <c r="G177" s="12" t="n">
        <v>18.5</v>
      </c>
      <c r="H177" s="12" t="n">
        <v>40.7</v>
      </c>
      <c r="I177" s="12" t="n">
        <v>241</v>
      </c>
      <c r="J177" s="12" t="n">
        <v>0.2</v>
      </c>
      <c r="K177" s="12" t="n">
        <v>0</v>
      </c>
      <c r="L177" s="12" t="s">
        <v>36</v>
      </c>
    </row>
    <row r="178" customFormat="false" ht="15" hidden="false" customHeight="false" outlineLevel="0" collapsed="false">
      <c r="A178" s="11" t="n">
        <v>44373</v>
      </c>
      <c r="B178" s="12" t="n">
        <v>16</v>
      </c>
      <c r="C178" s="12" t="n">
        <f aca="false">IF(NOT(ISNUMBER(B178)),"",ROUND((INDEX(BP!$D$5:$D$9,MATCH(B178,BP!$A$5:$A$9,1))-INDEX(BP!$C$5:$C$9,MATCH(B178,BP!$A$5:$A$9,1)))/(INDEX(BP!$B$5:$B$9,MATCH(B178,BP!$A$5:$A$9,1))-INDEX(BP!$A$5:$A$9,MATCH(B178,BP!$A$5:$A$9,1)))*(B178-INDEX(BP!$A$5:$A$9,MATCH(B178,BP!$A$5:$A$9,1)))+INDEX(BP!$C$5:$C$9,MATCH(B178,BP!$A$5:$A$9,1)),0))</f>
        <v>28</v>
      </c>
      <c r="D178" s="12" t="str">
        <f aca="false">IF(NOT(ISNUMBER(C178)),"",INDEX(BP!$F$5:$F$9,MATCH(C178,BP!$E$5:$E$9,1)))</f>
        <v>ดี</v>
      </c>
      <c r="E178" s="12" t="n">
        <f aca="false">YEAR(A178)</f>
        <v>2021</v>
      </c>
      <c r="F178" s="12" t="n">
        <f aca="false">MONTH(A178)</f>
        <v>6</v>
      </c>
      <c r="G178" s="12" t="n">
        <v>8.5</v>
      </c>
      <c r="H178" s="12" t="n">
        <v>23.4</v>
      </c>
      <c r="I178" s="12" t="n">
        <v>197</v>
      </c>
      <c r="J178" s="12" t="n">
        <v>0.8</v>
      </c>
      <c r="K178" s="12" t="n">
        <v>0</v>
      </c>
      <c r="L178" s="12" t="s">
        <v>35</v>
      </c>
    </row>
    <row r="179" customFormat="false" ht="15" hidden="false" customHeight="false" outlineLevel="0" collapsed="false">
      <c r="A179" s="11" t="n">
        <v>44374</v>
      </c>
      <c r="B179" s="12" t="n">
        <v>19</v>
      </c>
      <c r="C179" s="12" t="n">
        <f aca="false">IF(NOT(ISNUMBER(B179)),"",ROUND((INDEX(BP!$D$5:$D$9,MATCH(B179,BP!$A$5:$A$9,1))-INDEX(BP!$C$5:$C$9,MATCH(B179,BP!$A$5:$A$9,1)))/(INDEX(BP!$B$5:$B$9,MATCH(B179,BP!$A$5:$A$9,1))-INDEX(BP!$A$5:$A$9,MATCH(B179,BP!$A$5:$A$9,1)))*(B179-INDEX(BP!$A$5:$A$9,MATCH(B179,BP!$A$5:$A$9,1)))+INDEX(BP!$C$5:$C$9,MATCH(B179,BP!$A$5:$A$9,1)),0))</f>
        <v>35</v>
      </c>
      <c r="D179" s="12" t="str">
        <f aca="false">IF(NOT(ISNUMBER(C179)),"",INDEX(BP!$F$5:$F$9,MATCH(C179,BP!$E$5:$E$9,1)))</f>
        <v>ดี</v>
      </c>
      <c r="E179" s="12" t="n">
        <f aca="false">YEAR(A179)</f>
        <v>2021</v>
      </c>
      <c r="F179" s="12" t="n">
        <f aca="false">MONTH(A179)</f>
        <v>6</v>
      </c>
      <c r="G179" s="12" t="n">
        <v>10.5</v>
      </c>
      <c r="H179" s="12" t="n">
        <v>32.4</v>
      </c>
      <c r="I179" s="12" t="n">
        <v>224</v>
      </c>
      <c r="J179" s="12" t="n">
        <v>3.4</v>
      </c>
      <c r="K179" s="12" t="n">
        <v>0.6</v>
      </c>
      <c r="L179" s="12" t="s">
        <v>35</v>
      </c>
    </row>
    <row r="180" customFormat="false" ht="15" hidden="false" customHeight="false" outlineLevel="0" collapsed="false">
      <c r="A180" s="11" t="n">
        <v>44375</v>
      </c>
      <c r="B180" s="12" t="n">
        <v>16</v>
      </c>
      <c r="C180" s="12" t="n">
        <f aca="false">IF(NOT(ISNUMBER(B180)),"",ROUND((INDEX(BP!$D$5:$D$9,MATCH(B180,BP!$A$5:$A$9,1))-INDEX(BP!$C$5:$C$9,MATCH(B180,BP!$A$5:$A$9,1)))/(INDEX(BP!$B$5:$B$9,MATCH(B180,BP!$A$5:$A$9,1))-INDEX(BP!$A$5:$A$9,MATCH(B180,BP!$A$5:$A$9,1)))*(B180-INDEX(BP!$A$5:$A$9,MATCH(B180,BP!$A$5:$A$9,1)))+INDEX(BP!$C$5:$C$9,MATCH(B180,BP!$A$5:$A$9,1)),0))</f>
        <v>28</v>
      </c>
      <c r="D180" s="12" t="str">
        <f aca="false">IF(NOT(ISNUMBER(C180)),"",INDEX(BP!$F$5:$F$9,MATCH(C180,BP!$E$5:$E$9,1)))</f>
        <v>ดี</v>
      </c>
      <c r="E180" s="12" t="n">
        <f aca="false">YEAR(A180)</f>
        <v>2021</v>
      </c>
      <c r="F180" s="12" t="n">
        <f aca="false">MONTH(A180)</f>
        <v>6</v>
      </c>
      <c r="G180" s="12" t="n">
        <v>12.8</v>
      </c>
      <c r="H180" s="12" t="n">
        <v>33.8</v>
      </c>
      <c r="I180" s="12" t="n">
        <v>244</v>
      </c>
      <c r="J180" s="12" t="n">
        <v>7.2</v>
      </c>
      <c r="K180" s="12" t="n">
        <v>0</v>
      </c>
      <c r="L180" s="12" t="s">
        <v>36</v>
      </c>
    </row>
    <row r="181" customFormat="false" ht="15" hidden="false" customHeight="false" outlineLevel="0" collapsed="false">
      <c r="A181" s="11" t="n">
        <v>44376</v>
      </c>
      <c r="B181" s="12" t="n">
        <v>14</v>
      </c>
      <c r="C181" s="12" t="n">
        <f aca="false">IF(NOT(ISNUMBER(B181)),"",ROUND((INDEX(BP!$D$5:$D$9,MATCH(B181,BP!$A$5:$A$9,1))-INDEX(BP!$C$5:$C$9,MATCH(B181,BP!$A$5:$A$9,1)))/(INDEX(BP!$B$5:$B$9,MATCH(B181,BP!$A$5:$A$9,1))-INDEX(BP!$A$5:$A$9,MATCH(B181,BP!$A$5:$A$9,1)))*(B181-INDEX(BP!$A$5:$A$9,MATCH(B181,BP!$A$5:$A$9,1)))+INDEX(BP!$C$5:$C$9,MATCH(B181,BP!$A$5:$A$9,1)),0))</f>
        <v>23</v>
      </c>
      <c r="D181" s="12" t="str">
        <f aca="false">IF(NOT(ISNUMBER(C181)),"",INDEX(BP!$F$5:$F$9,MATCH(C181,BP!$E$5:$E$9,1)))</f>
        <v>ดีมาก</v>
      </c>
      <c r="E181" s="12" t="n">
        <f aca="false">YEAR(A181)</f>
        <v>2021</v>
      </c>
      <c r="F181" s="12" t="n">
        <f aca="false">MONTH(A181)</f>
        <v>6</v>
      </c>
      <c r="G181" s="12" t="n">
        <v>16.3</v>
      </c>
      <c r="H181" s="12" t="n">
        <v>36.7</v>
      </c>
      <c r="I181" s="12" t="n">
        <v>226</v>
      </c>
      <c r="J181" s="12" t="n">
        <v>0.9</v>
      </c>
      <c r="K181" s="12" t="n">
        <v>0</v>
      </c>
      <c r="L181" s="12" t="s">
        <v>36</v>
      </c>
    </row>
    <row r="182" customFormat="false" ht="15" hidden="false" customHeight="false" outlineLevel="0" collapsed="false">
      <c r="A182" s="11" t="n">
        <v>44377</v>
      </c>
      <c r="B182" s="12" t="n">
        <v>18</v>
      </c>
      <c r="C182" s="12" t="n">
        <f aca="false">IF(NOT(ISNUMBER(B182)),"",ROUND((INDEX(BP!$D$5:$D$9,MATCH(B182,BP!$A$5:$A$9,1))-INDEX(BP!$C$5:$C$9,MATCH(B182,BP!$A$5:$A$9,1)))/(INDEX(BP!$B$5:$B$9,MATCH(B182,BP!$A$5:$A$9,1))-INDEX(BP!$A$5:$A$9,MATCH(B182,BP!$A$5:$A$9,1)))*(B182-INDEX(BP!$A$5:$A$9,MATCH(B182,BP!$A$5:$A$9,1)))+INDEX(BP!$C$5:$C$9,MATCH(B182,BP!$A$5:$A$9,1)),0))</f>
        <v>33</v>
      </c>
      <c r="D182" s="12" t="str">
        <f aca="false">IF(NOT(ISNUMBER(C182)),"",INDEX(BP!$F$5:$F$9,MATCH(C182,BP!$E$5:$E$9,1)))</f>
        <v>ดี</v>
      </c>
      <c r="E182" s="12" t="n">
        <f aca="false">YEAR(A182)</f>
        <v>2021</v>
      </c>
      <c r="F182" s="12" t="n">
        <f aca="false">MONTH(A182)</f>
        <v>6</v>
      </c>
      <c r="G182" s="12" t="n">
        <v>12.4</v>
      </c>
      <c r="H182" s="12" t="n">
        <v>29.9</v>
      </c>
      <c r="I182" s="12" t="n">
        <v>223</v>
      </c>
      <c r="J182" s="12" t="n">
        <v>4.1</v>
      </c>
      <c r="K182" s="12" t="n">
        <v>0</v>
      </c>
      <c r="L182" s="12" t="s">
        <v>36</v>
      </c>
    </row>
    <row r="183" customFormat="false" ht="15" hidden="false" customHeight="false" outlineLevel="0" collapsed="false">
      <c r="A183" s="11" t="n">
        <v>44378</v>
      </c>
      <c r="B183" s="12" t="n">
        <v>17</v>
      </c>
      <c r="C183" s="12" t="n">
        <f aca="false">IF(NOT(ISNUMBER(B183)),"",ROUND((INDEX(BP!$D$5:$D$9,MATCH(B183,BP!$A$5:$A$9,1))-INDEX(BP!$C$5:$C$9,MATCH(B183,BP!$A$5:$A$9,1)))/(INDEX(BP!$B$5:$B$9,MATCH(B183,BP!$A$5:$A$9,1))-INDEX(BP!$A$5:$A$9,MATCH(B183,BP!$A$5:$A$9,1)))*(B183-INDEX(BP!$A$5:$A$9,MATCH(B183,BP!$A$5:$A$9,1)))+INDEX(BP!$C$5:$C$9,MATCH(B183,BP!$A$5:$A$9,1)),0))</f>
        <v>31</v>
      </c>
      <c r="D183" s="12" t="str">
        <f aca="false">IF(NOT(ISNUMBER(C183)),"",INDEX(BP!$F$5:$F$9,MATCH(C183,BP!$E$5:$E$9,1)))</f>
        <v>ดี</v>
      </c>
      <c r="E183" s="12" t="n">
        <f aca="false">YEAR(A183)</f>
        <v>2021</v>
      </c>
      <c r="F183" s="12" t="n">
        <f aca="false">MONTH(A183)</f>
        <v>7</v>
      </c>
      <c r="G183" s="12" t="n">
        <v>8.4</v>
      </c>
      <c r="H183" s="12" t="n">
        <v>28.4</v>
      </c>
      <c r="I183" s="12" t="n">
        <v>226</v>
      </c>
      <c r="J183" s="12" t="n">
        <v>4</v>
      </c>
      <c r="K183" s="12" t="n">
        <v>3.8</v>
      </c>
      <c r="L183" s="12" t="s">
        <v>36</v>
      </c>
    </row>
    <row r="184" customFormat="false" ht="15" hidden="false" customHeight="false" outlineLevel="0" collapsed="false">
      <c r="A184" s="11" t="n">
        <v>44379</v>
      </c>
      <c r="B184" s="12" t="n">
        <v>19</v>
      </c>
      <c r="C184" s="12" t="n">
        <f aca="false">IF(NOT(ISNUMBER(B184)),"",ROUND((INDEX(BP!$D$5:$D$9,MATCH(B184,BP!$A$5:$A$9,1))-INDEX(BP!$C$5:$C$9,MATCH(B184,BP!$A$5:$A$9,1)))/(INDEX(BP!$B$5:$B$9,MATCH(B184,BP!$A$5:$A$9,1))-INDEX(BP!$A$5:$A$9,MATCH(B184,BP!$A$5:$A$9,1)))*(B184-INDEX(BP!$A$5:$A$9,MATCH(B184,BP!$A$5:$A$9,1)))+INDEX(BP!$C$5:$C$9,MATCH(B184,BP!$A$5:$A$9,1)),0))</f>
        <v>35</v>
      </c>
      <c r="D184" s="12" t="str">
        <f aca="false">IF(NOT(ISNUMBER(C184)),"",INDEX(BP!$F$5:$F$9,MATCH(C184,BP!$E$5:$E$9,1)))</f>
        <v>ดี</v>
      </c>
      <c r="E184" s="12" t="n">
        <f aca="false">YEAR(A184)</f>
        <v>2021</v>
      </c>
      <c r="F184" s="12" t="n">
        <f aca="false">MONTH(A184)</f>
        <v>7</v>
      </c>
      <c r="G184" s="12" t="n">
        <v>10.5</v>
      </c>
      <c r="H184" s="12" t="n">
        <v>25.9</v>
      </c>
      <c r="I184" s="12" t="n">
        <v>84</v>
      </c>
      <c r="J184" s="12" t="n">
        <v>3.7</v>
      </c>
      <c r="K184" s="12" t="n">
        <v>0</v>
      </c>
      <c r="L184" s="12" t="s">
        <v>36</v>
      </c>
    </row>
    <row r="185" customFormat="false" ht="15" hidden="false" customHeight="false" outlineLevel="0" collapsed="false">
      <c r="A185" s="11" t="n">
        <v>44380</v>
      </c>
      <c r="B185" s="12" t="n">
        <v>17</v>
      </c>
      <c r="C185" s="12" t="n">
        <f aca="false">IF(NOT(ISNUMBER(B185)),"",ROUND((INDEX(BP!$D$5:$D$9,MATCH(B185,BP!$A$5:$A$9,1))-INDEX(BP!$C$5:$C$9,MATCH(B185,BP!$A$5:$A$9,1)))/(INDEX(BP!$B$5:$B$9,MATCH(B185,BP!$A$5:$A$9,1))-INDEX(BP!$A$5:$A$9,MATCH(B185,BP!$A$5:$A$9,1)))*(B185-INDEX(BP!$A$5:$A$9,MATCH(B185,BP!$A$5:$A$9,1)))+INDEX(BP!$C$5:$C$9,MATCH(B185,BP!$A$5:$A$9,1)),0))</f>
        <v>31</v>
      </c>
      <c r="D185" s="12" t="str">
        <f aca="false">IF(NOT(ISNUMBER(C185)),"",INDEX(BP!$F$5:$F$9,MATCH(C185,BP!$E$5:$E$9,1)))</f>
        <v>ดี</v>
      </c>
      <c r="E185" s="12" t="n">
        <f aca="false">YEAR(A185)</f>
        <v>2021</v>
      </c>
      <c r="F185" s="12" t="n">
        <f aca="false">MONTH(A185)</f>
        <v>7</v>
      </c>
      <c r="G185" s="12" t="n">
        <v>12.7</v>
      </c>
      <c r="H185" s="12" t="n">
        <v>31.7</v>
      </c>
      <c r="I185" s="12" t="n">
        <v>234</v>
      </c>
      <c r="J185" s="12" t="n">
        <v>13.8</v>
      </c>
      <c r="K185" s="12" t="n">
        <v>8.4</v>
      </c>
      <c r="L185" s="12" t="s">
        <v>35</v>
      </c>
    </row>
    <row r="186" customFormat="false" ht="15" hidden="false" customHeight="false" outlineLevel="0" collapsed="false">
      <c r="A186" s="11" t="n">
        <v>44381</v>
      </c>
      <c r="B186" s="12" t="n">
        <v>16</v>
      </c>
      <c r="C186" s="12" t="n">
        <f aca="false">IF(NOT(ISNUMBER(B186)),"",ROUND((INDEX(BP!$D$5:$D$9,MATCH(B186,BP!$A$5:$A$9,1))-INDEX(BP!$C$5:$C$9,MATCH(B186,BP!$A$5:$A$9,1)))/(INDEX(BP!$B$5:$B$9,MATCH(B186,BP!$A$5:$A$9,1))-INDEX(BP!$A$5:$A$9,MATCH(B186,BP!$A$5:$A$9,1)))*(B186-INDEX(BP!$A$5:$A$9,MATCH(B186,BP!$A$5:$A$9,1)))+INDEX(BP!$C$5:$C$9,MATCH(B186,BP!$A$5:$A$9,1)),0))</f>
        <v>28</v>
      </c>
      <c r="D186" s="12" t="str">
        <f aca="false">IF(NOT(ISNUMBER(C186)),"",INDEX(BP!$F$5:$F$9,MATCH(C186,BP!$E$5:$E$9,1)))</f>
        <v>ดี</v>
      </c>
      <c r="E186" s="12" t="n">
        <f aca="false">YEAR(A186)</f>
        <v>2021</v>
      </c>
      <c r="F186" s="12" t="n">
        <f aca="false">MONTH(A186)</f>
        <v>7</v>
      </c>
      <c r="G186" s="12" t="n">
        <v>15</v>
      </c>
      <c r="H186" s="12" t="n">
        <v>34.2</v>
      </c>
      <c r="I186" s="12" t="n">
        <v>235</v>
      </c>
      <c r="J186" s="12" t="n">
        <v>1.2</v>
      </c>
      <c r="K186" s="12" t="n">
        <v>0</v>
      </c>
      <c r="L186" s="12" t="s">
        <v>35</v>
      </c>
    </row>
    <row r="187" customFormat="false" ht="15" hidden="false" customHeight="false" outlineLevel="0" collapsed="false">
      <c r="A187" s="11" t="n">
        <v>44382</v>
      </c>
      <c r="B187" s="12" t="n">
        <v>15</v>
      </c>
      <c r="C187" s="12" t="n">
        <f aca="false">IF(NOT(ISNUMBER(B187)),"",ROUND((INDEX(BP!$D$5:$D$9,MATCH(B187,BP!$A$5:$A$9,1))-INDEX(BP!$C$5:$C$9,MATCH(B187,BP!$A$5:$A$9,1)))/(INDEX(BP!$B$5:$B$9,MATCH(B187,BP!$A$5:$A$9,1))-INDEX(BP!$A$5:$A$9,MATCH(B187,BP!$A$5:$A$9,1)))*(B187-INDEX(BP!$A$5:$A$9,MATCH(B187,BP!$A$5:$A$9,1)))+INDEX(BP!$C$5:$C$9,MATCH(B187,BP!$A$5:$A$9,1)),0))</f>
        <v>25</v>
      </c>
      <c r="D187" s="12" t="str">
        <f aca="false">IF(NOT(ISNUMBER(C187)),"",INDEX(BP!$F$5:$F$9,MATCH(C187,BP!$E$5:$E$9,1)))</f>
        <v>ดีมาก</v>
      </c>
      <c r="E187" s="12" t="n">
        <f aca="false">YEAR(A187)</f>
        <v>2021</v>
      </c>
      <c r="F187" s="12" t="n">
        <f aca="false">MONTH(A187)</f>
        <v>7</v>
      </c>
      <c r="G187" s="12" t="n">
        <v>13.6</v>
      </c>
      <c r="H187" s="12" t="n">
        <v>34.6</v>
      </c>
      <c r="I187" s="12" t="n">
        <v>228</v>
      </c>
      <c r="J187" s="12" t="n">
        <v>1.5</v>
      </c>
      <c r="K187" s="12" t="n">
        <v>3.2</v>
      </c>
      <c r="L187" s="12" t="s">
        <v>36</v>
      </c>
    </row>
    <row r="188" customFormat="false" ht="15" hidden="false" customHeight="false" outlineLevel="0" collapsed="false">
      <c r="A188" s="11" t="n">
        <v>44383</v>
      </c>
      <c r="B188" s="12" t="n">
        <v>15</v>
      </c>
      <c r="C188" s="12" t="n">
        <f aca="false">IF(NOT(ISNUMBER(B188)),"",ROUND((INDEX(BP!$D$5:$D$9,MATCH(B188,BP!$A$5:$A$9,1))-INDEX(BP!$C$5:$C$9,MATCH(B188,BP!$A$5:$A$9,1)))/(INDEX(BP!$B$5:$B$9,MATCH(B188,BP!$A$5:$A$9,1))-INDEX(BP!$A$5:$A$9,MATCH(B188,BP!$A$5:$A$9,1)))*(B188-INDEX(BP!$A$5:$A$9,MATCH(B188,BP!$A$5:$A$9,1)))+INDEX(BP!$C$5:$C$9,MATCH(B188,BP!$A$5:$A$9,1)),0))</f>
        <v>25</v>
      </c>
      <c r="D188" s="12" t="str">
        <f aca="false">IF(NOT(ISNUMBER(C188)),"",INDEX(BP!$F$5:$F$9,MATCH(C188,BP!$E$5:$E$9,1)))</f>
        <v>ดีมาก</v>
      </c>
      <c r="E188" s="12" t="n">
        <f aca="false">YEAR(A188)</f>
        <v>2021</v>
      </c>
      <c r="F188" s="12" t="n">
        <f aca="false">MONTH(A188)</f>
        <v>7</v>
      </c>
      <c r="G188" s="12" t="n">
        <v>19.2</v>
      </c>
      <c r="H188" s="12" t="n">
        <v>49.3</v>
      </c>
      <c r="I188" s="12" t="n">
        <v>233</v>
      </c>
      <c r="J188" s="12" t="n">
        <v>7</v>
      </c>
      <c r="K188" s="12" t="n">
        <v>6.4</v>
      </c>
      <c r="L188" s="12" t="s">
        <v>36</v>
      </c>
    </row>
    <row r="189" customFormat="false" ht="15" hidden="false" customHeight="false" outlineLevel="0" collapsed="false">
      <c r="A189" s="11" t="n">
        <v>44384</v>
      </c>
      <c r="B189" s="12" t="n">
        <v>15</v>
      </c>
      <c r="C189" s="12" t="n">
        <f aca="false">IF(NOT(ISNUMBER(B189)),"",ROUND((INDEX(BP!$D$5:$D$9,MATCH(B189,BP!$A$5:$A$9,1))-INDEX(BP!$C$5:$C$9,MATCH(B189,BP!$A$5:$A$9,1)))/(INDEX(BP!$B$5:$B$9,MATCH(B189,BP!$A$5:$A$9,1))-INDEX(BP!$A$5:$A$9,MATCH(B189,BP!$A$5:$A$9,1)))*(B189-INDEX(BP!$A$5:$A$9,MATCH(B189,BP!$A$5:$A$9,1)))+INDEX(BP!$C$5:$C$9,MATCH(B189,BP!$A$5:$A$9,1)),0))</f>
        <v>25</v>
      </c>
      <c r="D189" s="12" t="str">
        <f aca="false">IF(NOT(ISNUMBER(C189)),"",INDEX(BP!$F$5:$F$9,MATCH(C189,BP!$E$5:$E$9,1)))</f>
        <v>ดีมาก</v>
      </c>
      <c r="E189" s="12" t="n">
        <f aca="false">YEAR(A189)</f>
        <v>2021</v>
      </c>
      <c r="F189" s="12" t="n">
        <f aca="false">MONTH(A189)</f>
        <v>7</v>
      </c>
      <c r="G189" s="12" t="n">
        <v>9.9</v>
      </c>
      <c r="H189" s="12" t="n">
        <v>31.7</v>
      </c>
      <c r="I189" s="12" t="n">
        <v>217</v>
      </c>
      <c r="J189" s="12" t="n">
        <v>1.4</v>
      </c>
      <c r="K189" s="12" t="n">
        <v>0.2</v>
      </c>
      <c r="L189" s="12" t="s">
        <v>36</v>
      </c>
    </row>
    <row r="190" customFormat="false" ht="15" hidden="false" customHeight="false" outlineLevel="0" collapsed="false">
      <c r="A190" s="11" t="n">
        <v>44385</v>
      </c>
      <c r="B190" s="12" t="n">
        <v>18</v>
      </c>
      <c r="C190" s="12" t="n">
        <f aca="false">IF(NOT(ISNUMBER(B190)),"",ROUND((INDEX(BP!$D$5:$D$9,MATCH(B190,BP!$A$5:$A$9,1))-INDEX(BP!$C$5:$C$9,MATCH(B190,BP!$A$5:$A$9,1)))/(INDEX(BP!$B$5:$B$9,MATCH(B190,BP!$A$5:$A$9,1))-INDEX(BP!$A$5:$A$9,MATCH(B190,BP!$A$5:$A$9,1)))*(B190-INDEX(BP!$A$5:$A$9,MATCH(B190,BP!$A$5:$A$9,1)))+INDEX(BP!$C$5:$C$9,MATCH(B190,BP!$A$5:$A$9,1)),0))</f>
        <v>33</v>
      </c>
      <c r="D190" s="12" t="str">
        <f aca="false">IF(NOT(ISNUMBER(C190)),"",INDEX(BP!$F$5:$F$9,MATCH(C190,BP!$E$5:$E$9,1)))</f>
        <v>ดี</v>
      </c>
      <c r="E190" s="12" t="n">
        <f aca="false">YEAR(A190)</f>
        <v>2021</v>
      </c>
      <c r="F190" s="12" t="n">
        <f aca="false">MONTH(A190)</f>
        <v>7</v>
      </c>
      <c r="G190" s="12" t="n">
        <v>12.1</v>
      </c>
      <c r="H190" s="12" t="n">
        <v>38.2</v>
      </c>
      <c r="I190" s="12" t="n">
        <v>231</v>
      </c>
      <c r="J190" s="12" t="n">
        <v>1.5</v>
      </c>
      <c r="K190" s="12" t="n">
        <v>0</v>
      </c>
      <c r="L190" s="12" t="s">
        <v>36</v>
      </c>
    </row>
    <row r="191" customFormat="false" ht="15" hidden="false" customHeight="false" outlineLevel="0" collapsed="false">
      <c r="A191" s="11" t="n">
        <v>44386</v>
      </c>
      <c r="B191" s="12" t="n">
        <v>17</v>
      </c>
      <c r="C191" s="12" t="n">
        <f aca="false">IF(NOT(ISNUMBER(B191)),"",ROUND((INDEX(BP!$D$5:$D$9,MATCH(B191,BP!$A$5:$A$9,1))-INDEX(BP!$C$5:$C$9,MATCH(B191,BP!$A$5:$A$9,1)))/(INDEX(BP!$B$5:$B$9,MATCH(B191,BP!$A$5:$A$9,1))-INDEX(BP!$A$5:$A$9,MATCH(B191,BP!$A$5:$A$9,1)))*(B191-INDEX(BP!$A$5:$A$9,MATCH(B191,BP!$A$5:$A$9,1)))+INDEX(BP!$C$5:$C$9,MATCH(B191,BP!$A$5:$A$9,1)),0))</f>
        <v>31</v>
      </c>
      <c r="D191" s="12" t="str">
        <f aca="false">IF(NOT(ISNUMBER(C191)),"",INDEX(BP!$F$5:$F$9,MATCH(C191,BP!$E$5:$E$9,1)))</f>
        <v>ดี</v>
      </c>
      <c r="E191" s="12" t="n">
        <f aca="false">YEAR(A191)</f>
        <v>2021</v>
      </c>
      <c r="F191" s="12" t="n">
        <f aca="false">MONTH(A191)</f>
        <v>7</v>
      </c>
      <c r="G191" s="12" t="n">
        <v>13.8</v>
      </c>
      <c r="H191" s="12" t="n">
        <v>36.7</v>
      </c>
      <c r="I191" s="12" t="n">
        <v>227</v>
      </c>
      <c r="J191" s="12" t="n">
        <v>16.8</v>
      </c>
      <c r="K191" s="12" t="n">
        <v>40.6</v>
      </c>
      <c r="L191" s="12" t="s">
        <v>36</v>
      </c>
    </row>
    <row r="192" customFormat="false" ht="15" hidden="false" customHeight="false" outlineLevel="0" collapsed="false">
      <c r="A192" s="11" t="n">
        <v>44387</v>
      </c>
      <c r="B192" s="12" t="n">
        <v>10</v>
      </c>
      <c r="C192" s="12" t="n">
        <f aca="false">IF(NOT(ISNUMBER(B192)),"",ROUND((INDEX(BP!$D$5:$D$9,MATCH(B192,BP!$A$5:$A$9,1))-INDEX(BP!$C$5:$C$9,MATCH(B192,BP!$A$5:$A$9,1)))/(INDEX(BP!$B$5:$B$9,MATCH(B192,BP!$A$5:$A$9,1))-INDEX(BP!$A$5:$A$9,MATCH(B192,BP!$A$5:$A$9,1)))*(B192-INDEX(BP!$A$5:$A$9,MATCH(B192,BP!$A$5:$A$9,1)))+INDEX(BP!$C$5:$C$9,MATCH(B192,BP!$A$5:$A$9,1)),0))</f>
        <v>17</v>
      </c>
      <c r="D192" s="12" t="str">
        <f aca="false">IF(NOT(ISNUMBER(C192)),"",INDEX(BP!$F$5:$F$9,MATCH(C192,BP!$E$5:$E$9,1)))</f>
        <v>ดีมาก</v>
      </c>
      <c r="E192" s="12" t="n">
        <f aca="false">YEAR(A192)</f>
        <v>2021</v>
      </c>
      <c r="F192" s="12" t="n">
        <f aca="false">MONTH(A192)</f>
        <v>7</v>
      </c>
      <c r="G192" s="12" t="n">
        <v>9.7</v>
      </c>
      <c r="H192" s="12" t="n">
        <v>39.2</v>
      </c>
      <c r="I192" s="12" t="n">
        <v>201</v>
      </c>
      <c r="J192" s="12" t="n">
        <v>19.8</v>
      </c>
      <c r="K192" s="12" t="n">
        <v>0</v>
      </c>
      <c r="L192" s="12" t="s">
        <v>35</v>
      </c>
    </row>
    <row r="193" customFormat="false" ht="15" hidden="false" customHeight="false" outlineLevel="0" collapsed="false">
      <c r="A193" s="11" t="n">
        <v>44388</v>
      </c>
      <c r="B193" s="12" t="n">
        <v>11</v>
      </c>
      <c r="C193" s="12" t="n">
        <f aca="false">IF(NOT(ISNUMBER(B193)),"",ROUND((INDEX(BP!$D$5:$D$9,MATCH(B193,BP!$A$5:$A$9,1))-INDEX(BP!$C$5:$C$9,MATCH(B193,BP!$A$5:$A$9,1)))/(INDEX(BP!$B$5:$B$9,MATCH(B193,BP!$A$5:$A$9,1))-INDEX(BP!$A$5:$A$9,MATCH(B193,BP!$A$5:$A$9,1)))*(B193-INDEX(BP!$A$5:$A$9,MATCH(B193,BP!$A$5:$A$9,1)))+INDEX(BP!$C$5:$C$9,MATCH(B193,BP!$A$5:$A$9,1)),0))</f>
        <v>18</v>
      </c>
      <c r="D193" s="12" t="str">
        <f aca="false">IF(NOT(ISNUMBER(C193)),"",INDEX(BP!$F$5:$F$9,MATCH(C193,BP!$E$5:$E$9,1)))</f>
        <v>ดีมาก</v>
      </c>
      <c r="E193" s="12" t="n">
        <f aca="false">YEAR(A193)</f>
        <v>2021</v>
      </c>
      <c r="F193" s="12" t="n">
        <f aca="false">MONTH(A193)</f>
        <v>7</v>
      </c>
      <c r="G193" s="12" t="n">
        <v>15.3</v>
      </c>
      <c r="H193" s="12" t="n">
        <v>40</v>
      </c>
      <c r="I193" s="12" t="n">
        <v>216</v>
      </c>
      <c r="J193" s="12" t="n">
        <v>5</v>
      </c>
      <c r="K193" s="12" t="n">
        <v>0</v>
      </c>
      <c r="L193" s="12" t="s">
        <v>35</v>
      </c>
    </row>
    <row r="194" customFormat="false" ht="15" hidden="false" customHeight="false" outlineLevel="0" collapsed="false">
      <c r="A194" s="11" t="n">
        <v>44389</v>
      </c>
      <c r="B194" s="12" t="n">
        <v>17</v>
      </c>
      <c r="C194" s="12" t="n">
        <f aca="false">IF(NOT(ISNUMBER(B194)),"",ROUND((INDEX(BP!$D$5:$D$9,MATCH(B194,BP!$A$5:$A$9,1))-INDEX(BP!$C$5:$C$9,MATCH(B194,BP!$A$5:$A$9,1)))/(INDEX(BP!$B$5:$B$9,MATCH(B194,BP!$A$5:$A$9,1))-INDEX(BP!$A$5:$A$9,MATCH(B194,BP!$A$5:$A$9,1)))*(B194-INDEX(BP!$A$5:$A$9,MATCH(B194,BP!$A$5:$A$9,1)))+INDEX(BP!$C$5:$C$9,MATCH(B194,BP!$A$5:$A$9,1)),0))</f>
        <v>31</v>
      </c>
      <c r="D194" s="12" t="str">
        <f aca="false">IF(NOT(ISNUMBER(C194)),"",INDEX(BP!$F$5:$F$9,MATCH(C194,BP!$E$5:$E$9,1)))</f>
        <v>ดี</v>
      </c>
      <c r="E194" s="12" t="n">
        <f aca="false">YEAR(A194)</f>
        <v>2021</v>
      </c>
      <c r="F194" s="12" t="n">
        <f aca="false">MONTH(A194)</f>
        <v>7</v>
      </c>
      <c r="G194" s="12" t="n">
        <v>12.1</v>
      </c>
      <c r="H194" s="12" t="n">
        <v>25.9</v>
      </c>
      <c r="I194" s="12" t="n">
        <v>219</v>
      </c>
      <c r="J194" s="12" t="n">
        <v>1.2</v>
      </c>
      <c r="K194" s="12" t="n">
        <v>0</v>
      </c>
      <c r="L194" s="12" t="s">
        <v>36</v>
      </c>
    </row>
    <row r="195" customFormat="false" ht="15" hidden="false" customHeight="false" outlineLevel="0" collapsed="false">
      <c r="A195" s="11" t="n">
        <v>44390</v>
      </c>
      <c r="B195" s="12" t="n">
        <v>15</v>
      </c>
      <c r="C195" s="12" t="n">
        <f aca="false">IF(NOT(ISNUMBER(B195)),"",ROUND((INDEX(BP!$D$5:$D$9,MATCH(B195,BP!$A$5:$A$9,1))-INDEX(BP!$C$5:$C$9,MATCH(B195,BP!$A$5:$A$9,1)))/(INDEX(BP!$B$5:$B$9,MATCH(B195,BP!$A$5:$A$9,1))-INDEX(BP!$A$5:$A$9,MATCH(B195,BP!$A$5:$A$9,1)))*(B195-INDEX(BP!$A$5:$A$9,MATCH(B195,BP!$A$5:$A$9,1)))+INDEX(BP!$C$5:$C$9,MATCH(B195,BP!$A$5:$A$9,1)),0))</f>
        <v>25</v>
      </c>
      <c r="D195" s="12" t="str">
        <f aca="false">IF(NOT(ISNUMBER(C195)),"",INDEX(BP!$F$5:$F$9,MATCH(C195,BP!$E$5:$E$9,1)))</f>
        <v>ดีมาก</v>
      </c>
      <c r="E195" s="12" t="n">
        <f aca="false">YEAR(A195)</f>
        <v>2021</v>
      </c>
      <c r="F195" s="12" t="n">
        <f aca="false">MONTH(A195)</f>
        <v>7</v>
      </c>
      <c r="G195" s="12" t="n">
        <v>11.8</v>
      </c>
      <c r="H195" s="12" t="n">
        <v>27.4</v>
      </c>
      <c r="I195" s="12" t="n">
        <v>184</v>
      </c>
      <c r="J195" s="12" t="n">
        <v>14.3</v>
      </c>
      <c r="K195" s="12" t="n">
        <v>2.8</v>
      </c>
      <c r="L195" s="12" t="s">
        <v>36</v>
      </c>
    </row>
    <row r="196" customFormat="false" ht="15" hidden="false" customHeight="false" outlineLevel="0" collapsed="false">
      <c r="A196" s="11" t="n">
        <v>44391</v>
      </c>
      <c r="B196" s="12" t="n">
        <v>19</v>
      </c>
      <c r="C196" s="12" t="n">
        <f aca="false">IF(NOT(ISNUMBER(B196)),"",ROUND((INDEX(BP!$D$5:$D$9,MATCH(B196,BP!$A$5:$A$9,1))-INDEX(BP!$C$5:$C$9,MATCH(B196,BP!$A$5:$A$9,1)))/(INDEX(BP!$B$5:$B$9,MATCH(B196,BP!$A$5:$A$9,1))-INDEX(BP!$A$5:$A$9,MATCH(B196,BP!$A$5:$A$9,1)))*(B196-INDEX(BP!$A$5:$A$9,MATCH(B196,BP!$A$5:$A$9,1)))+INDEX(BP!$C$5:$C$9,MATCH(B196,BP!$A$5:$A$9,1)),0))</f>
        <v>35</v>
      </c>
      <c r="D196" s="12" t="str">
        <f aca="false">IF(NOT(ISNUMBER(C196)),"",INDEX(BP!$F$5:$F$9,MATCH(C196,BP!$E$5:$E$9,1)))</f>
        <v>ดี</v>
      </c>
      <c r="E196" s="12" t="n">
        <f aca="false">YEAR(A196)</f>
        <v>2021</v>
      </c>
      <c r="F196" s="12" t="n">
        <f aca="false">MONTH(A196)</f>
        <v>7</v>
      </c>
      <c r="G196" s="12" t="n">
        <v>13</v>
      </c>
      <c r="H196" s="12" t="n">
        <v>24.5</v>
      </c>
      <c r="I196" s="12" t="n">
        <v>197</v>
      </c>
      <c r="J196" s="12" t="n">
        <v>3.7</v>
      </c>
      <c r="K196" s="12" t="n">
        <v>0.8</v>
      </c>
      <c r="L196" s="12" t="s">
        <v>36</v>
      </c>
    </row>
    <row r="197" customFormat="false" ht="15" hidden="false" customHeight="false" outlineLevel="0" collapsed="false">
      <c r="A197" s="11" t="n">
        <v>44392</v>
      </c>
      <c r="B197" s="12" t="n">
        <v>18</v>
      </c>
      <c r="C197" s="12" t="n">
        <f aca="false">IF(NOT(ISNUMBER(B197)),"",ROUND((INDEX(BP!$D$5:$D$9,MATCH(B197,BP!$A$5:$A$9,1))-INDEX(BP!$C$5:$C$9,MATCH(B197,BP!$A$5:$A$9,1)))/(INDEX(BP!$B$5:$B$9,MATCH(B197,BP!$A$5:$A$9,1))-INDEX(BP!$A$5:$A$9,MATCH(B197,BP!$A$5:$A$9,1)))*(B197-INDEX(BP!$A$5:$A$9,MATCH(B197,BP!$A$5:$A$9,1)))+INDEX(BP!$C$5:$C$9,MATCH(B197,BP!$A$5:$A$9,1)),0))</f>
        <v>33</v>
      </c>
      <c r="D197" s="12" t="str">
        <f aca="false">IF(NOT(ISNUMBER(C197)),"",INDEX(BP!$F$5:$F$9,MATCH(C197,BP!$E$5:$E$9,1)))</f>
        <v>ดี</v>
      </c>
      <c r="E197" s="12" t="n">
        <f aca="false">YEAR(A197)</f>
        <v>2021</v>
      </c>
      <c r="F197" s="12" t="n">
        <f aca="false">MONTH(A197)</f>
        <v>7</v>
      </c>
      <c r="G197" s="12" t="n">
        <v>11</v>
      </c>
      <c r="H197" s="12" t="n">
        <v>28.4</v>
      </c>
      <c r="I197" s="12" t="n">
        <v>211</v>
      </c>
      <c r="J197" s="12" t="n">
        <v>5.5</v>
      </c>
      <c r="K197" s="12" t="n">
        <v>0</v>
      </c>
      <c r="L197" s="12" t="s">
        <v>36</v>
      </c>
    </row>
    <row r="198" customFormat="false" ht="15" hidden="false" customHeight="false" outlineLevel="0" collapsed="false">
      <c r="A198" s="11" t="n">
        <v>44393</v>
      </c>
      <c r="B198" s="12" t="n">
        <v>15</v>
      </c>
      <c r="C198" s="12" t="n">
        <f aca="false">IF(NOT(ISNUMBER(B198)),"",ROUND((INDEX(BP!$D$5:$D$9,MATCH(B198,BP!$A$5:$A$9,1))-INDEX(BP!$C$5:$C$9,MATCH(B198,BP!$A$5:$A$9,1)))/(INDEX(BP!$B$5:$B$9,MATCH(B198,BP!$A$5:$A$9,1))-INDEX(BP!$A$5:$A$9,MATCH(B198,BP!$A$5:$A$9,1)))*(B198-INDEX(BP!$A$5:$A$9,MATCH(B198,BP!$A$5:$A$9,1)))+INDEX(BP!$C$5:$C$9,MATCH(B198,BP!$A$5:$A$9,1)),0))</f>
        <v>25</v>
      </c>
      <c r="D198" s="12" t="str">
        <f aca="false">IF(NOT(ISNUMBER(C198)),"",INDEX(BP!$F$5:$F$9,MATCH(C198,BP!$E$5:$E$9,1)))</f>
        <v>ดีมาก</v>
      </c>
      <c r="E198" s="12" t="n">
        <f aca="false">YEAR(A198)</f>
        <v>2021</v>
      </c>
      <c r="F198" s="12" t="n">
        <f aca="false">MONTH(A198)</f>
        <v>7</v>
      </c>
      <c r="G198" s="12" t="n">
        <v>10.6</v>
      </c>
      <c r="H198" s="12" t="n">
        <v>26.3</v>
      </c>
      <c r="I198" s="12" t="n">
        <v>104</v>
      </c>
      <c r="J198" s="12" t="n">
        <v>0.5</v>
      </c>
      <c r="K198" s="12" t="n">
        <v>0</v>
      </c>
      <c r="L198" s="12" t="s">
        <v>36</v>
      </c>
    </row>
    <row r="199" customFormat="false" ht="15" hidden="false" customHeight="false" outlineLevel="0" collapsed="false">
      <c r="A199" s="11" t="n">
        <v>44394</v>
      </c>
      <c r="B199" s="12" t="n">
        <v>26</v>
      </c>
      <c r="C199" s="12" t="n">
        <f aca="false">IF(NOT(ISNUMBER(B199)),"",ROUND((INDEX(BP!$D$5:$D$9,MATCH(B199,BP!$A$5:$A$9,1))-INDEX(BP!$C$5:$C$9,MATCH(B199,BP!$A$5:$A$9,1)))/(INDEX(BP!$B$5:$B$9,MATCH(B199,BP!$A$5:$A$9,1))-INDEX(BP!$A$5:$A$9,MATCH(B199,BP!$A$5:$A$9,1)))*(B199-INDEX(BP!$A$5:$A$9,MATCH(B199,BP!$A$5:$A$9,1)))+INDEX(BP!$C$5:$C$9,MATCH(B199,BP!$A$5:$A$9,1)),0))</f>
        <v>55</v>
      </c>
      <c r="D199" s="12" t="str">
        <f aca="false">IF(NOT(ISNUMBER(C199)),"",INDEX(BP!$F$5:$F$9,MATCH(C199,BP!$E$5:$E$9,1)))</f>
        <v>ปานกลาง</v>
      </c>
      <c r="E199" s="12" t="n">
        <f aca="false">YEAR(A199)</f>
        <v>2021</v>
      </c>
      <c r="F199" s="12" t="n">
        <f aca="false">MONTH(A199)</f>
        <v>7</v>
      </c>
      <c r="G199" s="12" t="n">
        <v>6.1</v>
      </c>
      <c r="H199" s="12" t="n">
        <v>17.6</v>
      </c>
      <c r="I199" s="12" t="n">
        <v>196</v>
      </c>
      <c r="J199" s="12" t="n">
        <v>0.2</v>
      </c>
      <c r="K199" s="12" t="n">
        <v>0</v>
      </c>
      <c r="L199" s="12" t="s">
        <v>35</v>
      </c>
    </row>
    <row r="200" customFormat="false" ht="15" hidden="false" customHeight="false" outlineLevel="0" collapsed="false">
      <c r="A200" s="11" t="n">
        <v>44395</v>
      </c>
      <c r="B200" s="12" t="n">
        <v>31</v>
      </c>
      <c r="C200" s="12" t="n">
        <f aca="false">IF(NOT(ISNUMBER(B200)),"",ROUND((INDEX(BP!$D$5:$D$9,MATCH(B200,BP!$A$5:$A$9,1))-INDEX(BP!$C$5:$C$9,MATCH(B200,BP!$A$5:$A$9,1)))/(INDEX(BP!$B$5:$B$9,MATCH(B200,BP!$A$5:$A$9,1))-INDEX(BP!$A$5:$A$9,MATCH(B200,BP!$A$5:$A$9,1)))*(B200-INDEX(BP!$A$5:$A$9,MATCH(B200,BP!$A$5:$A$9,1)))+INDEX(BP!$C$5:$C$9,MATCH(B200,BP!$A$5:$A$9,1)),0))</f>
        <v>74</v>
      </c>
      <c r="D200" s="12" t="str">
        <f aca="false">IF(NOT(ISNUMBER(C200)),"",INDEX(BP!$F$5:$F$9,MATCH(C200,BP!$E$5:$E$9,1)))</f>
        <v>ปานกลาง</v>
      </c>
      <c r="E200" s="12" t="n">
        <f aca="false">YEAR(A200)</f>
        <v>2021</v>
      </c>
      <c r="F200" s="12" t="n">
        <f aca="false">MONTH(A200)</f>
        <v>7</v>
      </c>
      <c r="G200" s="12" t="n">
        <v>9.2</v>
      </c>
      <c r="H200" s="12" t="n">
        <v>25.6</v>
      </c>
      <c r="I200" s="12" t="n">
        <v>236</v>
      </c>
      <c r="J200" s="12" t="n">
        <v>0.2</v>
      </c>
      <c r="K200" s="12" t="n">
        <v>0</v>
      </c>
      <c r="L200" s="12" t="s">
        <v>35</v>
      </c>
    </row>
    <row r="201" customFormat="false" ht="15" hidden="false" customHeight="false" outlineLevel="0" collapsed="false">
      <c r="A201" s="11" t="n">
        <v>44396</v>
      </c>
      <c r="B201" s="12" t="n">
        <v>31</v>
      </c>
      <c r="C201" s="12" t="n">
        <f aca="false">IF(NOT(ISNUMBER(B201)),"",ROUND((INDEX(BP!$D$5:$D$9,MATCH(B201,BP!$A$5:$A$9,1))-INDEX(BP!$C$5:$C$9,MATCH(B201,BP!$A$5:$A$9,1)))/(INDEX(BP!$B$5:$B$9,MATCH(B201,BP!$A$5:$A$9,1))-INDEX(BP!$A$5:$A$9,MATCH(B201,BP!$A$5:$A$9,1)))*(B201-INDEX(BP!$A$5:$A$9,MATCH(B201,BP!$A$5:$A$9,1)))+INDEX(BP!$C$5:$C$9,MATCH(B201,BP!$A$5:$A$9,1)),0))</f>
        <v>74</v>
      </c>
      <c r="D201" s="12" t="str">
        <f aca="false">IF(NOT(ISNUMBER(C201)),"",INDEX(BP!$F$5:$F$9,MATCH(C201,BP!$E$5:$E$9,1)))</f>
        <v>ปานกลาง</v>
      </c>
      <c r="E201" s="12" t="n">
        <f aca="false">YEAR(A201)</f>
        <v>2021</v>
      </c>
      <c r="F201" s="12" t="n">
        <f aca="false">MONTH(A201)</f>
        <v>7</v>
      </c>
      <c r="G201" s="12" t="n">
        <v>11.8</v>
      </c>
      <c r="H201" s="12" t="n">
        <v>25.2</v>
      </c>
      <c r="I201" s="12" t="n">
        <v>229</v>
      </c>
      <c r="J201" s="12" t="n">
        <v>0.2</v>
      </c>
      <c r="K201" s="12" t="n">
        <v>0</v>
      </c>
      <c r="L201" s="12" t="s">
        <v>36</v>
      </c>
    </row>
    <row r="202" customFormat="false" ht="15" hidden="false" customHeight="false" outlineLevel="0" collapsed="false">
      <c r="A202" s="11" t="n">
        <v>44397</v>
      </c>
      <c r="B202" s="12" t="n">
        <v>24</v>
      </c>
      <c r="C202" s="12" t="n">
        <f aca="false">IF(NOT(ISNUMBER(B202)),"",ROUND((INDEX(BP!$D$5:$D$9,MATCH(B202,BP!$A$5:$A$9,1))-INDEX(BP!$C$5:$C$9,MATCH(B202,BP!$A$5:$A$9,1)))/(INDEX(BP!$B$5:$B$9,MATCH(B202,BP!$A$5:$A$9,1))-INDEX(BP!$A$5:$A$9,MATCH(B202,BP!$A$5:$A$9,1)))*(B202-INDEX(BP!$A$5:$A$9,MATCH(B202,BP!$A$5:$A$9,1)))+INDEX(BP!$C$5:$C$9,MATCH(B202,BP!$A$5:$A$9,1)),0))</f>
        <v>48</v>
      </c>
      <c r="D202" s="12" t="str">
        <f aca="false">IF(NOT(ISNUMBER(C202)),"",INDEX(BP!$F$5:$F$9,MATCH(C202,BP!$E$5:$E$9,1)))</f>
        <v>ดี</v>
      </c>
      <c r="E202" s="12" t="n">
        <f aca="false">YEAR(A202)</f>
        <v>2021</v>
      </c>
      <c r="F202" s="12" t="n">
        <f aca="false">MONTH(A202)</f>
        <v>7</v>
      </c>
      <c r="G202" s="12" t="n">
        <v>14</v>
      </c>
      <c r="H202" s="12" t="n">
        <v>30.2</v>
      </c>
      <c r="I202" s="12" t="n">
        <v>236</v>
      </c>
      <c r="J202" s="12" t="n">
        <v>0</v>
      </c>
      <c r="K202" s="12" t="n">
        <v>0</v>
      </c>
      <c r="L202" s="12" t="s">
        <v>36</v>
      </c>
    </row>
    <row r="203" customFormat="false" ht="15" hidden="false" customHeight="false" outlineLevel="0" collapsed="false">
      <c r="A203" s="11" t="n">
        <v>44398</v>
      </c>
      <c r="B203" s="12" t="n">
        <v>30</v>
      </c>
      <c r="C203" s="12" t="n">
        <f aca="false">IF(NOT(ISNUMBER(B203)),"",ROUND((INDEX(BP!$D$5:$D$9,MATCH(B203,BP!$A$5:$A$9,1))-INDEX(BP!$C$5:$C$9,MATCH(B203,BP!$A$5:$A$9,1)))/(INDEX(BP!$B$5:$B$9,MATCH(B203,BP!$A$5:$A$9,1))-INDEX(BP!$A$5:$A$9,MATCH(B203,BP!$A$5:$A$9,1)))*(B203-INDEX(BP!$A$5:$A$9,MATCH(B203,BP!$A$5:$A$9,1)))+INDEX(BP!$C$5:$C$9,MATCH(B203,BP!$A$5:$A$9,1)),0))</f>
        <v>70</v>
      </c>
      <c r="D203" s="12" t="str">
        <f aca="false">IF(NOT(ISNUMBER(C203)),"",INDEX(BP!$F$5:$F$9,MATCH(C203,BP!$E$5:$E$9,1)))</f>
        <v>ปานกลาง</v>
      </c>
      <c r="E203" s="12" t="n">
        <f aca="false">YEAR(A203)</f>
        <v>2021</v>
      </c>
      <c r="F203" s="12" t="n">
        <f aca="false">MONTH(A203)</f>
        <v>7</v>
      </c>
      <c r="G203" s="12" t="n">
        <v>18.9</v>
      </c>
      <c r="H203" s="12" t="n">
        <v>38.9</v>
      </c>
      <c r="I203" s="12" t="n">
        <v>238</v>
      </c>
      <c r="J203" s="12" t="n">
        <v>0</v>
      </c>
      <c r="K203" s="12" t="n">
        <v>0</v>
      </c>
      <c r="L203" s="12" t="s">
        <v>36</v>
      </c>
    </row>
    <row r="204" customFormat="false" ht="15" hidden="false" customHeight="false" outlineLevel="0" collapsed="false">
      <c r="A204" s="11" t="n">
        <v>44399</v>
      </c>
      <c r="B204" s="12" t="n">
        <v>26</v>
      </c>
      <c r="C204" s="12" t="n">
        <f aca="false">IF(NOT(ISNUMBER(B204)),"",ROUND((INDEX(BP!$D$5:$D$9,MATCH(B204,BP!$A$5:$A$9,1))-INDEX(BP!$C$5:$C$9,MATCH(B204,BP!$A$5:$A$9,1)))/(INDEX(BP!$B$5:$B$9,MATCH(B204,BP!$A$5:$A$9,1))-INDEX(BP!$A$5:$A$9,MATCH(B204,BP!$A$5:$A$9,1)))*(B204-INDEX(BP!$A$5:$A$9,MATCH(B204,BP!$A$5:$A$9,1)))+INDEX(BP!$C$5:$C$9,MATCH(B204,BP!$A$5:$A$9,1)),0))</f>
        <v>55</v>
      </c>
      <c r="D204" s="12" t="str">
        <f aca="false">IF(NOT(ISNUMBER(C204)),"",INDEX(BP!$F$5:$F$9,MATCH(C204,BP!$E$5:$E$9,1)))</f>
        <v>ปานกลาง</v>
      </c>
      <c r="E204" s="12" t="n">
        <f aca="false">YEAR(A204)</f>
        <v>2021</v>
      </c>
      <c r="F204" s="12" t="n">
        <f aca="false">MONTH(A204)</f>
        <v>7</v>
      </c>
      <c r="G204" s="12" t="n">
        <v>10.9</v>
      </c>
      <c r="H204" s="12" t="n">
        <v>24.1</v>
      </c>
      <c r="I204" s="12" t="n">
        <v>214</v>
      </c>
      <c r="J204" s="12" t="n">
        <v>1</v>
      </c>
      <c r="K204" s="12" t="n">
        <v>0</v>
      </c>
      <c r="L204" s="12" t="s">
        <v>36</v>
      </c>
    </row>
    <row r="205" customFormat="false" ht="15" hidden="false" customHeight="false" outlineLevel="0" collapsed="false">
      <c r="A205" s="11" t="n">
        <v>44400</v>
      </c>
      <c r="B205" s="12" t="n">
        <v>27</v>
      </c>
      <c r="C205" s="12" t="n">
        <f aca="false">IF(NOT(ISNUMBER(B205)),"",ROUND((INDEX(BP!$D$5:$D$9,MATCH(B205,BP!$A$5:$A$9,1))-INDEX(BP!$C$5:$C$9,MATCH(B205,BP!$A$5:$A$9,1)))/(INDEX(BP!$B$5:$B$9,MATCH(B205,BP!$A$5:$A$9,1))-INDEX(BP!$A$5:$A$9,MATCH(B205,BP!$A$5:$A$9,1)))*(B205-INDEX(BP!$A$5:$A$9,MATCH(B205,BP!$A$5:$A$9,1)))+INDEX(BP!$C$5:$C$9,MATCH(B205,BP!$A$5:$A$9,1)),0))</f>
        <v>59</v>
      </c>
      <c r="D205" s="12" t="str">
        <f aca="false">IF(NOT(ISNUMBER(C205)),"",INDEX(BP!$F$5:$F$9,MATCH(C205,BP!$E$5:$E$9,1)))</f>
        <v>ปานกลาง</v>
      </c>
      <c r="E205" s="12" t="n">
        <f aca="false">YEAR(A205)</f>
        <v>2021</v>
      </c>
      <c r="F205" s="12" t="n">
        <f aca="false">MONTH(A205)</f>
        <v>7</v>
      </c>
      <c r="G205" s="12" t="n">
        <v>20.7</v>
      </c>
      <c r="H205" s="12" t="n">
        <v>47.5</v>
      </c>
      <c r="I205" s="12" t="n">
        <v>240</v>
      </c>
      <c r="J205" s="12" t="n">
        <v>0</v>
      </c>
      <c r="K205" s="12" t="n">
        <v>0</v>
      </c>
      <c r="L205" s="12" t="s">
        <v>36</v>
      </c>
    </row>
    <row r="206" customFormat="false" ht="15" hidden="false" customHeight="false" outlineLevel="0" collapsed="false">
      <c r="A206" s="11" t="n">
        <v>44401</v>
      </c>
      <c r="B206" s="12" t="n">
        <v>19</v>
      </c>
      <c r="C206" s="12" t="n">
        <f aca="false">IF(NOT(ISNUMBER(B206)),"",ROUND((INDEX(BP!$D$5:$D$9,MATCH(B206,BP!$A$5:$A$9,1))-INDEX(BP!$C$5:$C$9,MATCH(B206,BP!$A$5:$A$9,1)))/(INDEX(BP!$B$5:$B$9,MATCH(B206,BP!$A$5:$A$9,1))-INDEX(BP!$A$5:$A$9,MATCH(B206,BP!$A$5:$A$9,1)))*(B206-INDEX(BP!$A$5:$A$9,MATCH(B206,BP!$A$5:$A$9,1)))+INDEX(BP!$C$5:$C$9,MATCH(B206,BP!$A$5:$A$9,1)),0))</f>
        <v>35</v>
      </c>
      <c r="D206" s="12" t="str">
        <f aca="false">IF(NOT(ISNUMBER(C206)),"",INDEX(BP!$F$5:$F$9,MATCH(C206,BP!$E$5:$E$9,1)))</f>
        <v>ดี</v>
      </c>
      <c r="E206" s="12" t="n">
        <f aca="false">YEAR(A206)</f>
        <v>2021</v>
      </c>
      <c r="F206" s="12" t="n">
        <f aca="false">MONTH(A206)</f>
        <v>7</v>
      </c>
      <c r="G206" s="12" t="n">
        <v>19.5</v>
      </c>
      <c r="H206" s="12" t="n">
        <v>47.2</v>
      </c>
      <c r="I206" s="12" t="n">
        <v>237</v>
      </c>
      <c r="J206" s="12" t="n">
        <v>0.3</v>
      </c>
      <c r="K206" s="12" t="n">
        <v>0</v>
      </c>
      <c r="L206" s="12" t="s">
        <v>35</v>
      </c>
    </row>
    <row r="207" customFormat="false" ht="15" hidden="false" customHeight="false" outlineLevel="0" collapsed="false">
      <c r="A207" s="11" t="n">
        <v>44402</v>
      </c>
      <c r="B207" s="12" t="n">
        <v>18</v>
      </c>
      <c r="C207" s="12" t="n">
        <f aca="false">IF(NOT(ISNUMBER(B207)),"",ROUND((INDEX(BP!$D$5:$D$9,MATCH(B207,BP!$A$5:$A$9,1))-INDEX(BP!$C$5:$C$9,MATCH(B207,BP!$A$5:$A$9,1)))/(INDEX(BP!$B$5:$B$9,MATCH(B207,BP!$A$5:$A$9,1))-INDEX(BP!$A$5:$A$9,MATCH(B207,BP!$A$5:$A$9,1)))*(B207-INDEX(BP!$A$5:$A$9,MATCH(B207,BP!$A$5:$A$9,1)))+INDEX(BP!$C$5:$C$9,MATCH(B207,BP!$A$5:$A$9,1)),0))</f>
        <v>33</v>
      </c>
      <c r="D207" s="12" t="str">
        <f aca="false">IF(NOT(ISNUMBER(C207)),"",INDEX(BP!$F$5:$F$9,MATCH(C207,BP!$E$5:$E$9,1)))</f>
        <v>ดี</v>
      </c>
      <c r="E207" s="12" t="n">
        <f aca="false">YEAR(A207)</f>
        <v>2021</v>
      </c>
      <c r="F207" s="12" t="n">
        <f aca="false">MONTH(A207)</f>
        <v>7</v>
      </c>
      <c r="G207" s="12" t="n">
        <v>18.3</v>
      </c>
      <c r="H207" s="12" t="n">
        <v>40.7</v>
      </c>
      <c r="I207" s="12" t="n">
        <v>246</v>
      </c>
      <c r="J207" s="12" t="n">
        <v>0.1</v>
      </c>
      <c r="K207" s="12" t="n">
        <v>0</v>
      </c>
      <c r="L207" s="12" t="s">
        <v>35</v>
      </c>
    </row>
    <row r="208" customFormat="false" ht="15" hidden="false" customHeight="false" outlineLevel="0" collapsed="false">
      <c r="A208" s="11" t="n">
        <v>44403</v>
      </c>
      <c r="B208" s="12" t="n">
        <v>20</v>
      </c>
      <c r="C208" s="12" t="n">
        <f aca="false">IF(NOT(ISNUMBER(B208)),"",ROUND((INDEX(BP!$D$5:$D$9,MATCH(B208,BP!$A$5:$A$9,1))-INDEX(BP!$C$5:$C$9,MATCH(B208,BP!$A$5:$A$9,1)))/(INDEX(BP!$B$5:$B$9,MATCH(B208,BP!$A$5:$A$9,1))-INDEX(BP!$A$5:$A$9,MATCH(B208,BP!$A$5:$A$9,1)))*(B208-INDEX(BP!$A$5:$A$9,MATCH(B208,BP!$A$5:$A$9,1)))+INDEX(BP!$C$5:$C$9,MATCH(B208,BP!$A$5:$A$9,1)),0))</f>
        <v>38</v>
      </c>
      <c r="D208" s="12" t="str">
        <f aca="false">IF(NOT(ISNUMBER(C208)),"",INDEX(BP!$F$5:$F$9,MATCH(C208,BP!$E$5:$E$9,1)))</f>
        <v>ดี</v>
      </c>
      <c r="E208" s="12" t="n">
        <f aca="false">YEAR(A208)</f>
        <v>2021</v>
      </c>
      <c r="F208" s="12" t="n">
        <f aca="false">MONTH(A208)</f>
        <v>7</v>
      </c>
      <c r="G208" s="12" t="n">
        <v>18.1</v>
      </c>
      <c r="H208" s="12" t="n">
        <v>41.4</v>
      </c>
      <c r="I208" s="12" t="n">
        <v>243</v>
      </c>
      <c r="J208" s="12" t="n">
        <v>0</v>
      </c>
      <c r="K208" s="12" t="n">
        <v>0</v>
      </c>
      <c r="L208" s="12" t="s">
        <v>34</v>
      </c>
    </row>
    <row r="209" customFormat="false" ht="15" hidden="false" customHeight="false" outlineLevel="0" collapsed="false">
      <c r="A209" s="11" t="n">
        <v>44404</v>
      </c>
      <c r="B209" s="12" t="n">
        <v>15</v>
      </c>
      <c r="C209" s="12" t="n">
        <f aca="false">IF(NOT(ISNUMBER(B209)),"",ROUND((INDEX(BP!$D$5:$D$9,MATCH(B209,BP!$A$5:$A$9,1))-INDEX(BP!$C$5:$C$9,MATCH(B209,BP!$A$5:$A$9,1)))/(INDEX(BP!$B$5:$B$9,MATCH(B209,BP!$A$5:$A$9,1))-INDEX(BP!$A$5:$A$9,MATCH(B209,BP!$A$5:$A$9,1)))*(B209-INDEX(BP!$A$5:$A$9,MATCH(B209,BP!$A$5:$A$9,1)))+INDEX(BP!$C$5:$C$9,MATCH(B209,BP!$A$5:$A$9,1)),0))</f>
        <v>25</v>
      </c>
      <c r="D209" s="12" t="str">
        <f aca="false">IF(NOT(ISNUMBER(C209)),"",INDEX(BP!$F$5:$F$9,MATCH(C209,BP!$E$5:$E$9,1)))</f>
        <v>ดีมาก</v>
      </c>
      <c r="E209" s="12" t="n">
        <f aca="false">YEAR(A209)</f>
        <v>2021</v>
      </c>
      <c r="F209" s="12" t="n">
        <f aca="false">MONTH(A209)</f>
        <v>7</v>
      </c>
      <c r="G209" s="12" t="n">
        <v>22.6</v>
      </c>
      <c r="H209" s="12" t="n">
        <v>49.3</v>
      </c>
      <c r="I209" s="12" t="n">
        <v>246</v>
      </c>
      <c r="J209" s="12" t="n">
        <v>0</v>
      </c>
      <c r="K209" s="12" t="n">
        <v>0</v>
      </c>
      <c r="L209" s="12" t="s">
        <v>36</v>
      </c>
    </row>
    <row r="210" customFormat="false" ht="15" hidden="false" customHeight="false" outlineLevel="0" collapsed="false">
      <c r="A210" s="11" t="n">
        <v>44405</v>
      </c>
      <c r="B210" s="12" t="n">
        <v>14</v>
      </c>
      <c r="C210" s="12" t="n">
        <f aca="false">IF(NOT(ISNUMBER(B210)),"",ROUND((INDEX(BP!$D$5:$D$9,MATCH(B210,BP!$A$5:$A$9,1))-INDEX(BP!$C$5:$C$9,MATCH(B210,BP!$A$5:$A$9,1)))/(INDEX(BP!$B$5:$B$9,MATCH(B210,BP!$A$5:$A$9,1))-INDEX(BP!$A$5:$A$9,MATCH(B210,BP!$A$5:$A$9,1)))*(B210-INDEX(BP!$A$5:$A$9,MATCH(B210,BP!$A$5:$A$9,1)))+INDEX(BP!$C$5:$C$9,MATCH(B210,BP!$A$5:$A$9,1)),0))</f>
        <v>23</v>
      </c>
      <c r="D210" s="12" t="str">
        <f aca="false">IF(NOT(ISNUMBER(C210)),"",INDEX(BP!$F$5:$F$9,MATCH(C210,BP!$E$5:$E$9,1)))</f>
        <v>ดีมาก</v>
      </c>
      <c r="E210" s="12" t="n">
        <f aca="false">YEAR(A210)</f>
        <v>2021</v>
      </c>
      <c r="F210" s="12" t="n">
        <f aca="false">MONTH(A210)</f>
        <v>7</v>
      </c>
      <c r="G210" s="12" t="n">
        <v>20.8</v>
      </c>
      <c r="H210" s="12" t="n">
        <v>55.1</v>
      </c>
      <c r="I210" s="12" t="n">
        <v>245</v>
      </c>
      <c r="J210" s="12" t="n">
        <v>0</v>
      </c>
      <c r="K210" s="12" t="n">
        <v>0.2</v>
      </c>
      <c r="L210" s="12" t="s">
        <v>34</v>
      </c>
    </row>
    <row r="211" customFormat="false" ht="15" hidden="false" customHeight="false" outlineLevel="0" collapsed="false">
      <c r="A211" s="11" t="n">
        <v>44406</v>
      </c>
      <c r="B211" s="12" t="n">
        <v>17</v>
      </c>
      <c r="C211" s="12" t="n">
        <f aca="false">IF(NOT(ISNUMBER(B211)),"",ROUND((INDEX(BP!$D$5:$D$9,MATCH(B211,BP!$A$5:$A$9,1))-INDEX(BP!$C$5:$C$9,MATCH(B211,BP!$A$5:$A$9,1)))/(INDEX(BP!$B$5:$B$9,MATCH(B211,BP!$A$5:$A$9,1))-INDEX(BP!$A$5:$A$9,MATCH(B211,BP!$A$5:$A$9,1)))*(B211-INDEX(BP!$A$5:$A$9,MATCH(B211,BP!$A$5:$A$9,1)))+INDEX(BP!$C$5:$C$9,MATCH(B211,BP!$A$5:$A$9,1)),0))</f>
        <v>31</v>
      </c>
      <c r="D211" s="12" t="str">
        <f aca="false">IF(NOT(ISNUMBER(C211)),"",INDEX(BP!$F$5:$F$9,MATCH(C211,BP!$E$5:$E$9,1)))</f>
        <v>ดี</v>
      </c>
      <c r="E211" s="12" t="n">
        <f aca="false">YEAR(A211)</f>
        <v>2021</v>
      </c>
      <c r="F211" s="12" t="n">
        <f aca="false">MONTH(A211)</f>
        <v>7</v>
      </c>
      <c r="G211" s="12" t="n">
        <v>19.2</v>
      </c>
      <c r="H211" s="12" t="n">
        <v>54</v>
      </c>
      <c r="I211" s="12" t="n">
        <v>233</v>
      </c>
      <c r="J211" s="12" t="n">
        <v>1.2</v>
      </c>
      <c r="K211" s="12" t="n">
        <v>2.6</v>
      </c>
      <c r="L211" s="12" t="s">
        <v>36</v>
      </c>
    </row>
    <row r="212" customFormat="false" ht="15" hidden="false" customHeight="false" outlineLevel="0" collapsed="false">
      <c r="A212" s="11" t="n">
        <v>44407</v>
      </c>
      <c r="B212" s="12" t="n">
        <v>12</v>
      </c>
      <c r="C212" s="12" t="n">
        <f aca="false">IF(NOT(ISNUMBER(B212)),"",ROUND((INDEX(BP!$D$5:$D$9,MATCH(B212,BP!$A$5:$A$9,1))-INDEX(BP!$C$5:$C$9,MATCH(B212,BP!$A$5:$A$9,1)))/(INDEX(BP!$B$5:$B$9,MATCH(B212,BP!$A$5:$A$9,1))-INDEX(BP!$A$5:$A$9,MATCH(B212,BP!$A$5:$A$9,1)))*(B212-INDEX(BP!$A$5:$A$9,MATCH(B212,BP!$A$5:$A$9,1)))+INDEX(BP!$C$5:$C$9,MATCH(B212,BP!$A$5:$A$9,1)),0))</f>
        <v>20</v>
      </c>
      <c r="D212" s="12" t="str">
        <f aca="false">IF(NOT(ISNUMBER(C212)),"",INDEX(BP!$F$5:$F$9,MATCH(C212,BP!$E$5:$E$9,1)))</f>
        <v>ดีมาก</v>
      </c>
      <c r="E212" s="12" t="n">
        <f aca="false">YEAR(A212)</f>
        <v>2021</v>
      </c>
      <c r="F212" s="12" t="n">
        <f aca="false">MONTH(A212)</f>
        <v>7</v>
      </c>
      <c r="G212" s="12" t="n">
        <v>18.7</v>
      </c>
      <c r="H212" s="12" t="n">
        <v>51.1</v>
      </c>
      <c r="I212" s="12" t="n">
        <v>237</v>
      </c>
      <c r="J212" s="12" t="n">
        <v>2.5</v>
      </c>
      <c r="K212" s="12" t="n">
        <v>11.8</v>
      </c>
      <c r="L212" s="12" t="s">
        <v>36</v>
      </c>
    </row>
    <row r="213" customFormat="false" ht="15" hidden="false" customHeight="false" outlineLevel="0" collapsed="false">
      <c r="A213" s="11" t="n">
        <v>44408</v>
      </c>
      <c r="B213" s="12" t="n">
        <v>15</v>
      </c>
      <c r="C213" s="12" t="n">
        <f aca="false">IF(NOT(ISNUMBER(B213)),"",ROUND((INDEX(BP!$D$5:$D$9,MATCH(B213,BP!$A$5:$A$9,1))-INDEX(BP!$C$5:$C$9,MATCH(B213,BP!$A$5:$A$9,1)))/(INDEX(BP!$B$5:$B$9,MATCH(B213,BP!$A$5:$A$9,1))-INDEX(BP!$A$5:$A$9,MATCH(B213,BP!$A$5:$A$9,1)))*(B213-INDEX(BP!$A$5:$A$9,MATCH(B213,BP!$A$5:$A$9,1)))+INDEX(BP!$C$5:$C$9,MATCH(B213,BP!$A$5:$A$9,1)),0))</f>
        <v>25</v>
      </c>
      <c r="D213" s="12" t="str">
        <f aca="false">IF(NOT(ISNUMBER(C213)),"",INDEX(BP!$F$5:$F$9,MATCH(C213,BP!$E$5:$E$9,1)))</f>
        <v>ดีมาก</v>
      </c>
      <c r="E213" s="12" t="n">
        <f aca="false">YEAR(A213)</f>
        <v>2021</v>
      </c>
      <c r="F213" s="12" t="n">
        <f aca="false">MONTH(A213)</f>
        <v>7</v>
      </c>
      <c r="G213" s="12" t="n">
        <v>22</v>
      </c>
      <c r="H213" s="12" t="n">
        <v>47.2</v>
      </c>
      <c r="I213" s="12" t="n">
        <v>238</v>
      </c>
      <c r="J213" s="12" t="n">
        <v>1</v>
      </c>
      <c r="K213" s="12" t="n">
        <v>8.8</v>
      </c>
      <c r="L213" s="12" t="s">
        <v>35</v>
      </c>
    </row>
    <row r="214" customFormat="false" ht="15" hidden="false" customHeight="false" outlineLevel="0" collapsed="false">
      <c r="A214" s="11" t="n">
        <v>44409</v>
      </c>
      <c r="B214" s="12" t="n">
        <v>11</v>
      </c>
      <c r="C214" s="12" t="n">
        <f aca="false">IF(NOT(ISNUMBER(B214)),"",ROUND((INDEX(BP!$D$5:$D$9,MATCH(B214,BP!$A$5:$A$9,1))-INDEX(BP!$C$5:$C$9,MATCH(B214,BP!$A$5:$A$9,1)))/(INDEX(BP!$B$5:$B$9,MATCH(B214,BP!$A$5:$A$9,1))-INDEX(BP!$A$5:$A$9,MATCH(B214,BP!$A$5:$A$9,1)))*(B214-INDEX(BP!$A$5:$A$9,MATCH(B214,BP!$A$5:$A$9,1)))+INDEX(BP!$C$5:$C$9,MATCH(B214,BP!$A$5:$A$9,1)),0))</f>
        <v>18</v>
      </c>
      <c r="D214" s="12" t="str">
        <f aca="false">IF(NOT(ISNUMBER(C214)),"",INDEX(BP!$F$5:$F$9,MATCH(C214,BP!$E$5:$E$9,1)))</f>
        <v>ดีมาก</v>
      </c>
      <c r="E214" s="12" t="n">
        <f aca="false">YEAR(A214)</f>
        <v>2021</v>
      </c>
      <c r="F214" s="12" t="n">
        <f aca="false">MONTH(A214)</f>
        <v>8</v>
      </c>
      <c r="G214" s="12" t="n">
        <v>23.6</v>
      </c>
      <c r="H214" s="12" t="n">
        <v>56.2</v>
      </c>
      <c r="I214" s="12" t="n">
        <v>256</v>
      </c>
      <c r="J214" s="12" t="n">
        <v>0.5</v>
      </c>
      <c r="K214" s="12" t="n">
        <v>0.4</v>
      </c>
      <c r="L214" s="12" t="s">
        <v>35</v>
      </c>
    </row>
    <row r="215" customFormat="false" ht="15" hidden="false" customHeight="false" outlineLevel="0" collapsed="false">
      <c r="A215" s="11" t="n">
        <v>44410</v>
      </c>
      <c r="B215" s="12" t="n">
        <v>14</v>
      </c>
      <c r="C215" s="12" t="n">
        <f aca="false">IF(NOT(ISNUMBER(B215)),"",ROUND((INDEX(BP!$D$5:$D$9,MATCH(B215,BP!$A$5:$A$9,1))-INDEX(BP!$C$5:$C$9,MATCH(B215,BP!$A$5:$A$9,1)))/(INDEX(BP!$B$5:$B$9,MATCH(B215,BP!$A$5:$A$9,1))-INDEX(BP!$A$5:$A$9,MATCH(B215,BP!$A$5:$A$9,1)))*(B215-INDEX(BP!$A$5:$A$9,MATCH(B215,BP!$A$5:$A$9,1)))+INDEX(BP!$C$5:$C$9,MATCH(B215,BP!$A$5:$A$9,1)),0))</f>
        <v>23</v>
      </c>
      <c r="D215" s="12" t="str">
        <f aca="false">IF(NOT(ISNUMBER(C215)),"",INDEX(BP!$F$5:$F$9,MATCH(C215,BP!$E$5:$E$9,1)))</f>
        <v>ดีมาก</v>
      </c>
      <c r="E215" s="12" t="n">
        <f aca="false">YEAR(A215)</f>
        <v>2021</v>
      </c>
      <c r="F215" s="12" t="n">
        <f aca="false">MONTH(A215)</f>
        <v>8</v>
      </c>
      <c r="G215" s="12" t="n">
        <v>20.5</v>
      </c>
      <c r="H215" s="12" t="n">
        <v>54.7</v>
      </c>
      <c r="I215" s="12" t="n">
        <v>251</v>
      </c>
      <c r="J215" s="12" t="n">
        <v>0.2</v>
      </c>
      <c r="K215" s="12" t="n">
        <v>0.4</v>
      </c>
      <c r="L215" s="12" t="s">
        <v>36</v>
      </c>
    </row>
    <row r="216" customFormat="false" ht="15" hidden="false" customHeight="false" outlineLevel="0" collapsed="false">
      <c r="A216" s="11" t="n">
        <v>44411</v>
      </c>
      <c r="B216" s="12" t="n">
        <v>14</v>
      </c>
      <c r="C216" s="12" t="n">
        <f aca="false">IF(NOT(ISNUMBER(B216)),"",ROUND((INDEX(BP!$D$5:$D$9,MATCH(B216,BP!$A$5:$A$9,1))-INDEX(BP!$C$5:$C$9,MATCH(B216,BP!$A$5:$A$9,1)))/(INDEX(BP!$B$5:$B$9,MATCH(B216,BP!$A$5:$A$9,1))-INDEX(BP!$A$5:$A$9,MATCH(B216,BP!$A$5:$A$9,1)))*(B216-INDEX(BP!$A$5:$A$9,MATCH(B216,BP!$A$5:$A$9,1)))+INDEX(BP!$C$5:$C$9,MATCH(B216,BP!$A$5:$A$9,1)),0))</f>
        <v>23</v>
      </c>
      <c r="D216" s="12" t="str">
        <f aca="false">IF(NOT(ISNUMBER(C216)),"",INDEX(BP!$F$5:$F$9,MATCH(C216,BP!$E$5:$E$9,1)))</f>
        <v>ดีมาก</v>
      </c>
      <c r="E216" s="12" t="n">
        <f aca="false">YEAR(A216)</f>
        <v>2021</v>
      </c>
      <c r="F216" s="12" t="n">
        <f aca="false">MONTH(A216)</f>
        <v>8</v>
      </c>
      <c r="G216" s="12" t="n">
        <v>21.3</v>
      </c>
      <c r="H216" s="12" t="n">
        <v>55.8</v>
      </c>
      <c r="I216" s="12" t="n">
        <v>256</v>
      </c>
      <c r="J216" s="12" t="n">
        <v>0.2</v>
      </c>
      <c r="K216" s="12" t="n">
        <v>0</v>
      </c>
      <c r="L216" s="12" t="s">
        <v>36</v>
      </c>
    </row>
    <row r="217" customFormat="false" ht="15" hidden="false" customHeight="false" outlineLevel="0" collapsed="false">
      <c r="A217" s="11" t="n">
        <v>44412</v>
      </c>
      <c r="B217" s="12" t="n">
        <v>11</v>
      </c>
      <c r="C217" s="12" t="n">
        <f aca="false">IF(NOT(ISNUMBER(B217)),"",ROUND((INDEX(BP!$D$5:$D$9,MATCH(B217,BP!$A$5:$A$9,1))-INDEX(BP!$C$5:$C$9,MATCH(B217,BP!$A$5:$A$9,1)))/(INDEX(BP!$B$5:$B$9,MATCH(B217,BP!$A$5:$A$9,1))-INDEX(BP!$A$5:$A$9,MATCH(B217,BP!$A$5:$A$9,1)))*(B217-INDEX(BP!$A$5:$A$9,MATCH(B217,BP!$A$5:$A$9,1)))+INDEX(BP!$C$5:$C$9,MATCH(B217,BP!$A$5:$A$9,1)),0))</f>
        <v>18</v>
      </c>
      <c r="D217" s="12" t="str">
        <f aca="false">IF(NOT(ISNUMBER(C217)),"",INDEX(BP!$F$5:$F$9,MATCH(C217,BP!$E$5:$E$9,1)))</f>
        <v>ดีมาก</v>
      </c>
      <c r="E217" s="12" t="n">
        <f aca="false">YEAR(A217)</f>
        <v>2021</v>
      </c>
      <c r="F217" s="12" t="n">
        <f aca="false">MONTH(A217)</f>
        <v>8</v>
      </c>
      <c r="G217" s="12" t="n">
        <v>24.7</v>
      </c>
      <c r="H217" s="12" t="n">
        <v>60.5</v>
      </c>
      <c r="I217" s="12" t="n">
        <v>249</v>
      </c>
      <c r="J217" s="12" t="n">
        <v>0.2</v>
      </c>
      <c r="K217" s="12" t="n">
        <v>0</v>
      </c>
      <c r="L217" s="12" t="s">
        <v>36</v>
      </c>
    </row>
    <row r="218" customFormat="false" ht="15" hidden="false" customHeight="false" outlineLevel="0" collapsed="false">
      <c r="A218" s="11" t="n">
        <v>44413</v>
      </c>
      <c r="B218" s="12" t="n">
        <v>13</v>
      </c>
      <c r="C218" s="12" t="n">
        <f aca="false">IF(NOT(ISNUMBER(B218)),"",ROUND((INDEX(BP!$D$5:$D$9,MATCH(B218,BP!$A$5:$A$9,1))-INDEX(BP!$C$5:$C$9,MATCH(B218,BP!$A$5:$A$9,1)))/(INDEX(BP!$B$5:$B$9,MATCH(B218,BP!$A$5:$A$9,1))-INDEX(BP!$A$5:$A$9,MATCH(B218,BP!$A$5:$A$9,1)))*(B218-INDEX(BP!$A$5:$A$9,MATCH(B218,BP!$A$5:$A$9,1)))+INDEX(BP!$C$5:$C$9,MATCH(B218,BP!$A$5:$A$9,1)),0))</f>
        <v>22</v>
      </c>
      <c r="D218" s="12" t="str">
        <f aca="false">IF(NOT(ISNUMBER(C218)),"",INDEX(BP!$F$5:$F$9,MATCH(C218,BP!$E$5:$E$9,1)))</f>
        <v>ดีมาก</v>
      </c>
      <c r="E218" s="12" t="n">
        <f aca="false">YEAR(A218)</f>
        <v>2021</v>
      </c>
      <c r="F218" s="12" t="n">
        <f aca="false">MONTH(A218)</f>
        <v>8</v>
      </c>
      <c r="G218" s="12" t="n">
        <v>17.7</v>
      </c>
      <c r="H218" s="12" t="n">
        <v>50.4</v>
      </c>
      <c r="I218" s="12" t="n">
        <v>235</v>
      </c>
      <c r="J218" s="12" t="n">
        <v>0.7</v>
      </c>
      <c r="K218" s="12" t="n">
        <v>0.2</v>
      </c>
      <c r="L218" s="12" t="s">
        <v>36</v>
      </c>
    </row>
    <row r="219" customFormat="false" ht="15" hidden="false" customHeight="false" outlineLevel="0" collapsed="false">
      <c r="A219" s="11" t="n">
        <v>44414</v>
      </c>
      <c r="B219" s="12" t="n">
        <v>21</v>
      </c>
      <c r="C219" s="12" t="n">
        <f aca="false">IF(NOT(ISNUMBER(B219)),"",ROUND((INDEX(BP!$D$5:$D$9,MATCH(B219,BP!$A$5:$A$9,1))-INDEX(BP!$C$5:$C$9,MATCH(B219,BP!$A$5:$A$9,1)))/(INDEX(BP!$B$5:$B$9,MATCH(B219,BP!$A$5:$A$9,1))-INDEX(BP!$A$5:$A$9,MATCH(B219,BP!$A$5:$A$9,1)))*(B219-INDEX(BP!$A$5:$A$9,MATCH(B219,BP!$A$5:$A$9,1)))+INDEX(BP!$C$5:$C$9,MATCH(B219,BP!$A$5:$A$9,1)),0))</f>
        <v>40</v>
      </c>
      <c r="D219" s="12" t="str">
        <f aca="false">IF(NOT(ISNUMBER(C219)),"",INDEX(BP!$F$5:$F$9,MATCH(C219,BP!$E$5:$E$9,1)))</f>
        <v>ดี</v>
      </c>
      <c r="E219" s="12" t="n">
        <f aca="false">YEAR(A219)</f>
        <v>2021</v>
      </c>
      <c r="F219" s="12" t="n">
        <f aca="false">MONTH(A219)</f>
        <v>8</v>
      </c>
      <c r="G219" s="12" t="n">
        <v>14.1</v>
      </c>
      <c r="H219" s="12" t="n">
        <v>34.6</v>
      </c>
      <c r="I219" s="12" t="n">
        <v>244</v>
      </c>
      <c r="J219" s="12" t="n">
        <v>0.4</v>
      </c>
      <c r="K219" s="12" t="n">
        <v>0</v>
      </c>
      <c r="L219" s="12" t="s">
        <v>36</v>
      </c>
    </row>
    <row r="220" customFormat="false" ht="15" hidden="false" customHeight="false" outlineLevel="0" collapsed="false">
      <c r="A220" s="11" t="n">
        <v>44415</v>
      </c>
      <c r="B220" s="12" t="n">
        <v>18</v>
      </c>
      <c r="C220" s="12" t="n">
        <f aca="false">IF(NOT(ISNUMBER(B220)),"",ROUND((INDEX(BP!$D$5:$D$9,MATCH(B220,BP!$A$5:$A$9,1))-INDEX(BP!$C$5:$C$9,MATCH(B220,BP!$A$5:$A$9,1)))/(INDEX(BP!$B$5:$B$9,MATCH(B220,BP!$A$5:$A$9,1))-INDEX(BP!$A$5:$A$9,MATCH(B220,BP!$A$5:$A$9,1)))*(B220-INDEX(BP!$A$5:$A$9,MATCH(B220,BP!$A$5:$A$9,1)))+INDEX(BP!$C$5:$C$9,MATCH(B220,BP!$A$5:$A$9,1)),0))</f>
        <v>33</v>
      </c>
      <c r="D220" s="12" t="str">
        <f aca="false">IF(NOT(ISNUMBER(C220)),"",INDEX(BP!$F$5:$F$9,MATCH(C220,BP!$E$5:$E$9,1)))</f>
        <v>ดี</v>
      </c>
      <c r="E220" s="12" t="n">
        <f aca="false">YEAR(A220)</f>
        <v>2021</v>
      </c>
      <c r="F220" s="12" t="n">
        <f aca="false">MONTH(A220)</f>
        <v>8</v>
      </c>
      <c r="G220" s="12" t="n">
        <v>13</v>
      </c>
      <c r="H220" s="12" t="n">
        <v>38.5</v>
      </c>
      <c r="I220" s="12" t="n">
        <v>271</v>
      </c>
      <c r="J220" s="12" t="n">
        <v>8.2</v>
      </c>
      <c r="K220" s="12" t="n">
        <v>0</v>
      </c>
      <c r="L220" s="12" t="s">
        <v>35</v>
      </c>
    </row>
    <row r="221" customFormat="false" ht="15" hidden="false" customHeight="false" outlineLevel="0" collapsed="false">
      <c r="A221" s="11" t="n">
        <v>44416</v>
      </c>
      <c r="B221" s="12" t="n">
        <v>13</v>
      </c>
      <c r="C221" s="12" t="n">
        <f aca="false">IF(NOT(ISNUMBER(B221)),"",ROUND((INDEX(BP!$D$5:$D$9,MATCH(B221,BP!$A$5:$A$9,1))-INDEX(BP!$C$5:$C$9,MATCH(B221,BP!$A$5:$A$9,1)))/(INDEX(BP!$B$5:$B$9,MATCH(B221,BP!$A$5:$A$9,1))-INDEX(BP!$A$5:$A$9,MATCH(B221,BP!$A$5:$A$9,1)))*(B221-INDEX(BP!$A$5:$A$9,MATCH(B221,BP!$A$5:$A$9,1)))+INDEX(BP!$C$5:$C$9,MATCH(B221,BP!$A$5:$A$9,1)),0))</f>
        <v>22</v>
      </c>
      <c r="D221" s="12" t="str">
        <f aca="false">IF(NOT(ISNUMBER(C221)),"",INDEX(BP!$F$5:$F$9,MATCH(C221,BP!$E$5:$E$9,1)))</f>
        <v>ดีมาก</v>
      </c>
      <c r="E221" s="12" t="n">
        <f aca="false">YEAR(A221)</f>
        <v>2021</v>
      </c>
      <c r="F221" s="12" t="n">
        <f aca="false">MONTH(A221)</f>
        <v>8</v>
      </c>
      <c r="G221" s="12" t="n">
        <v>17.1</v>
      </c>
      <c r="H221" s="12" t="n">
        <v>35.6</v>
      </c>
      <c r="I221" s="12" t="n">
        <v>261</v>
      </c>
      <c r="J221" s="12" t="n">
        <v>1</v>
      </c>
      <c r="K221" s="12" t="n">
        <v>0</v>
      </c>
      <c r="L221" s="12" t="s">
        <v>35</v>
      </c>
    </row>
    <row r="222" customFormat="false" ht="15" hidden="false" customHeight="false" outlineLevel="0" collapsed="false">
      <c r="A222" s="11" t="n">
        <v>44417</v>
      </c>
      <c r="B222" s="12" t="n">
        <v>15</v>
      </c>
      <c r="C222" s="12" t="n">
        <f aca="false">IF(NOT(ISNUMBER(B222)),"",ROUND((INDEX(BP!$D$5:$D$9,MATCH(B222,BP!$A$5:$A$9,1))-INDEX(BP!$C$5:$C$9,MATCH(B222,BP!$A$5:$A$9,1)))/(INDEX(BP!$B$5:$B$9,MATCH(B222,BP!$A$5:$A$9,1))-INDEX(BP!$A$5:$A$9,MATCH(B222,BP!$A$5:$A$9,1)))*(B222-INDEX(BP!$A$5:$A$9,MATCH(B222,BP!$A$5:$A$9,1)))+INDEX(BP!$C$5:$C$9,MATCH(B222,BP!$A$5:$A$9,1)),0))</f>
        <v>25</v>
      </c>
      <c r="D222" s="12" t="str">
        <f aca="false">IF(NOT(ISNUMBER(C222)),"",INDEX(BP!$F$5:$F$9,MATCH(C222,BP!$E$5:$E$9,1)))</f>
        <v>ดีมาก</v>
      </c>
      <c r="E222" s="12" t="n">
        <f aca="false">YEAR(A222)</f>
        <v>2021</v>
      </c>
      <c r="F222" s="12" t="n">
        <f aca="false">MONTH(A222)</f>
        <v>8</v>
      </c>
      <c r="G222" s="12" t="n">
        <v>12.8</v>
      </c>
      <c r="H222" s="12" t="n">
        <v>39.6</v>
      </c>
      <c r="I222" s="12" t="n">
        <v>256</v>
      </c>
      <c r="J222" s="12" t="n">
        <v>13</v>
      </c>
      <c r="K222" s="12" t="n">
        <v>0</v>
      </c>
      <c r="L222" s="12" t="s">
        <v>36</v>
      </c>
    </row>
    <row r="223" customFormat="false" ht="15" hidden="false" customHeight="false" outlineLevel="0" collapsed="false">
      <c r="A223" s="11" t="n">
        <v>44418</v>
      </c>
      <c r="B223" s="12" t="n">
        <v>11</v>
      </c>
      <c r="C223" s="12" t="n">
        <f aca="false">IF(NOT(ISNUMBER(B223)),"",ROUND((INDEX(BP!$D$5:$D$9,MATCH(B223,BP!$A$5:$A$9,1))-INDEX(BP!$C$5:$C$9,MATCH(B223,BP!$A$5:$A$9,1)))/(INDEX(BP!$B$5:$B$9,MATCH(B223,BP!$A$5:$A$9,1))-INDEX(BP!$A$5:$A$9,MATCH(B223,BP!$A$5:$A$9,1)))*(B223-INDEX(BP!$A$5:$A$9,MATCH(B223,BP!$A$5:$A$9,1)))+INDEX(BP!$C$5:$C$9,MATCH(B223,BP!$A$5:$A$9,1)),0))</f>
        <v>18</v>
      </c>
      <c r="D223" s="12" t="str">
        <f aca="false">IF(NOT(ISNUMBER(C223)),"",INDEX(BP!$F$5:$F$9,MATCH(C223,BP!$E$5:$E$9,1)))</f>
        <v>ดีมาก</v>
      </c>
      <c r="E223" s="12" t="n">
        <f aca="false">YEAR(A223)</f>
        <v>2021</v>
      </c>
      <c r="F223" s="12" t="n">
        <f aca="false">MONTH(A223)</f>
        <v>8</v>
      </c>
      <c r="G223" s="12" t="n">
        <v>16.3</v>
      </c>
      <c r="H223" s="12" t="n">
        <v>35.3</v>
      </c>
      <c r="I223" s="12" t="n">
        <v>228</v>
      </c>
      <c r="J223" s="12" t="n">
        <v>11</v>
      </c>
      <c r="K223" s="12" t="n">
        <v>0.6</v>
      </c>
      <c r="L223" s="12" t="s">
        <v>36</v>
      </c>
    </row>
    <row r="224" customFormat="false" ht="15" hidden="false" customHeight="false" outlineLevel="0" collapsed="false">
      <c r="A224" s="11" t="n">
        <v>44419</v>
      </c>
      <c r="B224" s="12" t="n">
        <v>14</v>
      </c>
      <c r="C224" s="12" t="n">
        <f aca="false">IF(NOT(ISNUMBER(B224)),"",ROUND((INDEX(BP!$D$5:$D$9,MATCH(B224,BP!$A$5:$A$9,1))-INDEX(BP!$C$5:$C$9,MATCH(B224,BP!$A$5:$A$9,1)))/(INDEX(BP!$B$5:$B$9,MATCH(B224,BP!$A$5:$A$9,1))-INDEX(BP!$A$5:$A$9,MATCH(B224,BP!$A$5:$A$9,1)))*(B224-INDEX(BP!$A$5:$A$9,MATCH(B224,BP!$A$5:$A$9,1)))+INDEX(BP!$C$5:$C$9,MATCH(B224,BP!$A$5:$A$9,1)),0))</f>
        <v>23</v>
      </c>
      <c r="D224" s="12" t="str">
        <f aca="false">IF(NOT(ISNUMBER(C224)),"",INDEX(BP!$F$5:$F$9,MATCH(C224,BP!$E$5:$E$9,1)))</f>
        <v>ดีมาก</v>
      </c>
      <c r="E224" s="12" t="n">
        <f aca="false">YEAR(A224)</f>
        <v>2021</v>
      </c>
      <c r="F224" s="12" t="n">
        <f aca="false">MONTH(A224)</f>
        <v>8</v>
      </c>
      <c r="G224" s="12" t="n">
        <v>19.2</v>
      </c>
      <c r="H224" s="12" t="n">
        <v>46.1</v>
      </c>
      <c r="I224" s="12" t="n">
        <v>226</v>
      </c>
      <c r="J224" s="12" t="n">
        <v>8.1</v>
      </c>
      <c r="K224" s="12" t="n">
        <v>0</v>
      </c>
      <c r="L224" s="12" t="s">
        <v>36</v>
      </c>
    </row>
    <row r="225" customFormat="false" ht="15" hidden="false" customHeight="false" outlineLevel="0" collapsed="false">
      <c r="A225" s="11" t="n">
        <v>44420</v>
      </c>
      <c r="B225" s="12" t="n">
        <v>18</v>
      </c>
      <c r="C225" s="12" t="n">
        <f aca="false">IF(NOT(ISNUMBER(B225)),"",ROUND((INDEX(BP!$D$5:$D$9,MATCH(B225,BP!$A$5:$A$9,1))-INDEX(BP!$C$5:$C$9,MATCH(B225,BP!$A$5:$A$9,1)))/(INDEX(BP!$B$5:$B$9,MATCH(B225,BP!$A$5:$A$9,1))-INDEX(BP!$A$5:$A$9,MATCH(B225,BP!$A$5:$A$9,1)))*(B225-INDEX(BP!$A$5:$A$9,MATCH(B225,BP!$A$5:$A$9,1)))+INDEX(BP!$C$5:$C$9,MATCH(B225,BP!$A$5:$A$9,1)),0))</f>
        <v>33</v>
      </c>
      <c r="D225" s="12" t="str">
        <f aca="false">IF(NOT(ISNUMBER(C225)),"",INDEX(BP!$F$5:$F$9,MATCH(C225,BP!$E$5:$E$9,1)))</f>
        <v>ดี</v>
      </c>
      <c r="E225" s="12" t="n">
        <f aca="false">YEAR(A225)</f>
        <v>2021</v>
      </c>
      <c r="F225" s="12" t="n">
        <f aca="false">MONTH(A225)</f>
        <v>8</v>
      </c>
      <c r="G225" s="12" t="n">
        <v>14.2</v>
      </c>
      <c r="H225" s="12" t="n">
        <v>32.4</v>
      </c>
      <c r="I225" s="12" t="n">
        <v>206</v>
      </c>
      <c r="J225" s="12" t="n">
        <v>0.3</v>
      </c>
      <c r="K225" s="12" t="n">
        <v>0</v>
      </c>
      <c r="L225" s="12" t="s">
        <v>34</v>
      </c>
    </row>
    <row r="226" customFormat="false" ht="15" hidden="false" customHeight="false" outlineLevel="0" collapsed="false">
      <c r="A226" s="11" t="n">
        <v>44421</v>
      </c>
      <c r="B226" s="12" t="n">
        <v>18</v>
      </c>
      <c r="C226" s="12" t="n">
        <f aca="false">IF(NOT(ISNUMBER(B226)),"",ROUND((INDEX(BP!$D$5:$D$9,MATCH(B226,BP!$A$5:$A$9,1))-INDEX(BP!$C$5:$C$9,MATCH(B226,BP!$A$5:$A$9,1)))/(INDEX(BP!$B$5:$B$9,MATCH(B226,BP!$A$5:$A$9,1))-INDEX(BP!$A$5:$A$9,MATCH(B226,BP!$A$5:$A$9,1)))*(B226-INDEX(BP!$A$5:$A$9,MATCH(B226,BP!$A$5:$A$9,1)))+INDEX(BP!$C$5:$C$9,MATCH(B226,BP!$A$5:$A$9,1)),0))</f>
        <v>33</v>
      </c>
      <c r="D226" s="12" t="str">
        <f aca="false">IF(NOT(ISNUMBER(C226)),"",INDEX(BP!$F$5:$F$9,MATCH(C226,BP!$E$5:$E$9,1)))</f>
        <v>ดี</v>
      </c>
      <c r="E226" s="12" t="n">
        <f aca="false">YEAR(A226)</f>
        <v>2021</v>
      </c>
      <c r="F226" s="12" t="n">
        <f aca="false">MONTH(A226)</f>
        <v>8</v>
      </c>
      <c r="G226" s="12" t="n">
        <v>10.7</v>
      </c>
      <c r="H226" s="12" t="n">
        <v>33.5</v>
      </c>
      <c r="I226" s="12" t="n">
        <v>207</v>
      </c>
      <c r="J226" s="12" t="n">
        <v>2.2</v>
      </c>
      <c r="K226" s="12" t="n">
        <v>0.8</v>
      </c>
      <c r="L226" s="12" t="s">
        <v>36</v>
      </c>
    </row>
    <row r="227" customFormat="false" ht="15" hidden="false" customHeight="false" outlineLevel="0" collapsed="false">
      <c r="A227" s="11" t="n">
        <v>44422</v>
      </c>
      <c r="B227" s="12" t="n">
        <v>19</v>
      </c>
      <c r="C227" s="12" t="n">
        <f aca="false">IF(NOT(ISNUMBER(B227)),"",ROUND((INDEX(BP!$D$5:$D$9,MATCH(B227,BP!$A$5:$A$9,1))-INDEX(BP!$C$5:$C$9,MATCH(B227,BP!$A$5:$A$9,1)))/(INDEX(BP!$B$5:$B$9,MATCH(B227,BP!$A$5:$A$9,1))-INDEX(BP!$A$5:$A$9,MATCH(B227,BP!$A$5:$A$9,1)))*(B227-INDEX(BP!$A$5:$A$9,MATCH(B227,BP!$A$5:$A$9,1)))+INDEX(BP!$C$5:$C$9,MATCH(B227,BP!$A$5:$A$9,1)),0))</f>
        <v>35</v>
      </c>
      <c r="D227" s="12" t="str">
        <f aca="false">IF(NOT(ISNUMBER(C227)),"",INDEX(BP!$F$5:$F$9,MATCH(C227,BP!$E$5:$E$9,1)))</f>
        <v>ดี</v>
      </c>
      <c r="E227" s="12" t="n">
        <f aca="false">YEAR(A227)</f>
        <v>2021</v>
      </c>
      <c r="F227" s="12" t="n">
        <f aca="false">MONTH(A227)</f>
        <v>8</v>
      </c>
      <c r="G227" s="12" t="n">
        <v>9.3</v>
      </c>
      <c r="H227" s="12" t="n">
        <v>27.4</v>
      </c>
      <c r="I227" s="12" t="n">
        <v>169</v>
      </c>
      <c r="J227" s="12" t="n">
        <v>18.2</v>
      </c>
      <c r="K227" s="12" t="n">
        <v>3.6</v>
      </c>
      <c r="L227" s="12" t="s">
        <v>35</v>
      </c>
    </row>
    <row r="228" customFormat="false" ht="15" hidden="false" customHeight="false" outlineLevel="0" collapsed="false">
      <c r="A228" s="11" t="n">
        <v>44423</v>
      </c>
      <c r="B228" s="12" t="n">
        <v>17</v>
      </c>
      <c r="C228" s="12" t="n">
        <f aca="false">IF(NOT(ISNUMBER(B228)),"",ROUND((INDEX(BP!$D$5:$D$9,MATCH(B228,BP!$A$5:$A$9,1))-INDEX(BP!$C$5:$C$9,MATCH(B228,BP!$A$5:$A$9,1)))/(INDEX(BP!$B$5:$B$9,MATCH(B228,BP!$A$5:$A$9,1))-INDEX(BP!$A$5:$A$9,MATCH(B228,BP!$A$5:$A$9,1)))*(B228-INDEX(BP!$A$5:$A$9,MATCH(B228,BP!$A$5:$A$9,1)))+INDEX(BP!$C$5:$C$9,MATCH(B228,BP!$A$5:$A$9,1)),0))</f>
        <v>31</v>
      </c>
      <c r="D228" s="12" t="str">
        <f aca="false">IF(NOT(ISNUMBER(C228)),"",INDEX(BP!$F$5:$F$9,MATCH(C228,BP!$E$5:$E$9,1)))</f>
        <v>ดี</v>
      </c>
      <c r="E228" s="12" t="n">
        <f aca="false">YEAR(A228)</f>
        <v>2021</v>
      </c>
      <c r="F228" s="12" t="n">
        <f aca="false">MONTH(A228)</f>
        <v>8</v>
      </c>
      <c r="G228" s="12" t="n">
        <v>10.8</v>
      </c>
      <c r="H228" s="12" t="n">
        <v>21.6</v>
      </c>
      <c r="I228" s="12" t="n">
        <v>184</v>
      </c>
      <c r="J228" s="12" t="n">
        <v>11</v>
      </c>
      <c r="K228" s="12" t="n">
        <v>18.8</v>
      </c>
      <c r="L228" s="12" t="s">
        <v>35</v>
      </c>
    </row>
    <row r="229" customFormat="false" ht="15" hidden="false" customHeight="false" outlineLevel="0" collapsed="false">
      <c r="A229" s="11" t="n">
        <v>44424</v>
      </c>
      <c r="B229" s="12" t="n">
        <v>14</v>
      </c>
      <c r="C229" s="12" t="n">
        <f aca="false">IF(NOT(ISNUMBER(B229)),"",ROUND((INDEX(BP!$D$5:$D$9,MATCH(B229,BP!$A$5:$A$9,1))-INDEX(BP!$C$5:$C$9,MATCH(B229,BP!$A$5:$A$9,1)))/(INDEX(BP!$B$5:$B$9,MATCH(B229,BP!$A$5:$A$9,1))-INDEX(BP!$A$5:$A$9,MATCH(B229,BP!$A$5:$A$9,1)))*(B229-INDEX(BP!$A$5:$A$9,MATCH(B229,BP!$A$5:$A$9,1)))+INDEX(BP!$C$5:$C$9,MATCH(B229,BP!$A$5:$A$9,1)),0))</f>
        <v>23</v>
      </c>
      <c r="D229" s="12" t="str">
        <f aca="false">IF(NOT(ISNUMBER(C229)),"",INDEX(BP!$F$5:$F$9,MATCH(C229,BP!$E$5:$E$9,1)))</f>
        <v>ดีมาก</v>
      </c>
      <c r="E229" s="12" t="n">
        <f aca="false">YEAR(A229)</f>
        <v>2021</v>
      </c>
      <c r="F229" s="12" t="n">
        <f aca="false">MONTH(A229)</f>
        <v>8</v>
      </c>
      <c r="G229" s="12" t="n">
        <v>7.4</v>
      </c>
      <c r="H229" s="12" t="n">
        <v>22.7</v>
      </c>
      <c r="I229" s="12" t="n">
        <v>49</v>
      </c>
      <c r="J229" s="12" t="n">
        <v>4.8</v>
      </c>
      <c r="K229" s="12" t="n">
        <v>0.6</v>
      </c>
      <c r="L229" s="12" t="s">
        <v>36</v>
      </c>
    </row>
    <row r="230" customFormat="false" ht="15" hidden="false" customHeight="false" outlineLevel="0" collapsed="false">
      <c r="A230" s="11" t="n">
        <v>44425</v>
      </c>
      <c r="B230" s="12" t="n">
        <v>14</v>
      </c>
      <c r="C230" s="12" t="n">
        <f aca="false">IF(NOT(ISNUMBER(B230)),"",ROUND((INDEX(BP!$D$5:$D$9,MATCH(B230,BP!$A$5:$A$9,1))-INDEX(BP!$C$5:$C$9,MATCH(B230,BP!$A$5:$A$9,1)))/(INDEX(BP!$B$5:$B$9,MATCH(B230,BP!$A$5:$A$9,1))-INDEX(BP!$A$5:$A$9,MATCH(B230,BP!$A$5:$A$9,1)))*(B230-INDEX(BP!$A$5:$A$9,MATCH(B230,BP!$A$5:$A$9,1)))+INDEX(BP!$C$5:$C$9,MATCH(B230,BP!$A$5:$A$9,1)),0))</f>
        <v>23</v>
      </c>
      <c r="D230" s="12" t="str">
        <f aca="false">IF(NOT(ISNUMBER(C230)),"",INDEX(BP!$F$5:$F$9,MATCH(C230,BP!$E$5:$E$9,1)))</f>
        <v>ดีมาก</v>
      </c>
      <c r="E230" s="12" t="n">
        <f aca="false">YEAR(A230)</f>
        <v>2021</v>
      </c>
      <c r="F230" s="12" t="n">
        <f aca="false">MONTH(A230)</f>
        <v>8</v>
      </c>
      <c r="G230" s="12" t="n">
        <v>10</v>
      </c>
      <c r="H230" s="12" t="n">
        <v>23.4</v>
      </c>
      <c r="I230" s="12" t="n">
        <v>257</v>
      </c>
      <c r="J230" s="12" t="n">
        <v>4.2</v>
      </c>
      <c r="K230" s="12" t="n">
        <v>0</v>
      </c>
      <c r="L230" s="12" t="s">
        <v>36</v>
      </c>
    </row>
    <row r="231" customFormat="false" ht="15" hidden="false" customHeight="false" outlineLevel="0" collapsed="false">
      <c r="A231" s="11" t="n">
        <v>44426</v>
      </c>
      <c r="B231" s="12" t="n">
        <v>17</v>
      </c>
      <c r="C231" s="12" t="n">
        <f aca="false">IF(NOT(ISNUMBER(B231)),"",ROUND((INDEX(BP!$D$5:$D$9,MATCH(B231,BP!$A$5:$A$9,1))-INDEX(BP!$C$5:$C$9,MATCH(B231,BP!$A$5:$A$9,1)))/(INDEX(BP!$B$5:$B$9,MATCH(B231,BP!$A$5:$A$9,1))-INDEX(BP!$A$5:$A$9,MATCH(B231,BP!$A$5:$A$9,1)))*(B231-INDEX(BP!$A$5:$A$9,MATCH(B231,BP!$A$5:$A$9,1)))+INDEX(BP!$C$5:$C$9,MATCH(B231,BP!$A$5:$A$9,1)),0))</f>
        <v>31</v>
      </c>
      <c r="D231" s="12" t="str">
        <f aca="false">IF(NOT(ISNUMBER(C231)),"",INDEX(BP!$F$5:$F$9,MATCH(C231,BP!$E$5:$E$9,1)))</f>
        <v>ดี</v>
      </c>
      <c r="E231" s="12" t="n">
        <f aca="false">YEAR(A231)</f>
        <v>2021</v>
      </c>
      <c r="F231" s="12" t="n">
        <f aca="false">MONTH(A231)</f>
        <v>8</v>
      </c>
      <c r="G231" s="12" t="n">
        <v>9.7</v>
      </c>
      <c r="H231" s="12" t="n">
        <v>30.6</v>
      </c>
      <c r="I231" s="12" t="n">
        <v>243</v>
      </c>
      <c r="J231" s="12" t="n">
        <v>7.7</v>
      </c>
      <c r="K231" s="12" t="n">
        <v>0</v>
      </c>
      <c r="L231" s="12" t="s">
        <v>36</v>
      </c>
    </row>
    <row r="232" customFormat="false" ht="15" hidden="false" customHeight="false" outlineLevel="0" collapsed="false">
      <c r="A232" s="11" t="n">
        <v>44427</v>
      </c>
      <c r="B232" s="12" t="n">
        <v>16</v>
      </c>
      <c r="C232" s="12" t="n">
        <f aca="false">IF(NOT(ISNUMBER(B232)),"",ROUND((INDEX(BP!$D$5:$D$9,MATCH(B232,BP!$A$5:$A$9,1))-INDEX(BP!$C$5:$C$9,MATCH(B232,BP!$A$5:$A$9,1)))/(INDEX(BP!$B$5:$B$9,MATCH(B232,BP!$A$5:$A$9,1))-INDEX(BP!$A$5:$A$9,MATCH(B232,BP!$A$5:$A$9,1)))*(B232-INDEX(BP!$A$5:$A$9,MATCH(B232,BP!$A$5:$A$9,1)))+INDEX(BP!$C$5:$C$9,MATCH(B232,BP!$A$5:$A$9,1)),0))</f>
        <v>28</v>
      </c>
      <c r="D232" s="12" t="str">
        <f aca="false">IF(NOT(ISNUMBER(C232)),"",INDEX(BP!$F$5:$F$9,MATCH(C232,BP!$E$5:$E$9,1)))</f>
        <v>ดี</v>
      </c>
      <c r="E232" s="12" t="n">
        <f aca="false">YEAR(A232)</f>
        <v>2021</v>
      </c>
      <c r="F232" s="12" t="n">
        <f aca="false">MONTH(A232)</f>
        <v>8</v>
      </c>
      <c r="G232" s="12" t="n">
        <v>11.2</v>
      </c>
      <c r="H232" s="12" t="n">
        <v>25.9</v>
      </c>
      <c r="I232" s="12" t="n">
        <v>221</v>
      </c>
      <c r="J232" s="12" t="n">
        <v>3.9</v>
      </c>
      <c r="K232" s="12" t="n">
        <v>0</v>
      </c>
      <c r="L232" s="12" t="s">
        <v>36</v>
      </c>
    </row>
    <row r="233" customFormat="false" ht="15" hidden="false" customHeight="false" outlineLevel="0" collapsed="false">
      <c r="A233" s="11" t="n">
        <v>44428</v>
      </c>
      <c r="B233" s="12" t="n">
        <v>15</v>
      </c>
      <c r="C233" s="12" t="n">
        <f aca="false">IF(NOT(ISNUMBER(B233)),"",ROUND((INDEX(BP!$D$5:$D$9,MATCH(B233,BP!$A$5:$A$9,1))-INDEX(BP!$C$5:$C$9,MATCH(B233,BP!$A$5:$A$9,1)))/(INDEX(BP!$B$5:$B$9,MATCH(B233,BP!$A$5:$A$9,1))-INDEX(BP!$A$5:$A$9,MATCH(B233,BP!$A$5:$A$9,1)))*(B233-INDEX(BP!$A$5:$A$9,MATCH(B233,BP!$A$5:$A$9,1)))+INDEX(BP!$C$5:$C$9,MATCH(B233,BP!$A$5:$A$9,1)),0))</f>
        <v>25</v>
      </c>
      <c r="D233" s="12" t="str">
        <f aca="false">IF(NOT(ISNUMBER(C233)),"",INDEX(BP!$F$5:$F$9,MATCH(C233,BP!$E$5:$E$9,1)))</f>
        <v>ดีมาก</v>
      </c>
      <c r="E233" s="12" t="n">
        <f aca="false">YEAR(A233)</f>
        <v>2021</v>
      </c>
      <c r="F233" s="12" t="n">
        <f aca="false">MONTH(A233)</f>
        <v>8</v>
      </c>
      <c r="G233" s="12" t="n">
        <v>11.1</v>
      </c>
      <c r="H233" s="12" t="n">
        <v>28.4</v>
      </c>
      <c r="I233" s="12" t="n">
        <v>214</v>
      </c>
      <c r="J233" s="12" t="n">
        <v>3.2</v>
      </c>
      <c r="K233" s="12" t="n">
        <v>37.8</v>
      </c>
      <c r="L233" s="12" t="s">
        <v>36</v>
      </c>
    </row>
    <row r="234" customFormat="false" ht="15" hidden="false" customHeight="false" outlineLevel="0" collapsed="false">
      <c r="A234" s="11" t="n">
        <v>44429</v>
      </c>
      <c r="B234" s="12" t="n">
        <v>17</v>
      </c>
      <c r="C234" s="12" t="n">
        <f aca="false">IF(NOT(ISNUMBER(B234)),"",ROUND((INDEX(BP!$D$5:$D$9,MATCH(B234,BP!$A$5:$A$9,1))-INDEX(BP!$C$5:$C$9,MATCH(B234,BP!$A$5:$A$9,1)))/(INDEX(BP!$B$5:$B$9,MATCH(B234,BP!$A$5:$A$9,1))-INDEX(BP!$A$5:$A$9,MATCH(B234,BP!$A$5:$A$9,1)))*(B234-INDEX(BP!$A$5:$A$9,MATCH(B234,BP!$A$5:$A$9,1)))+INDEX(BP!$C$5:$C$9,MATCH(B234,BP!$A$5:$A$9,1)),0))</f>
        <v>31</v>
      </c>
      <c r="D234" s="12" t="str">
        <f aca="false">IF(NOT(ISNUMBER(C234)),"",INDEX(BP!$F$5:$F$9,MATCH(C234,BP!$E$5:$E$9,1)))</f>
        <v>ดี</v>
      </c>
      <c r="E234" s="12" t="n">
        <f aca="false">YEAR(A234)</f>
        <v>2021</v>
      </c>
      <c r="F234" s="12" t="n">
        <f aca="false">MONTH(A234)</f>
        <v>8</v>
      </c>
      <c r="G234" s="12" t="n">
        <v>9</v>
      </c>
      <c r="H234" s="12" t="n">
        <v>19.8</v>
      </c>
      <c r="I234" s="12" t="n">
        <v>216</v>
      </c>
      <c r="J234" s="12" t="n">
        <v>3.3</v>
      </c>
      <c r="K234" s="12" t="n">
        <v>2.2</v>
      </c>
      <c r="L234" s="12" t="s">
        <v>35</v>
      </c>
    </row>
    <row r="235" customFormat="false" ht="15" hidden="false" customHeight="false" outlineLevel="0" collapsed="false">
      <c r="A235" s="11" t="n">
        <v>44430</v>
      </c>
      <c r="B235" s="12" t="n">
        <v>13</v>
      </c>
      <c r="C235" s="12" t="n">
        <f aca="false">IF(NOT(ISNUMBER(B235)),"",ROUND((INDEX(BP!$D$5:$D$9,MATCH(B235,BP!$A$5:$A$9,1))-INDEX(BP!$C$5:$C$9,MATCH(B235,BP!$A$5:$A$9,1)))/(INDEX(BP!$B$5:$B$9,MATCH(B235,BP!$A$5:$A$9,1))-INDEX(BP!$A$5:$A$9,MATCH(B235,BP!$A$5:$A$9,1)))*(B235-INDEX(BP!$A$5:$A$9,MATCH(B235,BP!$A$5:$A$9,1)))+INDEX(BP!$C$5:$C$9,MATCH(B235,BP!$A$5:$A$9,1)),0))</f>
        <v>22</v>
      </c>
      <c r="D235" s="12" t="str">
        <f aca="false">IF(NOT(ISNUMBER(C235)),"",INDEX(BP!$F$5:$F$9,MATCH(C235,BP!$E$5:$E$9,1)))</f>
        <v>ดีมาก</v>
      </c>
      <c r="E235" s="12" t="n">
        <f aca="false">YEAR(A235)</f>
        <v>2021</v>
      </c>
      <c r="F235" s="12" t="n">
        <f aca="false">MONTH(A235)</f>
        <v>8</v>
      </c>
      <c r="G235" s="12" t="n">
        <v>15</v>
      </c>
      <c r="H235" s="12" t="n">
        <v>36.7</v>
      </c>
      <c r="I235" s="12" t="n">
        <v>228</v>
      </c>
      <c r="J235" s="12" t="n">
        <v>8.1</v>
      </c>
      <c r="K235" s="12" t="n">
        <v>0.2</v>
      </c>
      <c r="L235" s="12" t="s">
        <v>35</v>
      </c>
    </row>
    <row r="236" customFormat="false" ht="15" hidden="false" customHeight="false" outlineLevel="0" collapsed="false">
      <c r="A236" s="11" t="n">
        <v>44431</v>
      </c>
      <c r="B236" s="12" t="n">
        <v>14</v>
      </c>
      <c r="C236" s="12" t="n">
        <f aca="false">IF(NOT(ISNUMBER(B236)),"",ROUND((INDEX(BP!$D$5:$D$9,MATCH(B236,BP!$A$5:$A$9,1))-INDEX(BP!$C$5:$C$9,MATCH(B236,BP!$A$5:$A$9,1)))/(INDEX(BP!$B$5:$B$9,MATCH(B236,BP!$A$5:$A$9,1))-INDEX(BP!$A$5:$A$9,MATCH(B236,BP!$A$5:$A$9,1)))*(B236-INDEX(BP!$A$5:$A$9,MATCH(B236,BP!$A$5:$A$9,1)))+INDEX(BP!$C$5:$C$9,MATCH(B236,BP!$A$5:$A$9,1)),0))</f>
        <v>23</v>
      </c>
      <c r="D236" s="12" t="str">
        <f aca="false">IF(NOT(ISNUMBER(C236)),"",INDEX(BP!$F$5:$F$9,MATCH(C236,BP!$E$5:$E$9,1)))</f>
        <v>ดีมาก</v>
      </c>
      <c r="E236" s="12" t="n">
        <f aca="false">YEAR(A236)</f>
        <v>2021</v>
      </c>
      <c r="F236" s="12" t="n">
        <f aca="false">MONTH(A236)</f>
        <v>8</v>
      </c>
      <c r="G236" s="12" t="n">
        <v>14.8</v>
      </c>
      <c r="H236" s="12" t="n">
        <v>32.4</v>
      </c>
      <c r="I236" s="12" t="n">
        <v>232</v>
      </c>
      <c r="J236" s="12" t="n">
        <v>0</v>
      </c>
      <c r="K236" s="12" t="n">
        <v>0</v>
      </c>
      <c r="L236" s="12" t="s">
        <v>36</v>
      </c>
    </row>
    <row r="237" customFormat="false" ht="15" hidden="false" customHeight="false" outlineLevel="0" collapsed="false">
      <c r="A237" s="11" t="n">
        <v>44432</v>
      </c>
      <c r="B237" s="12" t="n">
        <v>13</v>
      </c>
      <c r="C237" s="12" t="n">
        <f aca="false">IF(NOT(ISNUMBER(B237)),"",ROUND((INDEX(BP!$D$5:$D$9,MATCH(B237,BP!$A$5:$A$9,1))-INDEX(BP!$C$5:$C$9,MATCH(B237,BP!$A$5:$A$9,1)))/(INDEX(BP!$B$5:$B$9,MATCH(B237,BP!$A$5:$A$9,1))-INDEX(BP!$A$5:$A$9,MATCH(B237,BP!$A$5:$A$9,1)))*(B237-INDEX(BP!$A$5:$A$9,MATCH(B237,BP!$A$5:$A$9,1)))+INDEX(BP!$C$5:$C$9,MATCH(B237,BP!$A$5:$A$9,1)),0))</f>
        <v>22</v>
      </c>
      <c r="D237" s="12" t="str">
        <f aca="false">IF(NOT(ISNUMBER(C237)),"",INDEX(BP!$F$5:$F$9,MATCH(C237,BP!$E$5:$E$9,1)))</f>
        <v>ดีมาก</v>
      </c>
      <c r="E237" s="12" t="n">
        <f aca="false">YEAR(A237)</f>
        <v>2021</v>
      </c>
      <c r="F237" s="12" t="n">
        <f aca="false">MONTH(A237)</f>
        <v>8</v>
      </c>
      <c r="G237" s="12" t="n">
        <v>21.6</v>
      </c>
      <c r="H237" s="12" t="n">
        <v>45.4</v>
      </c>
      <c r="I237" s="12" t="n">
        <v>232</v>
      </c>
      <c r="J237" s="12" t="n">
        <v>3.9</v>
      </c>
      <c r="K237" s="12" t="n">
        <v>0</v>
      </c>
      <c r="L237" s="12" t="s">
        <v>36</v>
      </c>
    </row>
    <row r="238" customFormat="false" ht="15" hidden="false" customHeight="false" outlineLevel="0" collapsed="false">
      <c r="A238" s="11" t="n">
        <v>44433</v>
      </c>
      <c r="B238" s="12" t="n">
        <v>15</v>
      </c>
      <c r="C238" s="12" t="n">
        <f aca="false">IF(NOT(ISNUMBER(B238)),"",ROUND((INDEX(BP!$D$5:$D$9,MATCH(B238,BP!$A$5:$A$9,1))-INDEX(BP!$C$5:$C$9,MATCH(B238,BP!$A$5:$A$9,1)))/(INDEX(BP!$B$5:$B$9,MATCH(B238,BP!$A$5:$A$9,1))-INDEX(BP!$A$5:$A$9,MATCH(B238,BP!$A$5:$A$9,1)))*(B238-INDEX(BP!$A$5:$A$9,MATCH(B238,BP!$A$5:$A$9,1)))+INDEX(BP!$C$5:$C$9,MATCH(B238,BP!$A$5:$A$9,1)),0))</f>
        <v>25</v>
      </c>
      <c r="D238" s="12" t="str">
        <f aca="false">IF(NOT(ISNUMBER(C238)),"",INDEX(BP!$F$5:$F$9,MATCH(C238,BP!$E$5:$E$9,1)))</f>
        <v>ดีมาก</v>
      </c>
      <c r="E238" s="12" t="n">
        <f aca="false">YEAR(A238)</f>
        <v>2021</v>
      </c>
      <c r="F238" s="12" t="n">
        <f aca="false">MONTH(A238)</f>
        <v>8</v>
      </c>
      <c r="G238" s="12" t="n">
        <v>17.7</v>
      </c>
      <c r="H238" s="12" t="n">
        <v>44.3</v>
      </c>
      <c r="I238" s="12" t="n">
        <v>237</v>
      </c>
      <c r="J238" s="12" t="n">
        <v>0.5</v>
      </c>
      <c r="K238" s="12" t="n">
        <v>1.8</v>
      </c>
      <c r="L238" s="12" t="s">
        <v>36</v>
      </c>
    </row>
    <row r="239" customFormat="false" ht="15" hidden="false" customHeight="false" outlineLevel="0" collapsed="false">
      <c r="A239" s="11" t="n">
        <v>44434</v>
      </c>
      <c r="B239" s="12" t="n">
        <v>12</v>
      </c>
      <c r="C239" s="12" t="n">
        <f aca="false">IF(NOT(ISNUMBER(B239)),"",ROUND((INDEX(BP!$D$5:$D$9,MATCH(B239,BP!$A$5:$A$9,1))-INDEX(BP!$C$5:$C$9,MATCH(B239,BP!$A$5:$A$9,1)))/(INDEX(BP!$B$5:$B$9,MATCH(B239,BP!$A$5:$A$9,1))-INDEX(BP!$A$5:$A$9,MATCH(B239,BP!$A$5:$A$9,1)))*(B239-INDEX(BP!$A$5:$A$9,MATCH(B239,BP!$A$5:$A$9,1)))+INDEX(BP!$C$5:$C$9,MATCH(B239,BP!$A$5:$A$9,1)),0))</f>
        <v>20</v>
      </c>
      <c r="D239" s="12" t="str">
        <f aca="false">IF(NOT(ISNUMBER(C239)),"",INDEX(BP!$F$5:$F$9,MATCH(C239,BP!$E$5:$E$9,1)))</f>
        <v>ดีมาก</v>
      </c>
      <c r="E239" s="12" t="n">
        <f aca="false">YEAR(A239)</f>
        <v>2021</v>
      </c>
      <c r="F239" s="12" t="n">
        <f aca="false">MONTH(A239)</f>
        <v>8</v>
      </c>
      <c r="G239" s="12" t="n">
        <v>11</v>
      </c>
      <c r="H239" s="12" t="n">
        <v>23.8</v>
      </c>
      <c r="I239" s="12" t="n">
        <v>224</v>
      </c>
      <c r="J239" s="12" t="n">
        <v>4.9</v>
      </c>
      <c r="K239" s="12" t="n">
        <v>0</v>
      </c>
      <c r="L239" s="12" t="s">
        <v>36</v>
      </c>
    </row>
    <row r="240" customFormat="false" ht="15" hidden="false" customHeight="false" outlineLevel="0" collapsed="false">
      <c r="A240" s="11" t="n">
        <v>44435</v>
      </c>
      <c r="B240" s="12" t="n">
        <v>18</v>
      </c>
      <c r="C240" s="12" t="n">
        <f aca="false">IF(NOT(ISNUMBER(B240)),"",ROUND((INDEX(BP!$D$5:$D$9,MATCH(B240,BP!$A$5:$A$9,1))-INDEX(BP!$C$5:$C$9,MATCH(B240,BP!$A$5:$A$9,1)))/(INDEX(BP!$B$5:$B$9,MATCH(B240,BP!$A$5:$A$9,1))-INDEX(BP!$A$5:$A$9,MATCH(B240,BP!$A$5:$A$9,1)))*(B240-INDEX(BP!$A$5:$A$9,MATCH(B240,BP!$A$5:$A$9,1)))+INDEX(BP!$C$5:$C$9,MATCH(B240,BP!$A$5:$A$9,1)),0))</f>
        <v>33</v>
      </c>
      <c r="D240" s="12" t="str">
        <f aca="false">IF(NOT(ISNUMBER(C240)),"",INDEX(BP!$F$5:$F$9,MATCH(C240,BP!$E$5:$E$9,1)))</f>
        <v>ดี</v>
      </c>
      <c r="E240" s="12" t="n">
        <f aca="false">YEAR(A240)</f>
        <v>2021</v>
      </c>
      <c r="F240" s="12" t="n">
        <f aca="false">MONTH(A240)</f>
        <v>8</v>
      </c>
      <c r="G240" s="12" t="n">
        <v>7.2</v>
      </c>
      <c r="H240" s="12" t="n">
        <v>32</v>
      </c>
      <c r="I240" s="12" t="n">
        <v>205</v>
      </c>
      <c r="J240" s="12" t="n">
        <v>10.7</v>
      </c>
      <c r="K240" s="12" t="n">
        <v>0</v>
      </c>
      <c r="L240" s="12" t="s">
        <v>36</v>
      </c>
    </row>
    <row r="241" customFormat="false" ht="15" hidden="false" customHeight="false" outlineLevel="0" collapsed="false">
      <c r="A241" s="11" t="n">
        <v>44436</v>
      </c>
      <c r="B241" s="12" t="n">
        <v>21</v>
      </c>
      <c r="C241" s="12" t="n">
        <f aca="false">IF(NOT(ISNUMBER(B241)),"",ROUND((INDEX(BP!$D$5:$D$9,MATCH(B241,BP!$A$5:$A$9,1))-INDEX(BP!$C$5:$C$9,MATCH(B241,BP!$A$5:$A$9,1)))/(INDEX(BP!$B$5:$B$9,MATCH(B241,BP!$A$5:$A$9,1))-INDEX(BP!$A$5:$A$9,MATCH(B241,BP!$A$5:$A$9,1)))*(B241-INDEX(BP!$A$5:$A$9,MATCH(B241,BP!$A$5:$A$9,1)))+INDEX(BP!$C$5:$C$9,MATCH(B241,BP!$A$5:$A$9,1)),0))</f>
        <v>40</v>
      </c>
      <c r="D241" s="12" t="str">
        <f aca="false">IF(NOT(ISNUMBER(C241)),"",INDEX(BP!$F$5:$F$9,MATCH(C241,BP!$E$5:$E$9,1)))</f>
        <v>ดี</v>
      </c>
      <c r="E241" s="12" t="n">
        <f aca="false">YEAR(A241)</f>
        <v>2021</v>
      </c>
      <c r="F241" s="12" t="n">
        <f aca="false">MONTH(A241)</f>
        <v>8</v>
      </c>
      <c r="G241" s="12" t="n">
        <v>8.7</v>
      </c>
      <c r="H241" s="12" t="n">
        <v>32.4</v>
      </c>
      <c r="I241" s="12" t="n">
        <v>190</v>
      </c>
      <c r="J241" s="12" t="n">
        <v>4.9</v>
      </c>
      <c r="K241" s="12" t="n">
        <v>0</v>
      </c>
      <c r="L241" s="12" t="s">
        <v>35</v>
      </c>
    </row>
    <row r="242" customFormat="false" ht="15" hidden="false" customHeight="false" outlineLevel="0" collapsed="false">
      <c r="A242" s="11" t="n">
        <v>44437</v>
      </c>
      <c r="B242" s="12" t="n">
        <v>20</v>
      </c>
      <c r="C242" s="12" t="n">
        <f aca="false">IF(NOT(ISNUMBER(B242)),"",ROUND((INDEX(BP!$D$5:$D$9,MATCH(B242,BP!$A$5:$A$9,1))-INDEX(BP!$C$5:$C$9,MATCH(B242,BP!$A$5:$A$9,1)))/(INDEX(BP!$B$5:$B$9,MATCH(B242,BP!$A$5:$A$9,1))-INDEX(BP!$A$5:$A$9,MATCH(B242,BP!$A$5:$A$9,1)))*(B242-INDEX(BP!$A$5:$A$9,MATCH(B242,BP!$A$5:$A$9,1)))+INDEX(BP!$C$5:$C$9,MATCH(B242,BP!$A$5:$A$9,1)),0))</f>
        <v>38</v>
      </c>
      <c r="D242" s="12" t="str">
        <f aca="false">IF(NOT(ISNUMBER(C242)),"",INDEX(BP!$F$5:$F$9,MATCH(C242,BP!$E$5:$E$9,1)))</f>
        <v>ดี</v>
      </c>
      <c r="E242" s="12" t="n">
        <f aca="false">YEAR(A242)</f>
        <v>2021</v>
      </c>
      <c r="F242" s="12" t="n">
        <f aca="false">MONTH(A242)</f>
        <v>8</v>
      </c>
      <c r="G242" s="12" t="n">
        <v>10.2</v>
      </c>
      <c r="H242" s="12" t="n">
        <v>31.3</v>
      </c>
      <c r="I242" s="12" t="n">
        <v>171</v>
      </c>
      <c r="J242" s="12" t="n">
        <v>9.3</v>
      </c>
      <c r="K242" s="12" t="n">
        <v>12.6</v>
      </c>
      <c r="L242" s="12" t="s">
        <v>35</v>
      </c>
    </row>
    <row r="243" customFormat="false" ht="15" hidden="false" customHeight="false" outlineLevel="0" collapsed="false">
      <c r="A243" s="11" t="n">
        <v>44438</v>
      </c>
      <c r="B243" s="12" t="n">
        <v>18</v>
      </c>
      <c r="C243" s="12" t="n">
        <f aca="false">IF(NOT(ISNUMBER(B243)),"",ROUND((INDEX(BP!$D$5:$D$9,MATCH(B243,BP!$A$5:$A$9,1))-INDEX(BP!$C$5:$C$9,MATCH(B243,BP!$A$5:$A$9,1)))/(INDEX(BP!$B$5:$B$9,MATCH(B243,BP!$A$5:$A$9,1))-INDEX(BP!$A$5:$A$9,MATCH(B243,BP!$A$5:$A$9,1)))*(B243-INDEX(BP!$A$5:$A$9,MATCH(B243,BP!$A$5:$A$9,1)))+INDEX(BP!$C$5:$C$9,MATCH(B243,BP!$A$5:$A$9,1)),0))</f>
        <v>33</v>
      </c>
      <c r="D243" s="12" t="str">
        <f aca="false">IF(NOT(ISNUMBER(C243)),"",INDEX(BP!$F$5:$F$9,MATCH(C243,BP!$E$5:$E$9,1)))</f>
        <v>ดี</v>
      </c>
      <c r="E243" s="12" t="n">
        <f aca="false">YEAR(A243)</f>
        <v>2021</v>
      </c>
      <c r="F243" s="12" t="n">
        <f aca="false">MONTH(A243)</f>
        <v>8</v>
      </c>
      <c r="G243" s="12" t="n">
        <v>9</v>
      </c>
      <c r="H243" s="12" t="n">
        <v>24.5</v>
      </c>
      <c r="I243" s="12" t="n">
        <v>217</v>
      </c>
      <c r="J243" s="12" t="n">
        <v>21.2</v>
      </c>
      <c r="K243" s="12" t="n">
        <v>31.2</v>
      </c>
      <c r="L243" s="12" t="s">
        <v>36</v>
      </c>
    </row>
    <row r="244" customFormat="false" ht="15" hidden="false" customHeight="false" outlineLevel="0" collapsed="false">
      <c r="A244" s="11" t="n">
        <v>44439</v>
      </c>
      <c r="B244" s="12" t="n">
        <v>15</v>
      </c>
      <c r="C244" s="12" t="n">
        <f aca="false">IF(NOT(ISNUMBER(B244)),"",ROUND((INDEX(BP!$D$5:$D$9,MATCH(B244,BP!$A$5:$A$9,1))-INDEX(BP!$C$5:$C$9,MATCH(B244,BP!$A$5:$A$9,1)))/(INDEX(BP!$B$5:$B$9,MATCH(B244,BP!$A$5:$A$9,1))-INDEX(BP!$A$5:$A$9,MATCH(B244,BP!$A$5:$A$9,1)))*(B244-INDEX(BP!$A$5:$A$9,MATCH(B244,BP!$A$5:$A$9,1)))+INDEX(BP!$C$5:$C$9,MATCH(B244,BP!$A$5:$A$9,1)),0))</f>
        <v>25</v>
      </c>
      <c r="D244" s="12" t="str">
        <f aca="false">IF(NOT(ISNUMBER(C244)),"",INDEX(BP!$F$5:$F$9,MATCH(C244,BP!$E$5:$E$9,1)))</f>
        <v>ดีมาก</v>
      </c>
      <c r="E244" s="12" t="n">
        <f aca="false">YEAR(A244)</f>
        <v>2021</v>
      </c>
      <c r="F244" s="12" t="n">
        <f aca="false">MONTH(A244)</f>
        <v>8</v>
      </c>
      <c r="G244" s="12" t="n">
        <v>13.3</v>
      </c>
      <c r="H244" s="12" t="n">
        <v>31</v>
      </c>
      <c r="I244" s="12" t="n">
        <v>212</v>
      </c>
      <c r="J244" s="12" t="n">
        <v>4.2</v>
      </c>
      <c r="K244" s="12" t="n">
        <v>0</v>
      </c>
      <c r="L244" s="12" t="s">
        <v>36</v>
      </c>
    </row>
    <row r="245" customFormat="false" ht="15" hidden="false" customHeight="false" outlineLevel="0" collapsed="false">
      <c r="A245" s="11" t="n">
        <v>44440</v>
      </c>
      <c r="B245" s="12" t="n">
        <v>19</v>
      </c>
      <c r="C245" s="12" t="n">
        <f aca="false">IF(NOT(ISNUMBER(B245)),"",ROUND((INDEX(BP!$D$5:$D$9,MATCH(B245,BP!$A$5:$A$9,1))-INDEX(BP!$C$5:$C$9,MATCH(B245,BP!$A$5:$A$9,1)))/(INDEX(BP!$B$5:$B$9,MATCH(B245,BP!$A$5:$A$9,1))-INDEX(BP!$A$5:$A$9,MATCH(B245,BP!$A$5:$A$9,1)))*(B245-INDEX(BP!$A$5:$A$9,MATCH(B245,BP!$A$5:$A$9,1)))+INDEX(BP!$C$5:$C$9,MATCH(B245,BP!$A$5:$A$9,1)),0))</f>
        <v>35</v>
      </c>
      <c r="D245" s="12" t="str">
        <f aca="false">IF(NOT(ISNUMBER(C245)),"",INDEX(BP!$F$5:$F$9,MATCH(C245,BP!$E$5:$E$9,1)))</f>
        <v>ดี</v>
      </c>
      <c r="E245" s="12" t="n">
        <f aca="false">YEAR(A245)</f>
        <v>2021</v>
      </c>
      <c r="F245" s="12" t="n">
        <f aca="false">MONTH(A245)</f>
        <v>9</v>
      </c>
      <c r="G245" s="12" t="n">
        <v>11.7</v>
      </c>
      <c r="H245" s="12" t="n">
        <v>27</v>
      </c>
      <c r="I245" s="12" t="n">
        <v>232</v>
      </c>
      <c r="J245" s="12" t="n">
        <v>6</v>
      </c>
      <c r="K245" s="12" t="n">
        <v>1</v>
      </c>
      <c r="L245" s="12" t="s">
        <v>36</v>
      </c>
    </row>
    <row r="246" customFormat="false" ht="15" hidden="false" customHeight="false" outlineLevel="0" collapsed="false">
      <c r="A246" s="11" t="n">
        <v>44441</v>
      </c>
      <c r="B246" s="12" t="n">
        <v>18</v>
      </c>
      <c r="C246" s="12" t="n">
        <f aca="false">IF(NOT(ISNUMBER(B246)),"",ROUND((INDEX(BP!$D$5:$D$9,MATCH(B246,BP!$A$5:$A$9,1))-INDEX(BP!$C$5:$C$9,MATCH(B246,BP!$A$5:$A$9,1)))/(INDEX(BP!$B$5:$B$9,MATCH(B246,BP!$A$5:$A$9,1))-INDEX(BP!$A$5:$A$9,MATCH(B246,BP!$A$5:$A$9,1)))*(B246-INDEX(BP!$A$5:$A$9,MATCH(B246,BP!$A$5:$A$9,1)))+INDEX(BP!$C$5:$C$9,MATCH(B246,BP!$A$5:$A$9,1)),0))</f>
        <v>33</v>
      </c>
      <c r="D246" s="12" t="str">
        <f aca="false">IF(NOT(ISNUMBER(C246)),"",INDEX(BP!$F$5:$F$9,MATCH(C246,BP!$E$5:$E$9,1)))</f>
        <v>ดี</v>
      </c>
      <c r="E246" s="12" t="n">
        <f aca="false">YEAR(A246)</f>
        <v>2021</v>
      </c>
      <c r="F246" s="12" t="n">
        <f aca="false">MONTH(A246)</f>
        <v>9</v>
      </c>
      <c r="G246" s="12" t="n">
        <v>12.6</v>
      </c>
      <c r="H246" s="12" t="n">
        <v>34.2</v>
      </c>
      <c r="I246" s="12" t="n">
        <v>236</v>
      </c>
      <c r="J246" s="12" t="n">
        <v>11.7</v>
      </c>
      <c r="K246" s="12" t="n">
        <v>0</v>
      </c>
      <c r="L246" s="12" t="s">
        <v>36</v>
      </c>
    </row>
    <row r="247" customFormat="false" ht="15" hidden="false" customHeight="false" outlineLevel="0" collapsed="false">
      <c r="A247" s="11" t="n">
        <v>44442</v>
      </c>
      <c r="B247" s="12" t="n">
        <v>22</v>
      </c>
      <c r="C247" s="12" t="n">
        <f aca="false">IF(NOT(ISNUMBER(B247)),"",ROUND((INDEX(BP!$D$5:$D$9,MATCH(B247,BP!$A$5:$A$9,1))-INDEX(BP!$C$5:$C$9,MATCH(B247,BP!$A$5:$A$9,1)))/(INDEX(BP!$B$5:$B$9,MATCH(B247,BP!$A$5:$A$9,1))-INDEX(BP!$A$5:$A$9,MATCH(B247,BP!$A$5:$A$9,1)))*(B247-INDEX(BP!$A$5:$A$9,MATCH(B247,BP!$A$5:$A$9,1)))+INDEX(BP!$C$5:$C$9,MATCH(B247,BP!$A$5:$A$9,1)),0))</f>
        <v>43</v>
      </c>
      <c r="D247" s="12" t="str">
        <f aca="false">IF(NOT(ISNUMBER(C247)),"",INDEX(BP!$F$5:$F$9,MATCH(C247,BP!$E$5:$E$9,1)))</f>
        <v>ดี</v>
      </c>
      <c r="E247" s="12" t="n">
        <f aca="false">YEAR(A247)</f>
        <v>2021</v>
      </c>
      <c r="F247" s="12" t="n">
        <f aca="false">MONTH(A247)</f>
        <v>9</v>
      </c>
      <c r="G247" s="12" t="n">
        <v>11</v>
      </c>
      <c r="H247" s="12" t="n">
        <v>22</v>
      </c>
      <c r="I247" s="12" t="n">
        <v>204</v>
      </c>
      <c r="J247" s="12" t="n">
        <v>0.2</v>
      </c>
      <c r="K247" s="12" t="n">
        <v>0</v>
      </c>
      <c r="L247" s="12" t="s">
        <v>36</v>
      </c>
    </row>
    <row r="248" customFormat="false" ht="15" hidden="false" customHeight="false" outlineLevel="0" collapsed="false">
      <c r="A248" s="11" t="n">
        <v>44443</v>
      </c>
      <c r="B248" s="12" t="n">
        <v>23</v>
      </c>
      <c r="C248" s="12" t="n">
        <f aca="false">IF(NOT(ISNUMBER(B248)),"",ROUND((INDEX(BP!$D$5:$D$9,MATCH(B248,BP!$A$5:$A$9,1))-INDEX(BP!$C$5:$C$9,MATCH(B248,BP!$A$5:$A$9,1)))/(INDEX(BP!$B$5:$B$9,MATCH(B248,BP!$A$5:$A$9,1))-INDEX(BP!$A$5:$A$9,MATCH(B248,BP!$A$5:$A$9,1)))*(B248-INDEX(BP!$A$5:$A$9,MATCH(B248,BP!$A$5:$A$9,1)))+INDEX(BP!$C$5:$C$9,MATCH(B248,BP!$A$5:$A$9,1)),0))</f>
        <v>45</v>
      </c>
      <c r="D248" s="12" t="str">
        <f aca="false">IF(NOT(ISNUMBER(C248)),"",INDEX(BP!$F$5:$F$9,MATCH(C248,BP!$E$5:$E$9,1)))</f>
        <v>ดี</v>
      </c>
      <c r="E248" s="12" t="n">
        <f aca="false">YEAR(A248)</f>
        <v>2021</v>
      </c>
      <c r="F248" s="12" t="n">
        <f aca="false">MONTH(A248)</f>
        <v>9</v>
      </c>
      <c r="G248" s="12" t="n">
        <v>8.4</v>
      </c>
      <c r="H248" s="12" t="n">
        <v>18.7</v>
      </c>
      <c r="I248" s="12" t="n">
        <v>204</v>
      </c>
      <c r="J248" s="12" t="n">
        <v>0.4</v>
      </c>
      <c r="K248" s="12" t="n">
        <v>0</v>
      </c>
      <c r="L248" s="12" t="s">
        <v>35</v>
      </c>
    </row>
    <row r="249" customFormat="false" ht="15" hidden="false" customHeight="false" outlineLevel="0" collapsed="false">
      <c r="A249" s="11" t="n">
        <v>44444</v>
      </c>
      <c r="B249" s="12" t="n">
        <v>23</v>
      </c>
      <c r="C249" s="12" t="n">
        <f aca="false">IF(NOT(ISNUMBER(B249)),"",ROUND((INDEX(BP!$D$5:$D$9,MATCH(B249,BP!$A$5:$A$9,1))-INDEX(BP!$C$5:$C$9,MATCH(B249,BP!$A$5:$A$9,1)))/(INDEX(BP!$B$5:$B$9,MATCH(B249,BP!$A$5:$A$9,1))-INDEX(BP!$A$5:$A$9,MATCH(B249,BP!$A$5:$A$9,1)))*(B249-INDEX(BP!$A$5:$A$9,MATCH(B249,BP!$A$5:$A$9,1)))+INDEX(BP!$C$5:$C$9,MATCH(B249,BP!$A$5:$A$9,1)),0))</f>
        <v>45</v>
      </c>
      <c r="D249" s="12" t="str">
        <f aca="false">IF(NOT(ISNUMBER(C249)),"",INDEX(BP!$F$5:$F$9,MATCH(C249,BP!$E$5:$E$9,1)))</f>
        <v>ดี</v>
      </c>
      <c r="E249" s="12" t="n">
        <f aca="false">YEAR(A249)</f>
        <v>2021</v>
      </c>
      <c r="F249" s="12" t="n">
        <f aca="false">MONTH(A249)</f>
        <v>9</v>
      </c>
      <c r="G249" s="12" t="n">
        <v>12.6</v>
      </c>
      <c r="H249" s="12" t="n">
        <v>35.3</v>
      </c>
      <c r="I249" s="12" t="n">
        <v>225</v>
      </c>
      <c r="J249" s="12" t="n">
        <v>0.1</v>
      </c>
      <c r="K249" s="12" t="n">
        <v>0</v>
      </c>
      <c r="L249" s="12" t="s">
        <v>35</v>
      </c>
    </row>
    <row r="250" customFormat="false" ht="15" hidden="false" customHeight="false" outlineLevel="0" collapsed="false">
      <c r="A250" s="11" t="n">
        <v>44445</v>
      </c>
      <c r="B250" s="12" t="n">
        <v>22</v>
      </c>
      <c r="C250" s="12" t="n">
        <f aca="false">IF(NOT(ISNUMBER(B250)),"",ROUND((INDEX(BP!$D$5:$D$9,MATCH(B250,BP!$A$5:$A$9,1))-INDEX(BP!$C$5:$C$9,MATCH(B250,BP!$A$5:$A$9,1)))/(INDEX(BP!$B$5:$B$9,MATCH(B250,BP!$A$5:$A$9,1))-INDEX(BP!$A$5:$A$9,MATCH(B250,BP!$A$5:$A$9,1)))*(B250-INDEX(BP!$A$5:$A$9,MATCH(B250,BP!$A$5:$A$9,1)))+INDEX(BP!$C$5:$C$9,MATCH(B250,BP!$A$5:$A$9,1)),0))</f>
        <v>43</v>
      </c>
      <c r="D250" s="12" t="str">
        <f aca="false">IF(NOT(ISNUMBER(C250)),"",INDEX(BP!$F$5:$F$9,MATCH(C250,BP!$E$5:$E$9,1)))</f>
        <v>ดี</v>
      </c>
      <c r="E250" s="12" t="n">
        <f aca="false">YEAR(A250)</f>
        <v>2021</v>
      </c>
      <c r="F250" s="12" t="n">
        <f aca="false">MONTH(A250)</f>
        <v>9</v>
      </c>
      <c r="G250" s="12" t="n">
        <v>11.7</v>
      </c>
      <c r="H250" s="12" t="n">
        <v>22.7</v>
      </c>
      <c r="I250" s="12" t="n">
        <v>244</v>
      </c>
      <c r="J250" s="12" t="n">
        <v>0</v>
      </c>
      <c r="K250" s="12" t="n">
        <v>0</v>
      </c>
      <c r="L250" s="12" t="s">
        <v>36</v>
      </c>
    </row>
    <row r="251" customFormat="false" ht="15" hidden="false" customHeight="false" outlineLevel="0" collapsed="false">
      <c r="A251" s="11" t="n">
        <v>44446</v>
      </c>
      <c r="B251" s="12" t="n">
        <v>20</v>
      </c>
      <c r="C251" s="12" t="n">
        <f aca="false">IF(NOT(ISNUMBER(B251)),"",ROUND((INDEX(BP!$D$5:$D$9,MATCH(B251,BP!$A$5:$A$9,1))-INDEX(BP!$C$5:$C$9,MATCH(B251,BP!$A$5:$A$9,1)))/(INDEX(BP!$B$5:$B$9,MATCH(B251,BP!$A$5:$A$9,1))-INDEX(BP!$A$5:$A$9,MATCH(B251,BP!$A$5:$A$9,1)))*(B251-INDEX(BP!$A$5:$A$9,MATCH(B251,BP!$A$5:$A$9,1)))+INDEX(BP!$C$5:$C$9,MATCH(B251,BP!$A$5:$A$9,1)),0))</f>
        <v>38</v>
      </c>
      <c r="D251" s="12" t="str">
        <f aca="false">IF(NOT(ISNUMBER(C251)),"",INDEX(BP!$F$5:$F$9,MATCH(C251,BP!$E$5:$E$9,1)))</f>
        <v>ดี</v>
      </c>
      <c r="E251" s="12" t="n">
        <f aca="false">YEAR(A251)</f>
        <v>2021</v>
      </c>
      <c r="F251" s="12" t="n">
        <f aca="false">MONTH(A251)</f>
        <v>9</v>
      </c>
      <c r="G251" s="12" t="n">
        <v>14.3</v>
      </c>
      <c r="H251" s="12" t="n">
        <v>33.8</v>
      </c>
      <c r="I251" s="12" t="n">
        <v>250</v>
      </c>
      <c r="J251" s="12" t="n">
        <v>1.2</v>
      </c>
      <c r="K251" s="12" t="n">
        <v>0</v>
      </c>
      <c r="L251" s="12" t="s">
        <v>36</v>
      </c>
    </row>
    <row r="252" customFormat="false" ht="15" hidden="false" customHeight="false" outlineLevel="0" collapsed="false">
      <c r="A252" s="11" t="n">
        <v>44447</v>
      </c>
      <c r="B252" s="12" t="n">
        <v>16</v>
      </c>
      <c r="C252" s="12" t="n">
        <f aca="false">IF(NOT(ISNUMBER(B252)),"",ROUND((INDEX(BP!$D$5:$D$9,MATCH(B252,BP!$A$5:$A$9,1))-INDEX(BP!$C$5:$C$9,MATCH(B252,BP!$A$5:$A$9,1)))/(INDEX(BP!$B$5:$B$9,MATCH(B252,BP!$A$5:$A$9,1))-INDEX(BP!$A$5:$A$9,MATCH(B252,BP!$A$5:$A$9,1)))*(B252-INDEX(BP!$A$5:$A$9,MATCH(B252,BP!$A$5:$A$9,1)))+INDEX(BP!$C$5:$C$9,MATCH(B252,BP!$A$5:$A$9,1)),0))</f>
        <v>28</v>
      </c>
      <c r="D252" s="12" t="str">
        <f aca="false">IF(NOT(ISNUMBER(C252)),"",INDEX(BP!$F$5:$F$9,MATCH(C252,BP!$E$5:$E$9,1)))</f>
        <v>ดี</v>
      </c>
      <c r="E252" s="12" t="n">
        <f aca="false">YEAR(A252)</f>
        <v>2021</v>
      </c>
      <c r="F252" s="12" t="n">
        <f aca="false">MONTH(A252)</f>
        <v>9</v>
      </c>
      <c r="G252" s="12" t="n">
        <v>19.3</v>
      </c>
      <c r="H252" s="12" t="n">
        <v>45.4</v>
      </c>
      <c r="I252" s="12" t="n">
        <v>239</v>
      </c>
      <c r="J252" s="12" t="n">
        <v>5</v>
      </c>
      <c r="K252" s="12" t="n">
        <v>14.4</v>
      </c>
      <c r="L252" s="12" t="s">
        <v>36</v>
      </c>
    </row>
    <row r="253" customFormat="false" ht="15" hidden="false" customHeight="false" outlineLevel="0" collapsed="false">
      <c r="A253" s="11" t="n">
        <v>44448</v>
      </c>
      <c r="B253" s="12" t="n">
        <v>11</v>
      </c>
      <c r="C253" s="12" t="n">
        <f aca="false">IF(NOT(ISNUMBER(B253)),"",ROUND((INDEX(BP!$D$5:$D$9,MATCH(B253,BP!$A$5:$A$9,1))-INDEX(BP!$C$5:$C$9,MATCH(B253,BP!$A$5:$A$9,1)))/(INDEX(BP!$B$5:$B$9,MATCH(B253,BP!$A$5:$A$9,1))-INDEX(BP!$A$5:$A$9,MATCH(B253,BP!$A$5:$A$9,1)))*(B253-INDEX(BP!$A$5:$A$9,MATCH(B253,BP!$A$5:$A$9,1)))+INDEX(BP!$C$5:$C$9,MATCH(B253,BP!$A$5:$A$9,1)),0))</f>
        <v>18</v>
      </c>
      <c r="D253" s="12" t="str">
        <f aca="false">IF(NOT(ISNUMBER(C253)),"",INDEX(BP!$F$5:$F$9,MATCH(C253,BP!$E$5:$E$9,1)))</f>
        <v>ดีมาก</v>
      </c>
      <c r="E253" s="12" t="n">
        <f aca="false">YEAR(A253)</f>
        <v>2021</v>
      </c>
      <c r="F253" s="12" t="n">
        <f aca="false">MONTH(A253)</f>
        <v>9</v>
      </c>
      <c r="G253" s="12" t="n">
        <v>17.7</v>
      </c>
      <c r="H253" s="12" t="n">
        <v>34.6</v>
      </c>
      <c r="I253" s="12" t="n">
        <v>230</v>
      </c>
      <c r="J253" s="12" t="n">
        <v>3.4</v>
      </c>
      <c r="K253" s="12" t="n">
        <v>11.2</v>
      </c>
      <c r="L253" s="12" t="s">
        <v>36</v>
      </c>
    </row>
    <row r="254" customFormat="false" ht="15" hidden="false" customHeight="false" outlineLevel="0" collapsed="false">
      <c r="A254" s="11" t="n">
        <v>44449</v>
      </c>
      <c r="B254" s="12" t="n">
        <v>17</v>
      </c>
      <c r="C254" s="12" t="n">
        <f aca="false">IF(NOT(ISNUMBER(B254)),"",ROUND((INDEX(BP!$D$5:$D$9,MATCH(B254,BP!$A$5:$A$9,1))-INDEX(BP!$C$5:$C$9,MATCH(B254,BP!$A$5:$A$9,1)))/(INDEX(BP!$B$5:$B$9,MATCH(B254,BP!$A$5:$A$9,1))-INDEX(BP!$A$5:$A$9,MATCH(B254,BP!$A$5:$A$9,1)))*(B254-INDEX(BP!$A$5:$A$9,MATCH(B254,BP!$A$5:$A$9,1)))+INDEX(BP!$C$5:$C$9,MATCH(B254,BP!$A$5:$A$9,1)),0))</f>
        <v>31</v>
      </c>
      <c r="D254" s="12" t="str">
        <f aca="false">IF(NOT(ISNUMBER(C254)),"",INDEX(BP!$F$5:$F$9,MATCH(C254,BP!$E$5:$E$9,1)))</f>
        <v>ดี</v>
      </c>
      <c r="E254" s="12" t="n">
        <f aca="false">YEAR(A254)</f>
        <v>2021</v>
      </c>
      <c r="F254" s="12" t="n">
        <f aca="false">MONTH(A254)</f>
        <v>9</v>
      </c>
      <c r="G254" s="12" t="n">
        <v>15</v>
      </c>
      <c r="H254" s="12" t="n">
        <v>43.2</v>
      </c>
      <c r="I254" s="12" t="n">
        <v>231</v>
      </c>
      <c r="J254" s="12" t="n">
        <v>0.1</v>
      </c>
      <c r="K254" s="12" t="n">
        <v>11.6</v>
      </c>
      <c r="L254" s="12" t="s">
        <v>36</v>
      </c>
    </row>
    <row r="255" customFormat="false" ht="15" hidden="false" customHeight="false" outlineLevel="0" collapsed="false">
      <c r="A255" s="11" t="n">
        <v>44450</v>
      </c>
      <c r="B255" s="12" t="n">
        <v>15</v>
      </c>
      <c r="C255" s="12" t="n">
        <f aca="false">IF(NOT(ISNUMBER(B255)),"",ROUND((INDEX(BP!$D$5:$D$9,MATCH(B255,BP!$A$5:$A$9,1))-INDEX(BP!$C$5:$C$9,MATCH(B255,BP!$A$5:$A$9,1)))/(INDEX(BP!$B$5:$B$9,MATCH(B255,BP!$A$5:$A$9,1))-INDEX(BP!$A$5:$A$9,MATCH(B255,BP!$A$5:$A$9,1)))*(B255-INDEX(BP!$A$5:$A$9,MATCH(B255,BP!$A$5:$A$9,1)))+INDEX(BP!$C$5:$C$9,MATCH(B255,BP!$A$5:$A$9,1)),0))</f>
        <v>25</v>
      </c>
      <c r="D255" s="12" t="str">
        <f aca="false">IF(NOT(ISNUMBER(C255)),"",INDEX(BP!$F$5:$F$9,MATCH(C255,BP!$E$5:$E$9,1)))</f>
        <v>ดีมาก</v>
      </c>
      <c r="E255" s="12" t="n">
        <f aca="false">YEAR(A255)</f>
        <v>2021</v>
      </c>
      <c r="F255" s="12" t="n">
        <f aca="false">MONTH(A255)</f>
        <v>9</v>
      </c>
      <c r="G255" s="12" t="n">
        <v>9.7</v>
      </c>
      <c r="H255" s="12" t="n">
        <v>27</v>
      </c>
      <c r="I255" s="12" t="n">
        <v>315</v>
      </c>
      <c r="J255" s="12" t="n">
        <v>8.7</v>
      </c>
      <c r="K255" s="12" t="n">
        <v>0</v>
      </c>
      <c r="L255" s="12" t="s">
        <v>35</v>
      </c>
    </row>
    <row r="256" customFormat="false" ht="15" hidden="false" customHeight="false" outlineLevel="0" collapsed="false">
      <c r="A256" s="11" t="n">
        <v>44451</v>
      </c>
      <c r="B256" s="12" t="n">
        <v>17</v>
      </c>
      <c r="C256" s="12" t="n">
        <f aca="false">IF(NOT(ISNUMBER(B256)),"",ROUND((INDEX(BP!$D$5:$D$9,MATCH(B256,BP!$A$5:$A$9,1))-INDEX(BP!$C$5:$C$9,MATCH(B256,BP!$A$5:$A$9,1)))/(INDEX(BP!$B$5:$B$9,MATCH(B256,BP!$A$5:$A$9,1))-INDEX(BP!$A$5:$A$9,MATCH(B256,BP!$A$5:$A$9,1)))*(B256-INDEX(BP!$A$5:$A$9,MATCH(B256,BP!$A$5:$A$9,1)))+INDEX(BP!$C$5:$C$9,MATCH(B256,BP!$A$5:$A$9,1)),0))</f>
        <v>31</v>
      </c>
      <c r="D256" s="12" t="str">
        <f aca="false">IF(NOT(ISNUMBER(C256)),"",INDEX(BP!$F$5:$F$9,MATCH(C256,BP!$E$5:$E$9,1)))</f>
        <v>ดี</v>
      </c>
      <c r="E256" s="12" t="n">
        <f aca="false">YEAR(A256)</f>
        <v>2021</v>
      </c>
      <c r="F256" s="12" t="n">
        <f aca="false">MONTH(A256)</f>
        <v>9</v>
      </c>
      <c r="G256" s="12" t="n">
        <v>16</v>
      </c>
      <c r="H256" s="12" t="n">
        <v>34.2</v>
      </c>
      <c r="I256" s="12" t="n">
        <v>242</v>
      </c>
      <c r="J256" s="12" t="n">
        <v>8.8</v>
      </c>
      <c r="K256" s="12" t="n">
        <v>0</v>
      </c>
      <c r="L256" s="12" t="s">
        <v>35</v>
      </c>
    </row>
    <row r="257" customFormat="false" ht="15" hidden="false" customHeight="false" outlineLevel="0" collapsed="false">
      <c r="A257" s="11" t="n">
        <v>44452</v>
      </c>
      <c r="B257" s="12" t="n">
        <v>12</v>
      </c>
      <c r="C257" s="12" t="n">
        <f aca="false">IF(NOT(ISNUMBER(B257)),"",ROUND((INDEX(BP!$D$5:$D$9,MATCH(B257,BP!$A$5:$A$9,1))-INDEX(BP!$C$5:$C$9,MATCH(B257,BP!$A$5:$A$9,1)))/(INDEX(BP!$B$5:$B$9,MATCH(B257,BP!$A$5:$A$9,1))-INDEX(BP!$A$5:$A$9,MATCH(B257,BP!$A$5:$A$9,1)))*(B257-INDEX(BP!$A$5:$A$9,MATCH(B257,BP!$A$5:$A$9,1)))+INDEX(BP!$C$5:$C$9,MATCH(B257,BP!$A$5:$A$9,1)),0))</f>
        <v>20</v>
      </c>
      <c r="D257" s="12" t="str">
        <f aca="false">IF(NOT(ISNUMBER(C257)),"",INDEX(BP!$F$5:$F$9,MATCH(C257,BP!$E$5:$E$9,1)))</f>
        <v>ดีมาก</v>
      </c>
      <c r="E257" s="12" t="n">
        <f aca="false">YEAR(A257)</f>
        <v>2021</v>
      </c>
      <c r="F257" s="12" t="n">
        <f aca="false">MONTH(A257)</f>
        <v>9</v>
      </c>
      <c r="G257" s="12" t="n">
        <v>20.5</v>
      </c>
      <c r="H257" s="12" t="n">
        <v>56.5</v>
      </c>
      <c r="I257" s="12" t="n">
        <v>242</v>
      </c>
      <c r="J257" s="12" t="n">
        <v>1.3</v>
      </c>
      <c r="K257" s="12" t="n">
        <v>2.8</v>
      </c>
      <c r="L257" s="12" t="s">
        <v>36</v>
      </c>
    </row>
    <row r="258" customFormat="false" ht="15" hidden="false" customHeight="false" outlineLevel="0" collapsed="false">
      <c r="A258" s="11" t="n">
        <v>44453</v>
      </c>
      <c r="B258" s="12" t="n">
        <v>20</v>
      </c>
      <c r="C258" s="12" t="n">
        <f aca="false">IF(NOT(ISNUMBER(B258)),"",ROUND((INDEX(BP!$D$5:$D$9,MATCH(B258,BP!$A$5:$A$9,1))-INDEX(BP!$C$5:$C$9,MATCH(B258,BP!$A$5:$A$9,1)))/(INDEX(BP!$B$5:$B$9,MATCH(B258,BP!$A$5:$A$9,1))-INDEX(BP!$A$5:$A$9,MATCH(B258,BP!$A$5:$A$9,1)))*(B258-INDEX(BP!$A$5:$A$9,MATCH(B258,BP!$A$5:$A$9,1)))+INDEX(BP!$C$5:$C$9,MATCH(B258,BP!$A$5:$A$9,1)),0))</f>
        <v>38</v>
      </c>
      <c r="D258" s="12" t="str">
        <f aca="false">IF(NOT(ISNUMBER(C258)),"",INDEX(BP!$F$5:$F$9,MATCH(C258,BP!$E$5:$E$9,1)))</f>
        <v>ดี</v>
      </c>
      <c r="E258" s="12" t="n">
        <f aca="false">YEAR(A258)</f>
        <v>2021</v>
      </c>
      <c r="F258" s="12" t="n">
        <f aca="false">MONTH(A258)</f>
        <v>9</v>
      </c>
      <c r="G258" s="12" t="n">
        <v>18.1</v>
      </c>
      <c r="H258" s="12" t="n">
        <v>46.8</v>
      </c>
      <c r="I258" s="12" t="n">
        <v>235</v>
      </c>
      <c r="J258" s="12" t="n">
        <v>1.3</v>
      </c>
      <c r="K258" s="12" t="n">
        <v>0.4</v>
      </c>
      <c r="L258" s="12" t="s">
        <v>36</v>
      </c>
    </row>
    <row r="259" customFormat="false" ht="15" hidden="false" customHeight="false" outlineLevel="0" collapsed="false">
      <c r="A259" s="11" t="n">
        <v>44454</v>
      </c>
      <c r="B259" s="12" t="n">
        <v>17</v>
      </c>
      <c r="C259" s="12" t="n">
        <f aca="false">IF(NOT(ISNUMBER(B259)),"",ROUND((INDEX(BP!$D$5:$D$9,MATCH(B259,BP!$A$5:$A$9,1))-INDEX(BP!$C$5:$C$9,MATCH(B259,BP!$A$5:$A$9,1)))/(INDEX(BP!$B$5:$B$9,MATCH(B259,BP!$A$5:$A$9,1))-INDEX(BP!$A$5:$A$9,MATCH(B259,BP!$A$5:$A$9,1)))*(B259-INDEX(BP!$A$5:$A$9,MATCH(B259,BP!$A$5:$A$9,1)))+INDEX(BP!$C$5:$C$9,MATCH(B259,BP!$A$5:$A$9,1)),0))</f>
        <v>31</v>
      </c>
      <c r="D259" s="12" t="str">
        <f aca="false">IF(NOT(ISNUMBER(C259)),"",INDEX(BP!$F$5:$F$9,MATCH(C259,BP!$E$5:$E$9,1)))</f>
        <v>ดี</v>
      </c>
      <c r="E259" s="12" t="n">
        <f aca="false">YEAR(A259)</f>
        <v>2021</v>
      </c>
      <c r="F259" s="12" t="n">
        <f aca="false">MONTH(A259)</f>
        <v>9</v>
      </c>
      <c r="G259" s="12" t="n">
        <v>9.3</v>
      </c>
      <c r="H259" s="12" t="n">
        <v>20.9</v>
      </c>
      <c r="I259" s="12" t="n">
        <v>286</v>
      </c>
      <c r="J259" s="12" t="n">
        <v>0.4</v>
      </c>
      <c r="K259" s="12" t="n">
        <v>0.2</v>
      </c>
      <c r="L259" s="12" t="s">
        <v>36</v>
      </c>
    </row>
    <row r="260" customFormat="false" ht="15" hidden="false" customHeight="false" outlineLevel="0" collapsed="false">
      <c r="A260" s="11" t="n">
        <v>44455</v>
      </c>
      <c r="B260" s="12" t="n">
        <v>21</v>
      </c>
      <c r="C260" s="12" t="n">
        <f aca="false">IF(NOT(ISNUMBER(B260)),"",ROUND((INDEX(BP!$D$5:$D$9,MATCH(B260,BP!$A$5:$A$9,1))-INDEX(BP!$C$5:$C$9,MATCH(B260,BP!$A$5:$A$9,1)))/(INDEX(BP!$B$5:$B$9,MATCH(B260,BP!$A$5:$A$9,1))-INDEX(BP!$A$5:$A$9,MATCH(B260,BP!$A$5:$A$9,1)))*(B260-INDEX(BP!$A$5:$A$9,MATCH(B260,BP!$A$5:$A$9,1)))+INDEX(BP!$C$5:$C$9,MATCH(B260,BP!$A$5:$A$9,1)),0))</f>
        <v>40</v>
      </c>
      <c r="D260" s="12" t="str">
        <f aca="false">IF(NOT(ISNUMBER(C260)),"",INDEX(BP!$F$5:$F$9,MATCH(C260,BP!$E$5:$E$9,1)))</f>
        <v>ดี</v>
      </c>
      <c r="E260" s="12" t="n">
        <f aca="false">YEAR(A260)</f>
        <v>2021</v>
      </c>
      <c r="F260" s="12" t="n">
        <f aca="false">MONTH(A260)</f>
        <v>9</v>
      </c>
      <c r="G260" s="12" t="n">
        <v>12</v>
      </c>
      <c r="H260" s="12" t="n">
        <v>29.5</v>
      </c>
      <c r="I260" s="12" t="n">
        <v>108</v>
      </c>
      <c r="J260" s="12" t="n">
        <v>7.1</v>
      </c>
      <c r="K260" s="12" t="n">
        <v>0</v>
      </c>
      <c r="L260" s="12" t="s">
        <v>36</v>
      </c>
    </row>
    <row r="261" customFormat="false" ht="15" hidden="false" customHeight="false" outlineLevel="0" collapsed="false">
      <c r="A261" s="11" t="n">
        <v>44456</v>
      </c>
      <c r="B261" s="12" t="n">
        <v>22</v>
      </c>
      <c r="C261" s="12" t="n">
        <f aca="false">IF(NOT(ISNUMBER(B261)),"",ROUND((INDEX(BP!$D$5:$D$9,MATCH(B261,BP!$A$5:$A$9,1))-INDEX(BP!$C$5:$C$9,MATCH(B261,BP!$A$5:$A$9,1)))/(INDEX(BP!$B$5:$B$9,MATCH(B261,BP!$A$5:$A$9,1))-INDEX(BP!$A$5:$A$9,MATCH(B261,BP!$A$5:$A$9,1)))*(B261-INDEX(BP!$A$5:$A$9,MATCH(B261,BP!$A$5:$A$9,1)))+INDEX(BP!$C$5:$C$9,MATCH(B261,BP!$A$5:$A$9,1)),0))</f>
        <v>43</v>
      </c>
      <c r="D261" s="12" t="str">
        <f aca="false">IF(NOT(ISNUMBER(C261)),"",INDEX(BP!$F$5:$F$9,MATCH(C261,BP!$E$5:$E$9,1)))</f>
        <v>ดี</v>
      </c>
      <c r="E261" s="12" t="n">
        <f aca="false">YEAR(A261)</f>
        <v>2021</v>
      </c>
      <c r="F261" s="12" t="n">
        <f aca="false">MONTH(A261)</f>
        <v>9</v>
      </c>
      <c r="G261" s="12" t="n">
        <v>9</v>
      </c>
      <c r="H261" s="12" t="n">
        <v>26.3</v>
      </c>
      <c r="I261" s="12" t="n">
        <v>117</v>
      </c>
      <c r="J261" s="12" t="n">
        <v>1.6</v>
      </c>
      <c r="K261" s="12" t="n">
        <v>1.8</v>
      </c>
      <c r="L261" s="12" t="s">
        <v>36</v>
      </c>
    </row>
    <row r="262" customFormat="false" ht="15" hidden="false" customHeight="false" outlineLevel="0" collapsed="false">
      <c r="A262" s="11" t="n">
        <v>44457</v>
      </c>
      <c r="B262" s="12" t="n">
        <v>21</v>
      </c>
      <c r="C262" s="12" t="n">
        <f aca="false">IF(NOT(ISNUMBER(B262)),"",ROUND((INDEX(BP!$D$5:$D$9,MATCH(B262,BP!$A$5:$A$9,1))-INDEX(BP!$C$5:$C$9,MATCH(B262,BP!$A$5:$A$9,1)))/(INDEX(BP!$B$5:$B$9,MATCH(B262,BP!$A$5:$A$9,1))-INDEX(BP!$A$5:$A$9,MATCH(B262,BP!$A$5:$A$9,1)))*(B262-INDEX(BP!$A$5:$A$9,MATCH(B262,BP!$A$5:$A$9,1)))+INDEX(BP!$C$5:$C$9,MATCH(B262,BP!$A$5:$A$9,1)),0))</f>
        <v>40</v>
      </c>
      <c r="D262" s="12" t="str">
        <f aca="false">IF(NOT(ISNUMBER(C262)),"",INDEX(BP!$F$5:$F$9,MATCH(C262,BP!$E$5:$E$9,1)))</f>
        <v>ดี</v>
      </c>
      <c r="E262" s="12" t="n">
        <f aca="false">YEAR(A262)</f>
        <v>2021</v>
      </c>
      <c r="F262" s="12" t="n">
        <f aca="false">MONTH(A262)</f>
        <v>9</v>
      </c>
      <c r="G262" s="12" t="n">
        <v>10.7</v>
      </c>
      <c r="H262" s="12" t="n">
        <v>28.4</v>
      </c>
      <c r="I262" s="12" t="n">
        <v>90</v>
      </c>
      <c r="J262" s="12" t="n">
        <v>0.3</v>
      </c>
      <c r="K262" s="12" t="n">
        <v>0</v>
      </c>
      <c r="L262" s="12" t="s">
        <v>35</v>
      </c>
    </row>
    <row r="263" customFormat="false" ht="15" hidden="false" customHeight="false" outlineLevel="0" collapsed="false">
      <c r="A263" s="11" t="n">
        <v>44458</v>
      </c>
      <c r="B263" s="12" t="n">
        <v>16</v>
      </c>
      <c r="C263" s="12" t="n">
        <f aca="false">IF(NOT(ISNUMBER(B263)),"",ROUND((INDEX(BP!$D$5:$D$9,MATCH(B263,BP!$A$5:$A$9,1))-INDEX(BP!$C$5:$C$9,MATCH(B263,BP!$A$5:$A$9,1)))/(INDEX(BP!$B$5:$B$9,MATCH(B263,BP!$A$5:$A$9,1))-INDEX(BP!$A$5:$A$9,MATCH(B263,BP!$A$5:$A$9,1)))*(B263-INDEX(BP!$A$5:$A$9,MATCH(B263,BP!$A$5:$A$9,1)))+INDEX(BP!$C$5:$C$9,MATCH(B263,BP!$A$5:$A$9,1)),0))</f>
        <v>28</v>
      </c>
      <c r="D263" s="12" t="str">
        <f aca="false">IF(NOT(ISNUMBER(C263)),"",INDEX(BP!$F$5:$F$9,MATCH(C263,BP!$E$5:$E$9,1)))</f>
        <v>ดี</v>
      </c>
      <c r="E263" s="12" t="n">
        <f aca="false">YEAR(A263)</f>
        <v>2021</v>
      </c>
      <c r="F263" s="12" t="n">
        <f aca="false">MONTH(A263)</f>
        <v>9</v>
      </c>
      <c r="G263" s="12" t="n">
        <v>13.9</v>
      </c>
      <c r="H263" s="12" t="n">
        <v>32.4</v>
      </c>
      <c r="I263" s="12" t="n">
        <v>225</v>
      </c>
      <c r="J263" s="12" t="n">
        <v>8.6</v>
      </c>
      <c r="K263" s="12" t="n">
        <v>0.2</v>
      </c>
      <c r="L263" s="12" t="s">
        <v>35</v>
      </c>
    </row>
    <row r="264" customFormat="false" ht="15" hidden="false" customHeight="false" outlineLevel="0" collapsed="false">
      <c r="A264" s="11" t="n">
        <v>44459</v>
      </c>
      <c r="B264" s="12" t="n">
        <v>10</v>
      </c>
      <c r="C264" s="12" t="n">
        <f aca="false">IF(NOT(ISNUMBER(B264)),"",ROUND((INDEX(BP!$D$5:$D$9,MATCH(B264,BP!$A$5:$A$9,1))-INDEX(BP!$C$5:$C$9,MATCH(B264,BP!$A$5:$A$9,1)))/(INDEX(BP!$B$5:$B$9,MATCH(B264,BP!$A$5:$A$9,1))-INDEX(BP!$A$5:$A$9,MATCH(B264,BP!$A$5:$A$9,1)))*(B264-INDEX(BP!$A$5:$A$9,MATCH(B264,BP!$A$5:$A$9,1)))+INDEX(BP!$C$5:$C$9,MATCH(B264,BP!$A$5:$A$9,1)),0))</f>
        <v>17</v>
      </c>
      <c r="D264" s="12" t="str">
        <f aca="false">IF(NOT(ISNUMBER(C264)),"",INDEX(BP!$F$5:$F$9,MATCH(C264,BP!$E$5:$E$9,1)))</f>
        <v>ดีมาก</v>
      </c>
      <c r="E264" s="12" t="n">
        <f aca="false">YEAR(A264)</f>
        <v>2021</v>
      </c>
      <c r="F264" s="12" t="n">
        <f aca="false">MONTH(A264)</f>
        <v>9</v>
      </c>
      <c r="G264" s="12" t="n">
        <v>20.2</v>
      </c>
      <c r="H264" s="12" t="n">
        <v>42.8</v>
      </c>
      <c r="I264" s="12" t="n">
        <v>227</v>
      </c>
      <c r="J264" s="12" t="n">
        <v>0.1</v>
      </c>
      <c r="K264" s="12" t="n">
        <v>0</v>
      </c>
      <c r="L264" s="12" t="s">
        <v>36</v>
      </c>
    </row>
    <row r="265" customFormat="false" ht="15" hidden="false" customHeight="false" outlineLevel="0" collapsed="false">
      <c r="A265" s="11" t="n">
        <v>44460</v>
      </c>
      <c r="B265" s="12" t="n">
        <v>15</v>
      </c>
      <c r="C265" s="12" t="n">
        <f aca="false">IF(NOT(ISNUMBER(B265)),"",ROUND((INDEX(BP!$D$5:$D$9,MATCH(B265,BP!$A$5:$A$9,1))-INDEX(BP!$C$5:$C$9,MATCH(B265,BP!$A$5:$A$9,1)))/(INDEX(BP!$B$5:$B$9,MATCH(B265,BP!$A$5:$A$9,1))-INDEX(BP!$A$5:$A$9,MATCH(B265,BP!$A$5:$A$9,1)))*(B265-INDEX(BP!$A$5:$A$9,MATCH(B265,BP!$A$5:$A$9,1)))+INDEX(BP!$C$5:$C$9,MATCH(B265,BP!$A$5:$A$9,1)),0))</f>
        <v>25</v>
      </c>
      <c r="D265" s="12" t="str">
        <f aca="false">IF(NOT(ISNUMBER(C265)),"",INDEX(BP!$F$5:$F$9,MATCH(C265,BP!$E$5:$E$9,1)))</f>
        <v>ดีมาก</v>
      </c>
      <c r="E265" s="12" t="n">
        <f aca="false">YEAR(A265)</f>
        <v>2021</v>
      </c>
      <c r="F265" s="12" t="n">
        <f aca="false">MONTH(A265)</f>
        <v>9</v>
      </c>
      <c r="G265" s="12" t="n">
        <v>17.4</v>
      </c>
      <c r="H265" s="12" t="n">
        <v>39.2</v>
      </c>
      <c r="I265" s="12" t="n">
        <v>234</v>
      </c>
      <c r="J265" s="12" t="n">
        <v>4.3</v>
      </c>
      <c r="K265" s="12" t="n">
        <v>1.8</v>
      </c>
      <c r="L265" s="12" t="s">
        <v>36</v>
      </c>
    </row>
    <row r="266" customFormat="false" ht="15" hidden="false" customHeight="false" outlineLevel="0" collapsed="false">
      <c r="A266" s="11" t="n">
        <v>44461</v>
      </c>
      <c r="B266" s="12" t="n">
        <v>14</v>
      </c>
      <c r="C266" s="12" t="n">
        <f aca="false">IF(NOT(ISNUMBER(B266)),"",ROUND((INDEX(BP!$D$5:$D$9,MATCH(B266,BP!$A$5:$A$9,1))-INDEX(BP!$C$5:$C$9,MATCH(B266,BP!$A$5:$A$9,1)))/(INDEX(BP!$B$5:$B$9,MATCH(B266,BP!$A$5:$A$9,1))-INDEX(BP!$A$5:$A$9,MATCH(B266,BP!$A$5:$A$9,1)))*(B266-INDEX(BP!$A$5:$A$9,MATCH(B266,BP!$A$5:$A$9,1)))+INDEX(BP!$C$5:$C$9,MATCH(B266,BP!$A$5:$A$9,1)),0))</f>
        <v>23</v>
      </c>
      <c r="D266" s="12" t="str">
        <f aca="false">IF(NOT(ISNUMBER(C266)),"",INDEX(BP!$F$5:$F$9,MATCH(C266,BP!$E$5:$E$9,1)))</f>
        <v>ดีมาก</v>
      </c>
      <c r="E266" s="12" t="n">
        <f aca="false">YEAR(A266)</f>
        <v>2021</v>
      </c>
      <c r="F266" s="12" t="n">
        <f aca="false">MONTH(A266)</f>
        <v>9</v>
      </c>
      <c r="G266" s="12" t="n">
        <v>13.4</v>
      </c>
      <c r="H266" s="12" t="n">
        <v>33.8</v>
      </c>
      <c r="I266" s="12" t="n">
        <v>238</v>
      </c>
      <c r="J266" s="12" t="n">
        <v>3</v>
      </c>
      <c r="K266" s="12" t="n">
        <v>3.4</v>
      </c>
      <c r="L266" s="12" t="s">
        <v>36</v>
      </c>
    </row>
    <row r="267" customFormat="false" ht="15" hidden="false" customHeight="false" outlineLevel="0" collapsed="false">
      <c r="A267" s="11" t="n">
        <v>44462</v>
      </c>
      <c r="B267" s="12" t="n">
        <v>19</v>
      </c>
      <c r="C267" s="12" t="n">
        <f aca="false">IF(NOT(ISNUMBER(B267)),"",ROUND((INDEX(BP!$D$5:$D$9,MATCH(B267,BP!$A$5:$A$9,1))-INDEX(BP!$C$5:$C$9,MATCH(B267,BP!$A$5:$A$9,1)))/(INDEX(BP!$B$5:$B$9,MATCH(B267,BP!$A$5:$A$9,1))-INDEX(BP!$A$5:$A$9,MATCH(B267,BP!$A$5:$A$9,1)))*(B267-INDEX(BP!$A$5:$A$9,MATCH(B267,BP!$A$5:$A$9,1)))+INDEX(BP!$C$5:$C$9,MATCH(B267,BP!$A$5:$A$9,1)),0))</f>
        <v>35</v>
      </c>
      <c r="D267" s="12" t="str">
        <f aca="false">IF(NOT(ISNUMBER(C267)),"",INDEX(BP!$F$5:$F$9,MATCH(C267,BP!$E$5:$E$9,1)))</f>
        <v>ดี</v>
      </c>
      <c r="E267" s="12" t="n">
        <f aca="false">YEAR(A267)</f>
        <v>2021</v>
      </c>
      <c r="F267" s="12" t="n">
        <f aca="false">MONTH(A267)</f>
        <v>9</v>
      </c>
      <c r="G267" s="12" t="n">
        <v>10.9</v>
      </c>
      <c r="H267" s="12" t="n">
        <v>24.8</v>
      </c>
      <c r="I267" s="12" t="n">
        <v>120</v>
      </c>
      <c r="J267" s="12" t="n">
        <v>1.3</v>
      </c>
      <c r="K267" s="12" t="n">
        <v>0</v>
      </c>
      <c r="L267" s="12" t="s">
        <v>36</v>
      </c>
    </row>
    <row r="268" customFormat="false" ht="15" hidden="false" customHeight="false" outlineLevel="0" collapsed="false">
      <c r="A268" s="11" t="n">
        <v>44463</v>
      </c>
      <c r="B268" s="12" t="n">
        <v>22</v>
      </c>
      <c r="C268" s="12" t="n">
        <f aca="false">IF(NOT(ISNUMBER(B268)),"",ROUND((INDEX(BP!$D$5:$D$9,MATCH(B268,BP!$A$5:$A$9,1))-INDEX(BP!$C$5:$C$9,MATCH(B268,BP!$A$5:$A$9,1)))/(INDEX(BP!$B$5:$B$9,MATCH(B268,BP!$A$5:$A$9,1))-INDEX(BP!$A$5:$A$9,MATCH(B268,BP!$A$5:$A$9,1)))*(B268-INDEX(BP!$A$5:$A$9,MATCH(B268,BP!$A$5:$A$9,1)))+INDEX(BP!$C$5:$C$9,MATCH(B268,BP!$A$5:$A$9,1)),0))</f>
        <v>43</v>
      </c>
      <c r="D268" s="12" t="str">
        <f aca="false">IF(NOT(ISNUMBER(C268)),"",INDEX(BP!$F$5:$F$9,MATCH(C268,BP!$E$5:$E$9,1)))</f>
        <v>ดี</v>
      </c>
      <c r="E268" s="12" t="n">
        <f aca="false">YEAR(A268)</f>
        <v>2021</v>
      </c>
      <c r="F268" s="12" t="n">
        <f aca="false">MONTH(A268)</f>
        <v>9</v>
      </c>
      <c r="G268" s="12" t="n">
        <v>7.6</v>
      </c>
      <c r="H268" s="12" t="n">
        <v>30.2</v>
      </c>
      <c r="I268" s="12" t="n">
        <v>24</v>
      </c>
      <c r="J268" s="12" t="n">
        <v>0.2</v>
      </c>
      <c r="K268" s="12" t="n">
        <v>0</v>
      </c>
      <c r="L268" s="12" t="s">
        <v>34</v>
      </c>
    </row>
    <row r="269" customFormat="false" ht="15" hidden="false" customHeight="false" outlineLevel="0" collapsed="false">
      <c r="A269" s="11" t="n">
        <v>44464</v>
      </c>
      <c r="B269" s="12" t="n">
        <v>17</v>
      </c>
      <c r="C269" s="12" t="n">
        <f aca="false">IF(NOT(ISNUMBER(B269)),"",ROUND((INDEX(BP!$D$5:$D$9,MATCH(B269,BP!$A$5:$A$9,1))-INDEX(BP!$C$5:$C$9,MATCH(B269,BP!$A$5:$A$9,1)))/(INDEX(BP!$B$5:$B$9,MATCH(B269,BP!$A$5:$A$9,1))-INDEX(BP!$A$5:$A$9,MATCH(B269,BP!$A$5:$A$9,1)))*(B269-INDEX(BP!$A$5:$A$9,MATCH(B269,BP!$A$5:$A$9,1)))+INDEX(BP!$C$5:$C$9,MATCH(B269,BP!$A$5:$A$9,1)),0))</f>
        <v>31</v>
      </c>
      <c r="D269" s="12" t="str">
        <f aca="false">IF(NOT(ISNUMBER(C269)),"",INDEX(BP!$F$5:$F$9,MATCH(C269,BP!$E$5:$E$9,1)))</f>
        <v>ดี</v>
      </c>
      <c r="E269" s="12" t="n">
        <f aca="false">YEAR(A269)</f>
        <v>2021</v>
      </c>
      <c r="F269" s="12" t="n">
        <f aca="false">MONTH(A269)</f>
        <v>9</v>
      </c>
      <c r="G269" s="12" t="n">
        <v>7.7</v>
      </c>
      <c r="H269" s="12" t="n">
        <v>31</v>
      </c>
      <c r="I269" s="12" t="n">
        <v>305</v>
      </c>
      <c r="J269" s="12" t="n">
        <v>3.6</v>
      </c>
      <c r="K269" s="12" t="n">
        <v>19.6</v>
      </c>
      <c r="L269" s="12" t="s">
        <v>35</v>
      </c>
    </row>
    <row r="270" customFormat="false" ht="15" hidden="false" customHeight="false" outlineLevel="0" collapsed="false">
      <c r="A270" s="11" t="n">
        <v>44465</v>
      </c>
      <c r="B270" s="12" t="n">
        <v>11</v>
      </c>
      <c r="C270" s="12" t="n">
        <f aca="false">IF(NOT(ISNUMBER(B270)),"",ROUND((INDEX(BP!$D$5:$D$9,MATCH(B270,BP!$A$5:$A$9,1))-INDEX(BP!$C$5:$C$9,MATCH(B270,BP!$A$5:$A$9,1)))/(INDEX(BP!$B$5:$B$9,MATCH(B270,BP!$A$5:$A$9,1))-INDEX(BP!$A$5:$A$9,MATCH(B270,BP!$A$5:$A$9,1)))*(B270-INDEX(BP!$A$5:$A$9,MATCH(B270,BP!$A$5:$A$9,1)))+INDEX(BP!$C$5:$C$9,MATCH(B270,BP!$A$5:$A$9,1)),0))</f>
        <v>18</v>
      </c>
      <c r="D270" s="12" t="str">
        <f aca="false">IF(NOT(ISNUMBER(C270)),"",INDEX(BP!$F$5:$F$9,MATCH(C270,BP!$E$5:$E$9,1)))</f>
        <v>ดีมาก</v>
      </c>
      <c r="E270" s="12" t="n">
        <f aca="false">YEAR(A270)</f>
        <v>2021</v>
      </c>
      <c r="F270" s="12" t="n">
        <f aca="false">MONTH(A270)</f>
        <v>9</v>
      </c>
      <c r="G270" s="12" t="n">
        <v>11.2</v>
      </c>
      <c r="H270" s="12" t="n">
        <v>37.1</v>
      </c>
      <c r="I270" s="12" t="n">
        <v>276</v>
      </c>
      <c r="J270" s="12" t="n">
        <v>20.9</v>
      </c>
      <c r="K270" s="12" t="n">
        <v>7.4</v>
      </c>
      <c r="L270" s="12" t="s">
        <v>35</v>
      </c>
    </row>
    <row r="271" customFormat="false" ht="15" hidden="false" customHeight="false" outlineLevel="0" collapsed="false">
      <c r="A271" s="11" t="n">
        <v>44466</v>
      </c>
      <c r="B271" s="12" t="n">
        <v>13</v>
      </c>
      <c r="C271" s="12" t="n">
        <f aca="false">IF(NOT(ISNUMBER(B271)),"",ROUND((INDEX(BP!$D$5:$D$9,MATCH(B271,BP!$A$5:$A$9,1))-INDEX(BP!$C$5:$C$9,MATCH(B271,BP!$A$5:$A$9,1)))/(INDEX(BP!$B$5:$B$9,MATCH(B271,BP!$A$5:$A$9,1))-INDEX(BP!$A$5:$A$9,MATCH(B271,BP!$A$5:$A$9,1)))*(B271-INDEX(BP!$A$5:$A$9,MATCH(B271,BP!$A$5:$A$9,1)))+INDEX(BP!$C$5:$C$9,MATCH(B271,BP!$A$5:$A$9,1)),0))</f>
        <v>22</v>
      </c>
      <c r="D271" s="12" t="str">
        <f aca="false">IF(NOT(ISNUMBER(C271)),"",INDEX(BP!$F$5:$F$9,MATCH(C271,BP!$E$5:$E$9,1)))</f>
        <v>ดีมาก</v>
      </c>
      <c r="E271" s="12" t="n">
        <f aca="false">YEAR(A271)</f>
        <v>2021</v>
      </c>
      <c r="F271" s="12" t="n">
        <f aca="false">MONTH(A271)</f>
        <v>9</v>
      </c>
      <c r="G271" s="12" t="n">
        <v>9.1</v>
      </c>
      <c r="H271" s="12" t="n">
        <v>22.3</v>
      </c>
      <c r="I271" s="12" t="n">
        <v>133</v>
      </c>
      <c r="J271" s="12" t="n">
        <v>3.5</v>
      </c>
      <c r="K271" s="12" t="n">
        <v>10</v>
      </c>
      <c r="L271" s="12" t="s">
        <v>36</v>
      </c>
    </row>
    <row r="272" customFormat="false" ht="15" hidden="false" customHeight="false" outlineLevel="0" collapsed="false">
      <c r="A272" s="11" t="n">
        <v>44467</v>
      </c>
      <c r="B272" s="12" t="n">
        <v>10</v>
      </c>
      <c r="C272" s="12" t="n">
        <f aca="false">IF(NOT(ISNUMBER(B272)),"",ROUND((INDEX(BP!$D$5:$D$9,MATCH(B272,BP!$A$5:$A$9,1))-INDEX(BP!$C$5:$C$9,MATCH(B272,BP!$A$5:$A$9,1)))/(INDEX(BP!$B$5:$B$9,MATCH(B272,BP!$A$5:$A$9,1))-INDEX(BP!$A$5:$A$9,MATCH(B272,BP!$A$5:$A$9,1)))*(B272-INDEX(BP!$A$5:$A$9,MATCH(B272,BP!$A$5:$A$9,1)))+INDEX(BP!$C$5:$C$9,MATCH(B272,BP!$A$5:$A$9,1)),0))</f>
        <v>17</v>
      </c>
      <c r="D272" s="12" t="str">
        <f aca="false">IF(NOT(ISNUMBER(C272)),"",INDEX(BP!$F$5:$F$9,MATCH(C272,BP!$E$5:$E$9,1)))</f>
        <v>ดีมาก</v>
      </c>
      <c r="E272" s="12" t="n">
        <f aca="false">YEAR(A272)</f>
        <v>2021</v>
      </c>
      <c r="F272" s="12" t="n">
        <f aca="false">MONTH(A272)</f>
        <v>9</v>
      </c>
      <c r="G272" s="12" t="n">
        <v>11.6</v>
      </c>
      <c r="H272" s="12" t="n">
        <v>28.8</v>
      </c>
      <c r="I272" s="12" t="n">
        <v>15</v>
      </c>
      <c r="J272" s="12" t="n">
        <v>12.8</v>
      </c>
      <c r="K272" s="12" t="n">
        <v>0.2</v>
      </c>
      <c r="L272" s="12" t="s">
        <v>36</v>
      </c>
    </row>
    <row r="273" customFormat="false" ht="15" hidden="false" customHeight="false" outlineLevel="0" collapsed="false">
      <c r="A273" s="11" t="n">
        <v>44468</v>
      </c>
      <c r="B273" s="12" t="n">
        <v>17</v>
      </c>
      <c r="C273" s="12" t="n">
        <f aca="false">IF(NOT(ISNUMBER(B273)),"",ROUND((INDEX(BP!$D$5:$D$9,MATCH(B273,BP!$A$5:$A$9,1))-INDEX(BP!$C$5:$C$9,MATCH(B273,BP!$A$5:$A$9,1)))/(INDEX(BP!$B$5:$B$9,MATCH(B273,BP!$A$5:$A$9,1))-INDEX(BP!$A$5:$A$9,MATCH(B273,BP!$A$5:$A$9,1)))*(B273-INDEX(BP!$A$5:$A$9,MATCH(B273,BP!$A$5:$A$9,1)))+INDEX(BP!$C$5:$C$9,MATCH(B273,BP!$A$5:$A$9,1)),0))</f>
        <v>31</v>
      </c>
      <c r="D273" s="12" t="str">
        <f aca="false">IF(NOT(ISNUMBER(C273)),"",INDEX(BP!$F$5:$F$9,MATCH(C273,BP!$E$5:$E$9,1)))</f>
        <v>ดี</v>
      </c>
      <c r="E273" s="12" t="n">
        <f aca="false">YEAR(A273)</f>
        <v>2021</v>
      </c>
      <c r="F273" s="12" t="n">
        <f aca="false">MONTH(A273)</f>
        <v>9</v>
      </c>
      <c r="G273" s="12" t="n">
        <v>10.8</v>
      </c>
      <c r="H273" s="12" t="n">
        <v>29.2</v>
      </c>
      <c r="I273" s="12" t="n">
        <v>115</v>
      </c>
      <c r="J273" s="12" t="n">
        <v>13.8</v>
      </c>
      <c r="K273" s="12" t="n">
        <v>0.8</v>
      </c>
      <c r="L273" s="12" t="s">
        <v>36</v>
      </c>
    </row>
    <row r="274" customFormat="false" ht="15" hidden="false" customHeight="false" outlineLevel="0" collapsed="false">
      <c r="A274" s="11" t="n">
        <v>44469</v>
      </c>
      <c r="B274" s="12" t="n">
        <v>16</v>
      </c>
      <c r="C274" s="12" t="n">
        <f aca="false">IF(NOT(ISNUMBER(B274)),"",ROUND((INDEX(BP!$D$5:$D$9,MATCH(B274,BP!$A$5:$A$9,1))-INDEX(BP!$C$5:$C$9,MATCH(B274,BP!$A$5:$A$9,1)))/(INDEX(BP!$B$5:$B$9,MATCH(B274,BP!$A$5:$A$9,1))-INDEX(BP!$A$5:$A$9,MATCH(B274,BP!$A$5:$A$9,1)))*(B274-INDEX(BP!$A$5:$A$9,MATCH(B274,BP!$A$5:$A$9,1)))+INDEX(BP!$C$5:$C$9,MATCH(B274,BP!$A$5:$A$9,1)),0))</f>
        <v>28</v>
      </c>
      <c r="D274" s="12" t="str">
        <f aca="false">IF(NOT(ISNUMBER(C274)),"",INDEX(BP!$F$5:$F$9,MATCH(C274,BP!$E$5:$E$9,1)))</f>
        <v>ดี</v>
      </c>
      <c r="E274" s="12" t="n">
        <f aca="false">YEAR(A274)</f>
        <v>2021</v>
      </c>
      <c r="F274" s="12" t="n">
        <f aca="false">MONTH(A274)</f>
        <v>9</v>
      </c>
      <c r="G274" s="12" t="n">
        <v>9.6</v>
      </c>
      <c r="H274" s="12" t="n">
        <v>28.1</v>
      </c>
      <c r="I274" s="12" t="n">
        <v>156</v>
      </c>
      <c r="J274" s="12" t="n">
        <v>3.1</v>
      </c>
      <c r="K274" s="12" t="n">
        <v>3.2</v>
      </c>
      <c r="L274" s="12" t="s">
        <v>36</v>
      </c>
    </row>
    <row r="275" customFormat="false" ht="15" hidden="false" customHeight="false" outlineLevel="0" collapsed="false">
      <c r="A275" s="11" t="n">
        <v>44470</v>
      </c>
      <c r="B275" s="12" t="n">
        <v>14</v>
      </c>
      <c r="C275" s="12" t="n">
        <f aca="false">IF(NOT(ISNUMBER(B275)),"",ROUND((INDEX(BP!$D$5:$D$9,MATCH(B275,BP!$A$5:$A$9,1))-INDEX(BP!$C$5:$C$9,MATCH(B275,BP!$A$5:$A$9,1)))/(INDEX(BP!$B$5:$B$9,MATCH(B275,BP!$A$5:$A$9,1))-INDEX(BP!$A$5:$A$9,MATCH(B275,BP!$A$5:$A$9,1)))*(B275-INDEX(BP!$A$5:$A$9,MATCH(B275,BP!$A$5:$A$9,1)))+INDEX(BP!$C$5:$C$9,MATCH(B275,BP!$A$5:$A$9,1)),0))</f>
        <v>23</v>
      </c>
      <c r="D275" s="12" t="str">
        <f aca="false">IF(NOT(ISNUMBER(C275)),"",INDEX(BP!$F$5:$F$9,MATCH(C275,BP!$E$5:$E$9,1)))</f>
        <v>ดีมาก</v>
      </c>
      <c r="E275" s="12" t="n">
        <f aca="false">YEAR(A275)</f>
        <v>2021</v>
      </c>
      <c r="F275" s="12" t="n">
        <f aca="false">MONTH(A275)</f>
        <v>10</v>
      </c>
      <c r="G275" s="12" t="n">
        <v>14.8</v>
      </c>
      <c r="H275" s="12" t="n">
        <v>28.1</v>
      </c>
      <c r="I275" s="12" t="n">
        <v>212</v>
      </c>
      <c r="J275" s="12" t="n">
        <v>12.5</v>
      </c>
      <c r="K275" s="12" t="n">
        <v>0</v>
      </c>
      <c r="L275" s="12" t="s">
        <v>36</v>
      </c>
    </row>
    <row r="276" customFormat="false" ht="15" hidden="false" customHeight="false" outlineLevel="0" collapsed="false">
      <c r="A276" s="11" t="n">
        <v>44471</v>
      </c>
      <c r="B276" s="12" t="n">
        <v>17</v>
      </c>
      <c r="C276" s="12" t="n">
        <f aca="false">IF(NOT(ISNUMBER(B276)),"",ROUND((INDEX(BP!$D$5:$D$9,MATCH(B276,BP!$A$5:$A$9,1))-INDEX(BP!$C$5:$C$9,MATCH(B276,BP!$A$5:$A$9,1)))/(INDEX(BP!$B$5:$B$9,MATCH(B276,BP!$A$5:$A$9,1))-INDEX(BP!$A$5:$A$9,MATCH(B276,BP!$A$5:$A$9,1)))*(B276-INDEX(BP!$A$5:$A$9,MATCH(B276,BP!$A$5:$A$9,1)))+INDEX(BP!$C$5:$C$9,MATCH(B276,BP!$A$5:$A$9,1)),0))</f>
        <v>31</v>
      </c>
      <c r="D276" s="12" t="str">
        <f aca="false">IF(NOT(ISNUMBER(C276)),"",INDEX(BP!$F$5:$F$9,MATCH(C276,BP!$E$5:$E$9,1)))</f>
        <v>ดี</v>
      </c>
      <c r="E276" s="12" t="n">
        <f aca="false">YEAR(A276)</f>
        <v>2021</v>
      </c>
      <c r="F276" s="12" t="n">
        <f aca="false">MONTH(A276)</f>
        <v>10</v>
      </c>
      <c r="G276" s="12" t="n">
        <v>8.2</v>
      </c>
      <c r="H276" s="12" t="n">
        <v>28.4</v>
      </c>
      <c r="I276" s="12" t="n">
        <v>21</v>
      </c>
      <c r="J276" s="12" t="n">
        <v>0.5</v>
      </c>
      <c r="K276" s="12" t="n">
        <v>0</v>
      </c>
      <c r="L276" s="12" t="s">
        <v>35</v>
      </c>
    </row>
    <row r="277" customFormat="false" ht="15" hidden="false" customHeight="false" outlineLevel="0" collapsed="false">
      <c r="A277" s="11" t="n">
        <v>44472</v>
      </c>
      <c r="B277" s="12" t="n">
        <v>21</v>
      </c>
      <c r="C277" s="12" t="n">
        <f aca="false">IF(NOT(ISNUMBER(B277)),"",ROUND((INDEX(BP!$D$5:$D$9,MATCH(B277,BP!$A$5:$A$9,1))-INDEX(BP!$C$5:$C$9,MATCH(B277,BP!$A$5:$A$9,1)))/(INDEX(BP!$B$5:$B$9,MATCH(B277,BP!$A$5:$A$9,1))-INDEX(BP!$A$5:$A$9,MATCH(B277,BP!$A$5:$A$9,1)))*(B277-INDEX(BP!$A$5:$A$9,MATCH(B277,BP!$A$5:$A$9,1)))+INDEX(BP!$C$5:$C$9,MATCH(B277,BP!$A$5:$A$9,1)),0))</f>
        <v>40</v>
      </c>
      <c r="D277" s="12" t="str">
        <f aca="false">IF(NOT(ISNUMBER(C277)),"",INDEX(BP!$F$5:$F$9,MATCH(C277,BP!$E$5:$E$9,1)))</f>
        <v>ดี</v>
      </c>
      <c r="E277" s="12" t="n">
        <f aca="false">YEAR(A277)</f>
        <v>2021</v>
      </c>
      <c r="F277" s="12" t="n">
        <f aca="false">MONTH(A277)</f>
        <v>10</v>
      </c>
      <c r="G277" s="12" t="n">
        <v>8.8</v>
      </c>
      <c r="H277" s="12" t="n">
        <v>25.2</v>
      </c>
      <c r="I277" s="12" t="n">
        <v>37</v>
      </c>
      <c r="J277" s="12" t="n">
        <v>2.4</v>
      </c>
      <c r="K277" s="12" t="n">
        <v>0.2</v>
      </c>
      <c r="L277" s="12" t="s">
        <v>35</v>
      </c>
    </row>
    <row r="278" customFormat="false" ht="15" hidden="false" customHeight="false" outlineLevel="0" collapsed="false">
      <c r="A278" s="11" t="n">
        <v>44473</v>
      </c>
      <c r="B278" s="12" t="n">
        <v>18</v>
      </c>
      <c r="C278" s="12" t="n">
        <f aca="false">IF(NOT(ISNUMBER(B278)),"",ROUND((INDEX(BP!$D$5:$D$9,MATCH(B278,BP!$A$5:$A$9,1))-INDEX(BP!$C$5:$C$9,MATCH(B278,BP!$A$5:$A$9,1)))/(INDEX(BP!$B$5:$B$9,MATCH(B278,BP!$A$5:$A$9,1))-INDEX(BP!$A$5:$A$9,MATCH(B278,BP!$A$5:$A$9,1)))*(B278-INDEX(BP!$A$5:$A$9,MATCH(B278,BP!$A$5:$A$9,1)))+INDEX(BP!$C$5:$C$9,MATCH(B278,BP!$A$5:$A$9,1)),0))</f>
        <v>33</v>
      </c>
      <c r="D278" s="12" t="str">
        <f aca="false">IF(NOT(ISNUMBER(C278)),"",INDEX(BP!$F$5:$F$9,MATCH(C278,BP!$E$5:$E$9,1)))</f>
        <v>ดี</v>
      </c>
      <c r="E278" s="12" t="n">
        <f aca="false">YEAR(A278)</f>
        <v>2021</v>
      </c>
      <c r="F278" s="12" t="n">
        <f aca="false">MONTH(A278)</f>
        <v>10</v>
      </c>
      <c r="G278" s="12" t="n">
        <v>9.1</v>
      </c>
      <c r="H278" s="12" t="n">
        <v>28.8</v>
      </c>
      <c r="I278" s="12" t="n">
        <v>295</v>
      </c>
      <c r="J278" s="12" t="n">
        <v>5.2</v>
      </c>
      <c r="K278" s="12" t="n">
        <v>7.2</v>
      </c>
      <c r="L278" s="12" t="s">
        <v>36</v>
      </c>
    </row>
    <row r="279" customFormat="false" ht="15" hidden="false" customHeight="false" outlineLevel="0" collapsed="false">
      <c r="A279" s="11" t="n">
        <v>44474</v>
      </c>
      <c r="B279" s="12" t="n">
        <v>17</v>
      </c>
      <c r="C279" s="12" t="n">
        <f aca="false">IF(NOT(ISNUMBER(B279)),"",ROUND((INDEX(BP!$D$5:$D$9,MATCH(B279,BP!$A$5:$A$9,1))-INDEX(BP!$C$5:$C$9,MATCH(B279,BP!$A$5:$A$9,1)))/(INDEX(BP!$B$5:$B$9,MATCH(B279,BP!$A$5:$A$9,1))-INDEX(BP!$A$5:$A$9,MATCH(B279,BP!$A$5:$A$9,1)))*(B279-INDEX(BP!$A$5:$A$9,MATCH(B279,BP!$A$5:$A$9,1)))+INDEX(BP!$C$5:$C$9,MATCH(B279,BP!$A$5:$A$9,1)),0))</f>
        <v>31</v>
      </c>
      <c r="D279" s="12" t="str">
        <f aca="false">IF(NOT(ISNUMBER(C279)),"",INDEX(BP!$F$5:$F$9,MATCH(C279,BP!$E$5:$E$9,1)))</f>
        <v>ดี</v>
      </c>
      <c r="E279" s="12" t="n">
        <f aca="false">YEAR(A279)</f>
        <v>2021</v>
      </c>
      <c r="F279" s="12" t="n">
        <f aca="false">MONTH(A279)</f>
        <v>10</v>
      </c>
      <c r="G279" s="12" t="n">
        <v>14.8</v>
      </c>
      <c r="H279" s="12" t="n">
        <v>30.6</v>
      </c>
      <c r="I279" s="12" t="n">
        <v>251</v>
      </c>
      <c r="J279" s="12" t="n">
        <v>20.4</v>
      </c>
      <c r="K279" s="12" t="n">
        <v>0</v>
      </c>
      <c r="L279" s="12" t="s">
        <v>36</v>
      </c>
    </row>
    <row r="280" customFormat="false" ht="15" hidden="false" customHeight="false" outlineLevel="0" collapsed="false">
      <c r="A280" s="11" t="n">
        <v>44475</v>
      </c>
      <c r="B280" s="12" t="n">
        <v>15</v>
      </c>
      <c r="C280" s="12" t="n">
        <f aca="false">IF(NOT(ISNUMBER(B280)),"",ROUND((INDEX(BP!$D$5:$D$9,MATCH(B280,BP!$A$5:$A$9,1))-INDEX(BP!$C$5:$C$9,MATCH(B280,BP!$A$5:$A$9,1)))/(INDEX(BP!$B$5:$B$9,MATCH(B280,BP!$A$5:$A$9,1))-INDEX(BP!$A$5:$A$9,MATCH(B280,BP!$A$5:$A$9,1)))*(B280-INDEX(BP!$A$5:$A$9,MATCH(B280,BP!$A$5:$A$9,1)))+INDEX(BP!$C$5:$C$9,MATCH(B280,BP!$A$5:$A$9,1)),0))</f>
        <v>25</v>
      </c>
      <c r="D280" s="12" t="str">
        <f aca="false">IF(NOT(ISNUMBER(C280)),"",INDEX(BP!$F$5:$F$9,MATCH(C280,BP!$E$5:$E$9,1)))</f>
        <v>ดีมาก</v>
      </c>
      <c r="E280" s="12" t="n">
        <f aca="false">YEAR(A280)</f>
        <v>2021</v>
      </c>
      <c r="F280" s="12" t="n">
        <f aca="false">MONTH(A280)</f>
        <v>10</v>
      </c>
      <c r="G280" s="12" t="n">
        <v>17</v>
      </c>
      <c r="H280" s="12" t="n">
        <v>45</v>
      </c>
      <c r="I280" s="12" t="n">
        <v>259</v>
      </c>
      <c r="J280" s="12" t="n">
        <v>6.2</v>
      </c>
      <c r="K280" s="12" t="n">
        <v>15.2</v>
      </c>
      <c r="L280" s="12" t="s">
        <v>36</v>
      </c>
    </row>
    <row r="281" customFormat="false" ht="15" hidden="false" customHeight="false" outlineLevel="0" collapsed="false">
      <c r="A281" s="11" t="n">
        <v>44476</v>
      </c>
      <c r="B281" s="12" t="n">
        <v>12</v>
      </c>
      <c r="C281" s="12" t="n">
        <f aca="false">IF(NOT(ISNUMBER(B281)),"",ROUND((INDEX(BP!$D$5:$D$9,MATCH(B281,BP!$A$5:$A$9,1))-INDEX(BP!$C$5:$C$9,MATCH(B281,BP!$A$5:$A$9,1)))/(INDEX(BP!$B$5:$B$9,MATCH(B281,BP!$A$5:$A$9,1))-INDEX(BP!$A$5:$A$9,MATCH(B281,BP!$A$5:$A$9,1)))*(B281-INDEX(BP!$A$5:$A$9,MATCH(B281,BP!$A$5:$A$9,1)))+INDEX(BP!$C$5:$C$9,MATCH(B281,BP!$A$5:$A$9,1)),0))</f>
        <v>20</v>
      </c>
      <c r="D281" s="12" t="str">
        <f aca="false">IF(NOT(ISNUMBER(C281)),"",INDEX(BP!$F$5:$F$9,MATCH(C281,BP!$E$5:$E$9,1)))</f>
        <v>ดีมาก</v>
      </c>
      <c r="E281" s="12" t="n">
        <f aca="false">YEAR(A281)</f>
        <v>2021</v>
      </c>
      <c r="F281" s="12" t="n">
        <f aca="false">MONTH(A281)</f>
        <v>10</v>
      </c>
      <c r="G281" s="12" t="n">
        <v>23.1</v>
      </c>
      <c r="H281" s="12" t="n">
        <v>60.8</v>
      </c>
      <c r="I281" s="12" t="n">
        <v>257</v>
      </c>
      <c r="J281" s="12" t="n">
        <v>1.3</v>
      </c>
      <c r="K281" s="12" t="n">
        <v>16.4</v>
      </c>
      <c r="L281" s="12" t="s">
        <v>36</v>
      </c>
    </row>
    <row r="282" customFormat="false" ht="15" hidden="false" customHeight="false" outlineLevel="0" collapsed="false">
      <c r="A282" s="11" t="n">
        <v>44477</v>
      </c>
      <c r="B282" s="12" t="n">
        <v>10</v>
      </c>
      <c r="C282" s="12" t="n">
        <f aca="false">IF(NOT(ISNUMBER(B282)),"",ROUND((INDEX(BP!$D$5:$D$9,MATCH(B282,BP!$A$5:$A$9,1))-INDEX(BP!$C$5:$C$9,MATCH(B282,BP!$A$5:$A$9,1)))/(INDEX(BP!$B$5:$B$9,MATCH(B282,BP!$A$5:$A$9,1))-INDEX(BP!$A$5:$A$9,MATCH(B282,BP!$A$5:$A$9,1)))*(B282-INDEX(BP!$A$5:$A$9,MATCH(B282,BP!$A$5:$A$9,1)))+INDEX(BP!$C$5:$C$9,MATCH(B282,BP!$A$5:$A$9,1)),0))</f>
        <v>17</v>
      </c>
      <c r="D282" s="12" t="str">
        <f aca="false">IF(NOT(ISNUMBER(C282)),"",INDEX(BP!$F$5:$F$9,MATCH(C282,BP!$E$5:$E$9,1)))</f>
        <v>ดีมาก</v>
      </c>
      <c r="E282" s="12" t="n">
        <f aca="false">YEAR(A282)</f>
        <v>2021</v>
      </c>
      <c r="F282" s="12" t="n">
        <f aca="false">MONTH(A282)</f>
        <v>10</v>
      </c>
      <c r="G282" s="12" t="n">
        <v>22.7</v>
      </c>
      <c r="H282" s="12" t="n">
        <v>57.6</v>
      </c>
      <c r="I282" s="12" t="n">
        <v>256</v>
      </c>
      <c r="J282" s="12" t="n">
        <v>0.3</v>
      </c>
      <c r="K282" s="12" t="n">
        <v>1.2</v>
      </c>
      <c r="L282" s="12" t="s">
        <v>36</v>
      </c>
    </row>
    <row r="283" customFormat="false" ht="15" hidden="false" customHeight="false" outlineLevel="0" collapsed="false">
      <c r="A283" s="11" t="n">
        <v>44478</v>
      </c>
      <c r="B283" s="12" t="n">
        <v>16</v>
      </c>
      <c r="C283" s="12" t="n">
        <f aca="false">IF(NOT(ISNUMBER(B283)),"",ROUND((INDEX(BP!$D$5:$D$9,MATCH(B283,BP!$A$5:$A$9,1))-INDEX(BP!$C$5:$C$9,MATCH(B283,BP!$A$5:$A$9,1)))/(INDEX(BP!$B$5:$B$9,MATCH(B283,BP!$A$5:$A$9,1))-INDEX(BP!$A$5:$A$9,MATCH(B283,BP!$A$5:$A$9,1)))*(B283-INDEX(BP!$A$5:$A$9,MATCH(B283,BP!$A$5:$A$9,1)))+INDEX(BP!$C$5:$C$9,MATCH(B283,BP!$A$5:$A$9,1)),0))</f>
        <v>28</v>
      </c>
      <c r="D283" s="12" t="str">
        <f aca="false">IF(NOT(ISNUMBER(C283)),"",INDEX(BP!$F$5:$F$9,MATCH(C283,BP!$E$5:$E$9,1)))</f>
        <v>ดี</v>
      </c>
      <c r="E283" s="12" t="n">
        <f aca="false">YEAR(A283)</f>
        <v>2021</v>
      </c>
      <c r="F283" s="12" t="n">
        <f aca="false">MONTH(A283)</f>
        <v>10</v>
      </c>
      <c r="G283" s="12" t="n">
        <v>22</v>
      </c>
      <c r="H283" s="12" t="n">
        <v>46.1</v>
      </c>
      <c r="I283" s="12" t="n">
        <v>248</v>
      </c>
      <c r="J283" s="12" t="n">
        <v>0.3</v>
      </c>
      <c r="K283" s="12" t="n">
        <v>0</v>
      </c>
      <c r="L283" s="12" t="s">
        <v>35</v>
      </c>
    </row>
    <row r="284" customFormat="false" ht="15" hidden="false" customHeight="false" outlineLevel="0" collapsed="false">
      <c r="A284" s="11" t="n">
        <v>44479</v>
      </c>
      <c r="B284" s="12" t="n">
        <v>14</v>
      </c>
      <c r="C284" s="12" t="n">
        <f aca="false">IF(NOT(ISNUMBER(B284)),"",ROUND((INDEX(BP!$D$5:$D$9,MATCH(B284,BP!$A$5:$A$9,1))-INDEX(BP!$C$5:$C$9,MATCH(B284,BP!$A$5:$A$9,1)))/(INDEX(BP!$B$5:$B$9,MATCH(B284,BP!$A$5:$A$9,1))-INDEX(BP!$A$5:$A$9,MATCH(B284,BP!$A$5:$A$9,1)))*(B284-INDEX(BP!$A$5:$A$9,MATCH(B284,BP!$A$5:$A$9,1)))+INDEX(BP!$C$5:$C$9,MATCH(B284,BP!$A$5:$A$9,1)),0))</f>
        <v>23</v>
      </c>
      <c r="D284" s="12" t="str">
        <f aca="false">IF(NOT(ISNUMBER(C284)),"",INDEX(BP!$F$5:$F$9,MATCH(C284,BP!$E$5:$E$9,1)))</f>
        <v>ดีมาก</v>
      </c>
      <c r="E284" s="12" t="n">
        <f aca="false">YEAR(A284)</f>
        <v>2021</v>
      </c>
      <c r="F284" s="12" t="n">
        <f aca="false">MONTH(A284)</f>
        <v>10</v>
      </c>
      <c r="G284" s="12" t="n">
        <v>21</v>
      </c>
      <c r="H284" s="12" t="n">
        <v>43.9</v>
      </c>
      <c r="I284" s="12" t="n">
        <v>241</v>
      </c>
      <c r="J284" s="12" t="n">
        <v>0</v>
      </c>
      <c r="K284" s="12" t="n">
        <v>0</v>
      </c>
      <c r="L284" s="12" t="s">
        <v>35</v>
      </c>
    </row>
    <row r="285" customFormat="false" ht="15" hidden="false" customHeight="false" outlineLevel="0" collapsed="false">
      <c r="A285" s="11" t="n">
        <v>44480</v>
      </c>
      <c r="B285" s="12" t="n">
        <v>19</v>
      </c>
      <c r="C285" s="12" t="n">
        <f aca="false">IF(NOT(ISNUMBER(B285)),"",ROUND((INDEX(BP!$D$5:$D$9,MATCH(B285,BP!$A$5:$A$9,1))-INDEX(BP!$C$5:$C$9,MATCH(B285,BP!$A$5:$A$9,1)))/(INDEX(BP!$B$5:$B$9,MATCH(B285,BP!$A$5:$A$9,1))-INDEX(BP!$A$5:$A$9,MATCH(B285,BP!$A$5:$A$9,1)))*(B285-INDEX(BP!$A$5:$A$9,MATCH(B285,BP!$A$5:$A$9,1)))+INDEX(BP!$C$5:$C$9,MATCH(B285,BP!$A$5:$A$9,1)),0))</f>
        <v>35</v>
      </c>
      <c r="D285" s="12" t="str">
        <f aca="false">IF(NOT(ISNUMBER(C285)),"",INDEX(BP!$F$5:$F$9,MATCH(C285,BP!$E$5:$E$9,1)))</f>
        <v>ดี</v>
      </c>
      <c r="E285" s="12" t="n">
        <f aca="false">YEAR(A285)</f>
        <v>2021</v>
      </c>
      <c r="F285" s="12" t="n">
        <f aca="false">MONTH(A285)</f>
        <v>10</v>
      </c>
      <c r="G285" s="12" t="n">
        <v>17.1</v>
      </c>
      <c r="H285" s="12" t="n">
        <v>37.1</v>
      </c>
      <c r="I285" s="12" t="n">
        <v>238</v>
      </c>
      <c r="J285" s="12" t="n">
        <v>0</v>
      </c>
      <c r="K285" s="12" t="n">
        <v>0</v>
      </c>
      <c r="L285" s="12" t="s">
        <v>36</v>
      </c>
    </row>
    <row r="286" customFormat="false" ht="15" hidden="false" customHeight="false" outlineLevel="0" collapsed="false">
      <c r="A286" s="11" t="n">
        <v>44481</v>
      </c>
      <c r="B286" s="12" t="n">
        <v>19</v>
      </c>
      <c r="C286" s="12" t="n">
        <f aca="false">IF(NOT(ISNUMBER(B286)),"",ROUND((INDEX(BP!$D$5:$D$9,MATCH(B286,BP!$A$5:$A$9,1))-INDEX(BP!$C$5:$C$9,MATCH(B286,BP!$A$5:$A$9,1)))/(INDEX(BP!$B$5:$B$9,MATCH(B286,BP!$A$5:$A$9,1))-INDEX(BP!$A$5:$A$9,MATCH(B286,BP!$A$5:$A$9,1)))*(B286-INDEX(BP!$A$5:$A$9,MATCH(B286,BP!$A$5:$A$9,1)))+INDEX(BP!$C$5:$C$9,MATCH(B286,BP!$A$5:$A$9,1)),0))</f>
        <v>35</v>
      </c>
      <c r="D286" s="12" t="str">
        <f aca="false">IF(NOT(ISNUMBER(C286)),"",INDEX(BP!$F$5:$F$9,MATCH(C286,BP!$E$5:$E$9,1)))</f>
        <v>ดี</v>
      </c>
      <c r="E286" s="12" t="n">
        <f aca="false">YEAR(A286)</f>
        <v>2021</v>
      </c>
      <c r="F286" s="12" t="n">
        <f aca="false">MONTH(A286)</f>
        <v>10</v>
      </c>
      <c r="G286" s="12" t="n">
        <v>14.9</v>
      </c>
      <c r="H286" s="12" t="n">
        <v>36</v>
      </c>
      <c r="I286" s="12" t="n">
        <v>242</v>
      </c>
      <c r="J286" s="12" t="n">
        <v>0</v>
      </c>
      <c r="K286" s="12" t="n">
        <v>0</v>
      </c>
      <c r="L286" s="12" t="s">
        <v>36</v>
      </c>
    </row>
    <row r="287" customFormat="false" ht="15" hidden="false" customHeight="false" outlineLevel="0" collapsed="false">
      <c r="A287" s="11" t="n">
        <v>44482</v>
      </c>
      <c r="B287" s="12" t="n">
        <v>16</v>
      </c>
      <c r="C287" s="12" t="n">
        <f aca="false">IF(NOT(ISNUMBER(B287)),"",ROUND((INDEX(BP!$D$5:$D$9,MATCH(B287,BP!$A$5:$A$9,1))-INDEX(BP!$C$5:$C$9,MATCH(B287,BP!$A$5:$A$9,1)))/(INDEX(BP!$B$5:$B$9,MATCH(B287,BP!$A$5:$A$9,1))-INDEX(BP!$A$5:$A$9,MATCH(B287,BP!$A$5:$A$9,1)))*(B287-INDEX(BP!$A$5:$A$9,MATCH(B287,BP!$A$5:$A$9,1)))+INDEX(BP!$C$5:$C$9,MATCH(B287,BP!$A$5:$A$9,1)),0))</f>
        <v>28</v>
      </c>
      <c r="D287" s="12" t="str">
        <f aca="false">IF(NOT(ISNUMBER(C287)),"",INDEX(BP!$F$5:$F$9,MATCH(C287,BP!$E$5:$E$9,1)))</f>
        <v>ดี</v>
      </c>
      <c r="E287" s="12" t="n">
        <f aca="false">YEAR(A287)</f>
        <v>2021</v>
      </c>
      <c r="F287" s="12" t="n">
        <f aca="false">MONTH(A287)</f>
        <v>10</v>
      </c>
      <c r="G287" s="12" t="n">
        <v>22.3</v>
      </c>
      <c r="H287" s="12" t="n">
        <v>47.2</v>
      </c>
      <c r="I287" s="12" t="n">
        <v>246</v>
      </c>
      <c r="J287" s="12" t="n">
        <v>0</v>
      </c>
      <c r="K287" s="12" t="n">
        <v>0</v>
      </c>
      <c r="L287" s="12" t="s">
        <v>34</v>
      </c>
    </row>
    <row r="288" customFormat="false" ht="15" hidden="false" customHeight="false" outlineLevel="0" collapsed="false">
      <c r="A288" s="11" t="n">
        <v>44483</v>
      </c>
      <c r="B288" s="12" t="n">
        <v>18</v>
      </c>
      <c r="C288" s="12" t="n">
        <f aca="false">IF(NOT(ISNUMBER(B288)),"",ROUND((INDEX(BP!$D$5:$D$9,MATCH(B288,BP!$A$5:$A$9,1))-INDEX(BP!$C$5:$C$9,MATCH(B288,BP!$A$5:$A$9,1)))/(INDEX(BP!$B$5:$B$9,MATCH(B288,BP!$A$5:$A$9,1))-INDEX(BP!$A$5:$A$9,MATCH(B288,BP!$A$5:$A$9,1)))*(B288-INDEX(BP!$A$5:$A$9,MATCH(B288,BP!$A$5:$A$9,1)))+INDEX(BP!$C$5:$C$9,MATCH(B288,BP!$A$5:$A$9,1)),0))</f>
        <v>33</v>
      </c>
      <c r="D288" s="12" t="str">
        <f aca="false">IF(NOT(ISNUMBER(C288)),"",INDEX(BP!$F$5:$F$9,MATCH(C288,BP!$E$5:$E$9,1)))</f>
        <v>ดี</v>
      </c>
      <c r="E288" s="12" t="n">
        <f aca="false">YEAR(A288)</f>
        <v>2021</v>
      </c>
      <c r="F288" s="12" t="n">
        <f aca="false">MONTH(A288)</f>
        <v>10</v>
      </c>
      <c r="G288" s="12" t="n">
        <v>8.5</v>
      </c>
      <c r="H288" s="12" t="n">
        <v>27</v>
      </c>
      <c r="I288" s="12" t="n">
        <v>210</v>
      </c>
      <c r="J288" s="12" t="n">
        <v>0.2</v>
      </c>
      <c r="K288" s="12" t="n">
        <v>0</v>
      </c>
      <c r="L288" s="12" t="s">
        <v>36</v>
      </c>
    </row>
    <row r="289" customFormat="false" ht="15" hidden="false" customHeight="false" outlineLevel="0" collapsed="false">
      <c r="A289" s="11" t="n">
        <v>44484</v>
      </c>
      <c r="B289" s="12" t="n">
        <v>25</v>
      </c>
      <c r="C289" s="12" t="n">
        <f aca="false">IF(NOT(ISNUMBER(B289)),"",ROUND((INDEX(BP!$D$5:$D$9,MATCH(B289,BP!$A$5:$A$9,1))-INDEX(BP!$C$5:$C$9,MATCH(B289,BP!$A$5:$A$9,1)))/(INDEX(BP!$B$5:$B$9,MATCH(B289,BP!$A$5:$A$9,1))-INDEX(BP!$A$5:$A$9,MATCH(B289,BP!$A$5:$A$9,1)))*(B289-INDEX(BP!$A$5:$A$9,MATCH(B289,BP!$A$5:$A$9,1)))+INDEX(BP!$C$5:$C$9,MATCH(B289,BP!$A$5:$A$9,1)),0))</f>
        <v>50</v>
      </c>
      <c r="D289" s="12" t="str">
        <f aca="false">IF(NOT(ISNUMBER(C289)),"",INDEX(BP!$F$5:$F$9,MATCH(C289,BP!$E$5:$E$9,1)))</f>
        <v>ดี</v>
      </c>
      <c r="E289" s="12" t="n">
        <f aca="false">YEAR(A289)</f>
        <v>2021</v>
      </c>
      <c r="F289" s="12" t="n">
        <f aca="false">MONTH(A289)</f>
        <v>10</v>
      </c>
      <c r="G289" s="12" t="n">
        <v>12.4</v>
      </c>
      <c r="H289" s="12" t="n">
        <v>23.4</v>
      </c>
      <c r="I289" s="12" t="n">
        <v>151</v>
      </c>
      <c r="J289" s="12" t="n">
        <v>3</v>
      </c>
      <c r="K289" s="12" t="n">
        <v>0</v>
      </c>
      <c r="L289" s="12" t="s">
        <v>36</v>
      </c>
    </row>
    <row r="290" customFormat="false" ht="15" hidden="false" customHeight="false" outlineLevel="0" collapsed="false">
      <c r="A290" s="11" t="n">
        <v>44485</v>
      </c>
      <c r="B290" s="12" t="n">
        <v>20</v>
      </c>
      <c r="C290" s="12" t="n">
        <f aca="false">IF(NOT(ISNUMBER(B290)),"",ROUND((INDEX(BP!$D$5:$D$9,MATCH(B290,BP!$A$5:$A$9,1))-INDEX(BP!$C$5:$C$9,MATCH(B290,BP!$A$5:$A$9,1)))/(INDEX(BP!$B$5:$B$9,MATCH(B290,BP!$A$5:$A$9,1))-INDEX(BP!$A$5:$A$9,MATCH(B290,BP!$A$5:$A$9,1)))*(B290-INDEX(BP!$A$5:$A$9,MATCH(B290,BP!$A$5:$A$9,1)))+INDEX(BP!$C$5:$C$9,MATCH(B290,BP!$A$5:$A$9,1)),0))</f>
        <v>38</v>
      </c>
      <c r="D290" s="12" t="str">
        <f aca="false">IF(NOT(ISNUMBER(C290)),"",INDEX(BP!$F$5:$F$9,MATCH(C290,BP!$E$5:$E$9,1)))</f>
        <v>ดี</v>
      </c>
      <c r="E290" s="12" t="n">
        <f aca="false">YEAR(A290)</f>
        <v>2021</v>
      </c>
      <c r="F290" s="12" t="n">
        <f aca="false">MONTH(A290)</f>
        <v>10</v>
      </c>
      <c r="G290" s="12" t="n">
        <v>12.3</v>
      </c>
      <c r="H290" s="12" t="n">
        <v>25.9</v>
      </c>
      <c r="I290" s="12" t="n">
        <v>108</v>
      </c>
      <c r="J290" s="12" t="n">
        <v>4.3</v>
      </c>
      <c r="K290" s="12" t="n">
        <v>0</v>
      </c>
      <c r="L290" s="12" t="s">
        <v>35</v>
      </c>
    </row>
    <row r="291" customFormat="false" ht="15" hidden="false" customHeight="false" outlineLevel="0" collapsed="false">
      <c r="A291" s="11" t="n">
        <v>44486</v>
      </c>
      <c r="B291" s="12" t="n">
        <v>13</v>
      </c>
      <c r="C291" s="12" t="n">
        <f aca="false">IF(NOT(ISNUMBER(B291)),"",ROUND((INDEX(BP!$D$5:$D$9,MATCH(B291,BP!$A$5:$A$9,1))-INDEX(BP!$C$5:$C$9,MATCH(B291,BP!$A$5:$A$9,1)))/(INDEX(BP!$B$5:$B$9,MATCH(B291,BP!$A$5:$A$9,1))-INDEX(BP!$A$5:$A$9,MATCH(B291,BP!$A$5:$A$9,1)))*(B291-INDEX(BP!$A$5:$A$9,MATCH(B291,BP!$A$5:$A$9,1)))+INDEX(BP!$C$5:$C$9,MATCH(B291,BP!$A$5:$A$9,1)),0))</f>
        <v>22</v>
      </c>
      <c r="D291" s="12" t="str">
        <f aca="false">IF(NOT(ISNUMBER(C291)),"",INDEX(BP!$F$5:$F$9,MATCH(C291,BP!$E$5:$E$9,1)))</f>
        <v>ดีมาก</v>
      </c>
      <c r="E291" s="12" t="n">
        <f aca="false">YEAR(A291)</f>
        <v>2021</v>
      </c>
      <c r="F291" s="12" t="n">
        <f aca="false">MONTH(A291)</f>
        <v>10</v>
      </c>
      <c r="G291" s="12" t="n">
        <v>14.3</v>
      </c>
      <c r="H291" s="12" t="n">
        <v>29.2</v>
      </c>
      <c r="I291" s="12" t="n">
        <v>340</v>
      </c>
      <c r="J291" s="12" t="n">
        <v>5.9</v>
      </c>
      <c r="K291" s="12" t="n">
        <v>39.8</v>
      </c>
      <c r="L291" s="12" t="s">
        <v>35</v>
      </c>
    </row>
    <row r="292" customFormat="false" ht="15" hidden="false" customHeight="false" outlineLevel="0" collapsed="false">
      <c r="A292" s="11" t="n">
        <v>44487</v>
      </c>
      <c r="B292" s="12" t="n">
        <v>17</v>
      </c>
      <c r="C292" s="12" t="n">
        <f aca="false">IF(NOT(ISNUMBER(B292)),"",ROUND((INDEX(BP!$D$5:$D$9,MATCH(B292,BP!$A$5:$A$9,1))-INDEX(BP!$C$5:$C$9,MATCH(B292,BP!$A$5:$A$9,1)))/(INDEX(BP!$B$5:$B$9,MATCH(B292,BP!$A$5:$A$9,1))-INDEX(BP!$A$5:$A$9,MATCH(B292,BP!$A$5:$A$9,1)))*(B292-INDEX(BP!$A$5:$A$9,MATCH(B292,BP!$A$5:$A$9,1)))+INDEX(BP!$C$5:$C$9,MATCH(B292,BP!$A$5:$A$9,1)),0))</f>
        <v>31</v>
      </c>
      <c r="D292" s="12" t="str">
        <f aca="false">IF(NOT(ISNUMBER(C292)),"",INDEX(BP!$F$5:$F$9,MATCH(C292,BP!$E$5:$E$9,1)))</f>
        <v>ดี</v>
      </c>
      <c r="E292" s="12" t="n">
        <f aca="false">YEAR(A292)</f>
        <v>2021</v>
      </c>
      <c r="F292" s="12" t="n">
        <f aca="false">MONTH(A292)</f>
        <v>10</v>
      </c>
      <c r="G292" s="12" t="n">
        <v>11.5</v>
      </c>
      <c r="H292" s="12" t="n">
        <v>27.7</v>
      </c>
      <c r="I292" s="12" t="n">
        <v>25</v>
      </c>
      <c r="J292" s="12" t="n">
        <v>4.1</v>
      </c>
      <c r="K292" s="12" t="n">
        <v>0</v>
      </c>
      <c r="L292" s="12" t="s">
        <v>36</v>
      </c>
    </row>
    <row r="293" customFormat="false" ht="15" hidden="false" customHeight="false" outlineLevel="0" collapsed="false">
      <c r="A293" s="11" t="n">
        <v>44488</v>
      </c>
      <c r="B293" s="12" t="n">
        <v>11</v>
      </c>
      <c r="C293" s="12" t="n">
        <f aca="false">IF(NOT(ISNUMBER(B293)),"",ROUND((INDEX(BP!$D$5:$D$9,MATCH(B293,BP!$A$5:$A$9,1))-INDEX(BP!$C$5:$C$9,MATCH(B293,BP!$A$5:$A$9,1)))/(INDEX(BP!$B$5:$B$9,MATCH(B293,BP!$A$5:$A$9,1))-INDEX(BP!$A$5:$A$9,MATCH(B293,BP!$A$5:$A$9,1)))*(B293-INDEX(BP!$A$5:$A$9,MATCH(B293,BP!$A$5:$A$9,1)))+INDEX(BP!$C$5:$C$9,MATCH(B293,BP!$A$5:$A$9,1)),0))</f>
        <v>18</v>
      </c>
      <c r="D293" s="12" t="str">
        <f aca="false">IF(NOT(ISNUMBER(C293)),"",INDEX(BP!$F$5:$F$9,MATCH(C293,BP!$E$5:$E$9,1)))</f>
        <v>ดีมาก</v>
      </c>
      <c r="E293" s="12" t="n">
        <f aca="false">YEAR(A293)</f>
        <v>2021</v>
      </c>
      <c r="F293" s="12" t="n">
        <f aca="false">MONTH(A293)</f>
        <v>10</v>
      </c>
      <c r="G293" s="12" t="n">
        <v>12.3</v>
      </c>
      <c r="H293" s="12" t="n">
        <v>28.4</v>
      </c>
      <c r="I293" s="12" t="n">
        <v>121</v>
      </c>
      <c r="J293" s="12" t="n">
        <v>10.1</v>
      </c>
      <c r="K293" s="12" t="n">
        <v>0.4</v>
      </c>
      <c r="L293" s="12" t="s">
        <v>36</v>
      </c>
    </row>
    <row r="294" customFormat="false" ht="15" hidden="false" customHeight="false" outlineLevel="0" collapsed="false">
      <c r="A294" s="11" t="n">
        <v>44489</v>
      </c>
      <c r="B294" s="12" t="n">
        <v>18</v>
      </c>
      <c r="C294" s="12" t="n">
        <f aca="false">IF(NOT(ISNUMBER(B294)),"",ROUND((INDEX(BP!$D$5:$D$9,MATCH(B294,BP!$A$5:$A$9,1))-INDEX(BP!$C$5:$C$9,MATCH(B294,BP!$A$5:$A$9,1)))/(INDEX(BP!$B$5:$B$9,MATCH(B294,BP!$A$5:$A$9,1))-INDEX(BP!$A$5:$A$9,MATCH(B294,BP!$A$5:$A$9,1)))*(B294-INDEX(BP!$A$5:$A$9,MATCH(B294,BP!$A$5:$A$9,1)))+INDEX(BP!$C$5:$C$9,MATCH(B294,BP!$A$5:$A$9,1)),0))</f>
        <v>33</v>
      </c>
      <c r="D294" s="12" t="str">
        <f aca="false">IF(NOT(ISNUMBER(C294)),"",INDEX(BP!$F$5:$F$9,MATCH(C294,BP!$E$5:$E$9,1)))</f>
        <v>ดี</v>
      </c>
      <c r="E294" s="12" t="n">
        <f aca="false">YEAR(A294)</f>
        <v>2021</v>
      </c>
      <c r="F294" s="12" t="n">
        <f aca="false">MONTH(A294)</f>
        <v>10</v>
      </c>
      <c r="G294" s="12" t="n">
        <v>12.2</v>
      </c>
      <c r="H294" s="12" t="n">
        <v>26.6</v>
      </c>
      <c r="I294" s="12" t="n">
        <v>285</v>
      </c>
      <c r="J294" s="12" t="n">
        <v>11.3</v>
      </c>
      <c r="K294" s="12" t="n">
        <v>1.6</v>
      </c>
      <c r="L294" s="12" t="s">
        <v>36</v>
      </c>
    </row>
    <row r="295" customFormat="false" ht="15" hidden="false" customHeight="false" outlineLevel="0" collapsed="false">
      <c r="A295" s="11" t="n">
        <v>44490</v>
      </c>
      <c r="B295" s="12" t="n">
        <v>15</v>
      </c>
      <c r="C295" s="12" t="n">
        <f aca="false">IF(NOT(ISNUMBER(B295)),"",ROUND((INDEX(BP!$D$5:$D$9,MATCH(B295,BP!$A$5:$A$9,1))-INDEX(BP!$C$5:$C$9,MATCH(B295,BP!$A$5:$A$9,1)))/(INDEX(BP!$B$5:$B$9,MATCH(B295,BP!$A$5:$A$9,1))-INDEX(BP!$A$5:$A$9,MATCH(B295,BP!$A$5:$A$9,1)))*(B295-INDEX(BP!$A$5:$A$9,MATCH(B295,BP!$A$5:$A$9,1)))+INDEX(BP!$C$5:$C$9,MATCH(B295,BP!$A$5:$A$9,1)),0))</f>
        <v>25</v>
      </c>
      <c r="D295" s="12" t="str">
        <f aca="false">IF(NOT(ISNUMBER(C295)),"",INDEX(BP!$F$5:$F$9,MATCH(C295,BP!$E$5:$E$9,1)))</f>
        <v>ดีมาก</v>
      </c>
      <c r="E295" s="12" t="n">
        <f aca="false">YEAR(A295)</f>
        <v>2021</v>
      </c>
      <c r="F295" s="12" t="n">
        <f aca="false">MONTH(A295)</f>
        <v>10</v>
      </c>
      <c r="G295" s="12" t="n">
        <v>14</v>
      </c>
      <c r="H295" s="12" t="n">
        <v>24.8</v>
      </c>
      <c r="I295" s="12" t="n">
        <v>223</v>
      </c>
      <c r="J295" s="12" t="n">
        <v>6.5</v>
      </c>
      <c r="K295" s="12" t="n">
        <v>0</v>
      </c>
      <c r="L295" s="12" t="s">
        <v>36</v>
      </c>
    </row>
    <row r="296" customFormat="false" ht="15" hidden="false" customHeight="false" outlineLevel="0" collapsed="false">
      <c r="A296" s="11" t="n">
        <v>44491</v>
      </c>
      <c r="B296" s="12" t="n">
        <v>18</v>
      </c>
      <c r="C296" s="12" t="n">
        <f aca="false">IF(NOT(ISNUMBER(B296)),"",ROUND((INDEX(BP!$D$5:$D$9,MATCH(B296,BP!$A$5:$A$9,1))-INDEX(BP!$C$5:$C$9,MATCH(B296,BP!$A$5:$A$9,1)))/(INDEX(BP!$B$5:$B$9,MATCH(B296,BP!$A$5:$A$9,1))-INDEX(BP!$A$5:$A$9,MATCH(B296,BP!$A$5:$A$9,1)))*(B296-INDEX(BP!$A$5:$A$9,MATCH(B296,BP!$A$5:$A$9,1)))+INDEX(BP!$C$5:$C$9,MATCH(B296,BP!$A$5:$A$9,1)),0))</f>
        <v>33</v>
      </c>
      <c r="D296" s="12" t="str">
        <f aca="false">IF(NOT(ISNUMBER(C296)),"",INDEX(BP!$F$5:$F$9,MATCH(C296,BP!$E$5:$E$9,1)))</f>
        <v>ดี</v>
      </c>
      <c r="E296" s="12" t="n">
        <f aca="false">YEAR(A296)</f>
        <v>2021</v>
      </c>
      <c r="F296" s="12" t="n">
        <f aca="false">MONTH(A296)</f>
        <v>10</v>
      </c>
      <c r="G296" s="12" t="n">
        <v>9.9</v>
      </c>
      <c r="H296" s="12" t="n">
        <v>25.2</v>
      </c>
      <c r="I296" s="12" t="n">
        <v>267</v>
      </c>
      <c r="J296" s="12" t="n">
        <v>9.9</v>
      </c>
      <c r="K296" s="12" t="n">
        <v>13</v>
      </c>
      <c r="L296" s="12" t="s">
        <v>34</v>
      </c>
    </row>
    <row r="297" customFormat="false" ht="15" hidden="false" customHeight="false" outlineLevel="0" collapsed="false">
      <c r="A297" s="11" t="n">
        <v>44492</v>
      </c>
      <c r="B297" s="12" t="n">
        <v>21</v>
      </c>
      <c r="C297" s="12" t="n">
        <f aca="false">IF(NOT(ISNUMBER(B297)),"",ROUND((INDEX(BP!$D$5:$D$9,MATCH(B297,BP!$A$5:$A$9,1))-INDEX(BP!$C$5:$C$9,MATCH(B297,BP!$A$5:$A$9,1)))/(INDEX(BP!$B$5:$B$9,MATCH(B297,BP!$A$5:$A$9,1))-INDEX(BP!$A$5:$A$9,MATCH(B297,BP!$A$5:$A$9,1)))*(B297-INDEX(BP!$A$5:$A$9,MATCH(B297,BP!$A$5:$A$9,1)))+INDEX(BP!$C$5:$C$9,MATCH(B297,BP!$A$5:$A$9,1)),0))</f>
        <v>40</v>
      </c>
      <c r="D297" s="12" t="str">
        <f aca="false">IF(NOT(ISNUMBER(C297)),"",INDEX(BP!$F$5:$F$9,MATCH(C297,BP!$E$5:$E$9,1)))</f>
        <v>ดี</v>
      </c>
      <c r="E297" s="12" t="n">
        <f aca="false">YEAR(A297)</f>
        <v>2021</v>
      </c>
      <c r="F297" s="12" t="n">
        <f aca="false">MONTH(A297)</f>
        <v>10</v>
      </c>
      <c r="G297" s="12" t="n">
        <v>10.6</v>
      </c>
      <c r="H297" s="12" t="n">
        <v>26.3</v>
      </c>
      <c r="I297" s="12" t="n">
        <v>187</v>
      </c>
      <c r="J297" s="12" t="n">
        <v>14.1</v>
      </c>
      <c r="K297" s="12" t="n">
        <v>0.2</v>
      </c>
      <c r="L297" s="12" t="s">
        <v>34</v>
      </c>
    </row>
    <row r="298" customFormat="false" ht="15" hidden="false" customHeight="false" outlineLevel="0" collapsed="false">
      <c r="A298" s="11" t="n">
        <v>44493</v>
      </c>
      <c r="B298" s="12" t="n">
        <v>16</v>
      </c>
      <c r="C298" s="12" t="n">
        <f aca="false">IF(NOT(ISNUMBER(B298)),"",ROUND((INDEX(BP!$D$5:$D$9,MATCH(B298,BP!$A$5:$A$9,1))-INDEX(BP!$C$5:$C$9,MATCH(B298,BP!$A$5:$A$9,1)))/(INDEX(BP!$B$5:$B$9,MATCH(B298,BP!$A$5:$A$9,1))-INDEX(BP!$A$5:$A$9,MATCH(B298,BP!$A$5:$A$9,1)))*(B298-INDEX(BP!$A$5:$A$9,MATCH(B298,BP!$A$5:$A$9,1)))+INDEX(BP!$C$5:$C$9,MATCH(B298,BP!$A$5:$A$9,1)),0))</f>
        <v>28</v>
      </c>
      <c r="D298" s="12" t="str">
        <f aca="false">IF(NOT(ISNUMBER(C298)),"",INDEX(BP!$F$5:$F$9,MATCH(C298,BP!$E$5:$E$9,1)))</f>
        <v>ดี</v>
      </c>
      <c r="E298" s="12" t="n">
        <f aca="false">YEAR(A298)</f>
        <v>2021</v>
      </c>
      <c r="F298" s="12" t="n">
        <f aca="false">MONTH(A298)</f>
        <v>10</v>
      </c>
      <c r="G298" s="12" t="n">
        <v>12.2</v>
      </c>
      <c r="H298" s="12" t="n">
        <v>30.2</v>
      </c>
      <c r="I298" s="12" t="n">
        <v>39</v>
      </c>
      <c r="J298" s="12" t="n">
        <v>6.4</v>
      </c>
      <c r="K298" s="12" t="n">
        <v>0.8</v>
      </c>
      <c r="L298" s="12" t="s">
        <v>35</v>
      </c>
    </row>
    <row r="299" customFormat="false" ht="15" hidden="false" customHeight="false" outlineLevel="0" collapsed="false">
      <c r="A299" s="11" t="n">
        <v>44494</v>
      </c>
      <c r="B299" s="12" t="n">
        <v>20</v>
      </c>
      <c r="C299" s="12" t="n">
        <f aca="false">IF(NOT(ISNUMBER(B299)),"",ROUND((INDEX(BP!$D$5:$D$9,MATCH(B299,BP!$A$5:$A$9,1))-INDEX(BP!$C$5:$C$9,MATCH(B299,BP!$A$5:$A$9,1)))/(INDEX(BP!$B$5:$B$9,MATCH(B299,BP!$A$5:$A$9,1))-INDEX(BP!$A$5:$A$9,MATCH(B299,BP!$A$5:$A$9,1)))*(B299-INDEX(BP!$A$5:$A$9,MATCH(B299,BP!$A$5:$A$9,1)))+INDEX(BP!$C$5:$C$9,MATCH(B299,BP!$A$5:$A$9,1)),0))</f>
        <v>38</v>
      </c>
      <c r="D299" s="12" t="str">
        <f aca="false">IF(NOT(ISNUMBER(C299)),"",INDEX(BP!$F$5:$F$9,MATCH(C299,BP!$E$5:$E$9,1)))</f>
        <v>ดี</v>
      </c>
      <c r="E299" s="12" t="n">
        <f aca="false">YEAR(A299)</f>
        <v>2021</v>
      </c>
      <c r="F299" s="12" t="n">
        <f aca="false">MONTH(A299)</f>
        <v>10</v>
      </c>
      <c r="G299" s="12" t="n">
        <v>12.3</v>
      </c>
      <c r="H299" s="12" t="n">
        <v>27.7</v>
      </c>
      <c r="I299" s="12" t="n">
        <v>46</v>
      </c>
      <c r="J299" s="12" t="n">
        <v>9.8</v>
      </c>
      <c r="K299" s="12" t="n">
        <v>5</v>
      </c>
      <c r="L299" s="12" t="s">
        <v>34</v>
      </c>
    </row>
    <row r="300" customFormat="false" ht="15" hidden="false" customHeight="false" outlineLevel="0" collapsed="false">
      <c r="A300" s="11" t="n">
        <v>44495</v>
      </c>
      <c r="B300" s="12" t="n">
        <v>17</v>
      </c>
      <c r="C300" s="12" t="n">
        <f aca="false">IF(NOT(ISNUMBER(B300)),"",ROUND((INDEX(BP!$D$5:$D$9,MATCH(B300,BP!$A$5:$A$9,1))-INDEX(BP!$C$5:$C$9,MATCH(B300,BP!$A$5:$A$9,1)))/(INDEX(BP!$B$5:$B$9,MATCH(B300,BP!$A$5:$A$9,1))-INDEX(BP!$A$5:$A$9,MATCH(B300,BP!$A$5:$A$9,1)))*(B300-INDEX(BP!$A$5:$A$9,MATCH(B300,BP!$A$5:$A$9,1)))+INDEX(BP!$C$5:$C$9,MATCH(B300,BP!$A$5:$A$9,1)),0))</f>
        <v>31</v>
      </c>
      <c r="D300" s="12" t="str">
        <f aca="false">IF(NOT(ISNUMBER(C300)),"",INDEX(BP!$F$5:$F$9,MATCH(C300,BP!$E$5:$E$9,1)))</f>
        <v>ดี</v>
      </c>
      <c r="E300" s="12" t="n">
        <f aca="false">YEAR(A300)</f>
        <v>2021</v>
      </c>
      <c r="F300" s="12" t="n">
        <f aca="false">MONTH(A300)</f>
        <v>10</v>
      </c>
      <c r="G300" s="12" t="n">
        <v>18.1</v>
      </c>
      <c r="H300" s="12" t="n">
        <v>39.6</v>
      </c>
      <c r="I300" s="12" t="n">
        <v>60</v>
      </c>
      <c r="J300" s="12" t="n">
        <v>4</v>
      </c>
      <c r="K300" s="12" t="n">
        <v>0</v>
      </c>
      <c r="L300" s="12" t="s">
        <v>36</v>
      </c>
    </row>
    <row r="301" customFormat="false" ht="15" hidden="false" customHeight="false" outlineLevel="0" collapsed="false">
      <c r="A301" s="11" t="n">
        <v>44496</v>
      </c>
      <c r="B301" s="12" t="n">
        <v>14</v>
      </c>
      <c r="C301" s="12" t="n">
        <f aca="false">IF(NOT(ISNUMBER(B301)),"",ROUND((INDEX(BP!$D$5:$D$9,MATCH(B301,BP!$A$5:$A$9,1))-INDEX(BP!$C$5:$C$9,MATCH(B301,BP!$A$5:$A$9,1)))/(INDEX(BP!$B$5:$B$9,MATCH(B301,BP!$A$5:$A$9,1))-INDEX(BP!$A$5:$A$9,MATCH(B301,BP!$A$5:$A$9,1)))*(B301-INDEX(BP!$A$5:$A$9,MATCH(B301,BP!$A$5:$A$9,1)))+INDEX(BP!$C$5:$C$9,MATCH(B301,BP!$A$5:$A$9,1)),0))</f>
        <v>23</v>
      </c>
      <c r="D301" s="12" t="str">
        <f aca="false">IF(NOT(ISNUMBER(C301)),"",INDEX(BP!$F$5:$F$9,MATCH(C301,BP!$E$5:$E$9,1)))</f>
        <v>ดีมาก</v>
      </c>
      <c r="E301" s="12" t="n">
        <f aca="false">YEAR(A301)</f>
        <v>2021</v>
      </c>
      <c r="F301" s="12" t="n">
        <f aca="false">MONTH(A301)</f>
        <v>10</v>
      </c>
      <c r="G301" s="12" t="n">
        <v>11.6</v>
      </c>
      <c r="H301" s="12" t="n">
        <v>28.4</v>
      </c>
      <c r="I301" s="12" t="n">
        <v>98</v>
      </c>
      <c r="J301" s="12" t="n">
        <v>7.3</v>
      </c>
      <c r="K301" s="12" t="n">
        <v>20.8</v>
      </c>
      <c r="L301" s="12" t="s">
        <v>36</v>
      </c>
    </row>
    <row r="302" customFormat="false" ht="15" hidden="false" customHeight="false" outlineLevel="0" collapsed="false">
      <c r="A302" s="11" t="n">
        <v>44497</v>
      </c>
      <c r="B302" s="12" t="n">
        <v>16</v>
      </c>
      <c r="C302" s="12" t="n">
        <f aca="false">IF(NOT(ISNUMBER(B302)),"",ROUND((INDEX(BP!$D$5:$D$9,MATCH(B302,BP!$A$5:$A$9,1))-INDEX(BP!$C$5:$C$9,MATCH(B302,BP!$A$5:$A$9,1)))/(INDEX(BP!$B$5:$B$9,MATCH(B302,BP!$A$5:$A$9,1))-INDEX(BP!$A$5:$A$9,MATCH(B302,BP!$A$5:$A$9,1)))*(B302-INDEX(BP!$A$5:$A$9,MATCH(B302,BP!$A$5:$A$9,1)))+INDEX(BP!$C$5:$C$9,MATCH(B302,BP!$A$5:$A$9,1)),0))</f>
        <v>28</v>
      </c>
      <c r="D302" s="12" t="str">
        <f aca="false">IF(NOT(ISNUMBER(C302)),"",INDEX(BP!$F$5:$F$9,MATCH(C302,BP!$E$5:$E$9,1)))</f>
        <v>ดี</v>
      </c>
      <c r="E302" s="12" t="n">
        <f aca="false">YEAR(A302)</f>
        <v>2021</v>
      </c>
      <c r="F302" s="12" t="n">
        <f aca="false">MONTH(A302)</f>
        <v>10</v>
      </c>
      <c r="G302" s="12" t="n">
        <v>14.5</v>
      </c>
      <c r="H302" s="12" t="n">
        <v>30.6</v>
      </c>
      <c r="I302" s="12" t="n">
        <v>88</v>
      </c>
      <c r="J302" s="12" t="n">
        <v>20.2</v>
      </c>
      <c r="K302" s="12" t="n">
        <v>0</v>
      </c>
      <c r="L302" s="12" t="s">
        <v>36</v>
      </c>
    </row>
    <row r="303" customFormat="false" ht="15" hidden="false" customHeight="false" outlineLevel="0" collapsed="false">
      <c r="A303" s="11" t="n">
        <v>44498</v>
      </c>
      <c r="B303" s="12" t="n">
        <v>12</v>
      </c>
      <c r="C303" s="12" t="n">
        <f aca="false">IF(NOT(ISNUMBER(B303)),"",ROUND((INDEX(BP!$D$5:$D$9,MATCH(B303,BP!$A$5:$A$9,1))-INDEX(BP!$C$5:$C$9,MATCH(B303,BP!$A$5:$A$9,1)))/(INDEX(BP!$B$5:$B$9,MATCH(B303,BP!$A$5:$A$9,1))-INDEX(BP!$A$5:$A$9,MATCH(B303,BP!$A$5:$A$9,1)))*(B303-INDEX(BP!$A$5:$A$9,MATCH(B303,BP!$A$5:$A$9,1)))+INDEX(BP!$C$5:$C$9,MATCH(B303,BP!$A$5:$A$9,1)),0))</f>
        <v>20</v>
      </c>
      <c r="D303" s="12" t="str">
        <f aca="false">IF(NOT(ISNUMBER(C303)),"",INDEX(BP!$F$5:$F$9,MATCH(C303,BP!$E$5:$E$9,1)))</f>
        <v>ดีมาก</v>
      </c>
      <c r="E303" s="12" t="n">
        <f aca="false">YEAR(A303)</f>
        <v>2021</v>
      </c>
      <c r="F303" s="12" t="n">
        <f aca="false">MONTH(A303)</f>
        <v>10</v>
      </c>
      <c r="G303" s="12" t="n">
        <v>17.7</v>
      </c>
      <c r="H303" s="12" t="n">
        <v>37.4</v>
      </c>
      <c r="I303" s="12" t="n">
        <v>106</v>
      </c>
      <c r="J303" s="12" t="n">
        <v>0.2</v>
      </c>
      <c r="K303" s="12" t="n">
        <v>0</v>
      </c>
      <c r="L303" s="12" t="s">
        <v>36</v>
      </c>
    </row>
    <row r="304" customFormat="false" ht="15" hidden="false" customHeight="false" outlineLevel="0" collapsed="false">
      <c r="A304" s="11" t="n">
        <v>44499</v>
      </c>
      <c r="B304" s="12" t="n">
        <v>13</v>
      </c>
      <c r="C304" s="12" t="n">
        <f aca="false">IF(NOT(ISNUMBER(B304)),"",ROUND((INDEX(BP!$D$5:$D$9,MATCH(B304,BP!$A$5:$A$9,1))-INDEX(BP!$C$5:$C$9,MATCH(B304,BP!$A$5:$A$9,1)))/(INDEX(BP!$B$5:$B$9,MATCH(B304,BP!$A$5:$A$9,1))-INDEX(BP!$A$5:$A$9,MATCH(B304,BP!$A$5:$A$9,1)))*(B304-INDEX(BP!$A$5:$A$9,MATCH(B304,BP!$A$5:$A$9,1)))+INDEX(BP!$C$5:$C$9,MATCH(B304,BP!$A$5:$A$9,1)),0))</f>
        <v>22</v>
      </c>
      <c r="D304" s="12" t="str">
        <f aca="false">IF(NOT(ISNUMBER(C304)),"",INDEX(BP!$F$5:$F$9,MATCH(C304,BP!$E$5:$E$9,1)))</f>
        <v>ดีมาก</v>
      </c>
      <c r="E304" s="12" t="n">
        <f aca="false">YEAR(A304)</f>
        <v>2021</v>
      </c>
      <c r="F304" s="12" t="n">
        <f aca="false">MONTH(A304)</f>
        <v>10</v>
      </c>
      <c r="G304" s="12" t="n">
        <v>12.6</v>
      </c>
      <c r="H304" s="12" t="n">
        <v>35.3</v>
      </c>
      <c r="I304" s="12" t="n">
        <v>93</v>
      </c>
      <c r="J304" s="12" t="n">
        <v>13.9</v>
      </c>
      <c r="K304" s="12" t="n">
        <v>0.2</v>
      </c>
      <c r="L304" s="12" t="s">
        <v>35</v>
      </c>
    </row>
    <row r="305" customFormat="false" ht="15" hidden="false" customHeight="false" outlineLevel="0" collapsed="false">
      <c r="A305" s="11" t="n">
        <v>44500</v>
      </c>
      <c r="B305" s="12" t="n">
        <v>13</v>
      </c>
      <c r="C305" s="12" t="n">
        <f aca="false">IF(NOT(ISNUMBER(B305)),"",ROUND((INDEX(BP!$D$5:$D$9,MATCH(B305,BP!$A$5:$A$9,1))-INDEX(BP!$C$5:$C$9,MATCH(B305,BP!$A$5:$A$9,1)))/(INDEX(BP!$B$5:$B$9,MATCH(B305,BP!$A$5:$A$9,1))-INDEX(BP!$A$5:$A$9,MATCH(B305,BP!$A$5:$A$9,1)))*(B305-INDEX(BP!$A$5:$A$9,MATCH(B305,BP!$A$5:$A$9,1)))+INDEX(BP!$C$5:$C$9,MATCH(B305,BP!$A$5:$A$9,1)),0))</f>
        <v>22</v>
      </c>
      <c r="D305" s="12" t="str">
        <f aca="false">IF(NOT(ISNUMBER(C305)),"",INDEX(BP!$F$5:$F$9,MATCH(C305,BP!$E$5:$E$9,1)))</f>
        <v>ดีมาก</v>
      </c>
      <c r="E305" s="12" t="n">
        <f aca="false">YEAR(A305)</f>
        <v>2021</v>
      </c>
      <c r="F305" s="12" t="n">
        <f aca="false">MONTH(A305)</f>
        <v>10</v>
      </c>
      <c r="G305" s="12" t="n">
        <v>9.8</v>
      </c>
      <c r="H305" s="12" t="n">
        <v>22</v>
      </c>
      <c r="I305" s="12" t="n">
        <v>32</v>
      </c>
      <c r="J305" s="12" t="n">
        <v>14.1</v>
      </c>
      <c r="K305" s="12" t="n">
        <v>4.6</v>
      </c>
      <c r="L305" s="12" t="s">
        <v>35</v>
      </c>
    </row>
    <row r="306" customFormat="false" ht="15" hidden="false" customHeight="false" outlineLevel="0" collapsed="false">
      <c r="A306" s="11" t="n">
        <v>44501</v>
      </c>
      <c r="B306" s="12" t="n">
        <v>12</v>
      </c>
      <c r="C306" s="12" t="n">
        <f aca="false">IF(NOT(ISNUMBER(B306)),"",ROUND((INDEX(BP!$D$5:$D$9,MATCH(B306,BP!$A$5:$A$9,1))-INDEX(BP!$C$5:$C$9,MATCH(B306,BP!$A$5:$A$9,1)))/(INDEX(BP!$B$5:$B$9,MATCH(B306,BP!$A$5:$A$9,1))-INDEX(BP!$A$5:$A$9,MATCH(B306,BP!$A$5:$A$9,1)))*(B306-INDEX(BP!$A$5:$A$9,MATCH(B306,BP!$A$5:$A$9,1)))+INDEX(BP!$C$5:$C$9,MATCH(B306,BP!$A$5:$A$9,1)),0))</f>
        <v>20</v>
      </c>
      <c r="D306" s="12" t="str">
        <f aca="false">IF(NOT(ISNUMBER(C306)),"",INDEX(BP!$F$5:$F$9,MATCH(C306,BP!$E$5:$E$9,1)))</f>
        <v>ดีมาก</v>
      </c>
      <c r="E306" s="12" t="n">
        <f aca="false">YEAR(A306)</f>
        <v>2021</v>
      </c>
      <c r="F306" s="12" t="n">
        <f aca="false">MONTH(A306)</f>
        <v>11</v>
      </c>
      <c r="G306" s="12" t="n">
        <v>11.8</v>
      </c>
      <c r="H306" s="12" t="n">
        <v>25.9</v>
      </c>
      <c r="I306" s="12" t="n">
        <v>69</v>
      </c>
      <c r="J306" s="12" t="n">
        <v>4.8</v>
      </c>
      <c r="K306" s="12" t="n">
        <v>9.4</v>
      </c>
      <c r="L306" s="12" t="s">
        <v>36</v>
      </c>
    </row>
    <row r="307" customFormat="false" ht="15" hidden="false" customHeight="false" outlineLevel="0" collapsed="false">
      <c r="A307" s="11" t="n">
        <v>44502</v>
      </c>
      <c r="B307" s="12" t="n">
        <v>17</v>
      </c>
      <c r="C307" s="12" t="n">
        <f aca="false">IF(NOT(ISNUMBER(B307)),"",ROUND((INDEX(BP!$D$5:$D$9,MATCH(B307,BP!$A$5:$A$9,1))-INDEX(BP!$C$5:$C$9,MATCH(B307,BP!$A$5:$A$9,1)))/(INDEX(BP!$B$5:$B$9,MATCH(B307,BP!$A$5:$A$9,1))-INDEX(BP!$A$5:$A$9,MATCH(B307,BP!$A$5:$A$9,1)))*(B307-INDEX(BP!$A$5:$A$9,MATCH(B307,BP!$A$5:$A$9,1)))+INDEX(BP!$C$5:$C$9,MATCH(B307,BP!$A$5:$A$9,1)),0))</f>
        <v>31</v>
      </c>
      <c r="D307" s="12" t="str">
        <f aca="false">IF(NOT(ISNUMBER(C307)),"",INDEX(BP!$F$5:$F$9,MATCH(C307,BP!$E$5:$E$9,1)))</f>
        <v>ดี</v>
      </c>
      <c r="E307" s="12" t="n">
        <f aca="false">YEAR(A307)</f>
        <v>2021</v>
      </c>
      <c r="F307" s="12" t="n">
        <f aca="false">MONTH(A307)</f>
        <v>11</v>
      </c>
      <c r="G307" s="12" t="n">
        <v>15.5</v>
      </c>
      <c r="H307" s="12" t="n">
        <v>33.5</v>
      </c>
      <c r="I307" s="12" t="n">
        <v>88</v>
      </c>
      <c r="J307" s="12" t="n">
        <v>8</v>
      </c>
      <c r="K307" s="12" t="n">
        <v>2.2</v>
      </c>
      <c r="L307" s="12" t="s">
        <v>36</v>
      </c>
    </row>
    <row r="308" customFormat="false" ht="15" hidden="false" customHeight="false" outlineLevel="0" collapsed="false">
      <c r="A308" s="11" t="n">
        <v>44503</v>
      </c>
      <c r="B308" s="12" t="n">
        <v>12</v>
      </c>
      <c r="C308" s="12" t="n">
        <f aca="false">IF(NOT(ISNUMBER(B308)),"",ROUND((INDEX(BP!$D$5:$D$9,MATCH(B308,BP!$A$5:$A$9,1))-INDEX(BP!$C$5:$C$9,MATCH(B308,BP!$A$5:$A$9,1)))/(INDEX(BP!$B$5:$B$9,MATCH(B308,BP!$A$5:$A$9,1))-INDEX(BP!$A$5:$A$9,MATCH(B308,BP!$A$5:$A$9,1)))*(B308-INDEX(BP!$A$5:$A$9,MATCH(B308,BP!$A$5:$A$9,1)))+INDEX(BP!$C$5:$C$9,MATCH(B308,BP!$A$5:$A$9,1)),0))</f>
        <v>20</v>
      </c>
      <c r="D308" s="12" t="str">
        <f aca="false">IF(NOT(ISNUMBER(C308)),"",INDEX(BP!$F$5:$F$9,MATCH(C308,BP!$E$5:$E$9,1)))</f>
        <v>ดีมาก</v>
      </c>
      <c r="E308" s="12" t="n">
        <f aca="false">YEAR(A308)</f>
        <v>2021</v>
      </c>
      <c r="F308" s="12" t="n">
        <f aca="false">MONTH(A308)</f>
        <v>11</v>
      </c>
      <c r="G308" s="12" t="n">
        <v>14.8</v>
      </c>
      <c r="H308" s="12" t="n">
        <v>32.4</v>
      </c>
      <c r="I308" s="12" t="n">
        <v>82</v>
      </c>
      <c r="J308" s="12" t="n">
        <v>16.7</v>
      </c>
      <c r="K308" s="12" t="n">
        <v>1.2</v>
      </c>
      <c r="L308" s="12" t="s">
        <v>36</v>
      </c>
    </row>
    <row r="309" customFormat="false" ht="15" hidden="false" customHeight="false" outlineLevel="0" collapsed="false">
      <c r="A309" s="11" t="n">
        <v>44504</v>
      </c>
      <c r="B309" s="12" t="n">
        <v>12</v>
      </c>
      <c r="C309" s="12" t="n">
        <f aca="false">IF(NOT(ISNUMBER(B309)),"",ROUND((INDEX(BP!$D$5:$D$9,MATCH(B309,BP!$A$5:$A$9,1))-INDEX(BP!$C$5:$C$9,MATCH(B309,BP!$A$5:$A$9,1)))/(INDEX(BP!$B$5:$B$9,MATCH(B309,BP!$A$5:$A$9,1))-INDEX(BP!$A$5:$A$9,MATCH(B309,BP!$A$5:$A$9,1)))*(B309-INDEX(BP!$A$5:$A$9,MATCH(B309,BP!$A$5:$A$9,1)))+INDEX(BP!$C$5:$C$9,MATCH(B309,BP!$A$5:$A$9,1)),0))</f>
        <v>20</v>
      </c>
      <c r="D309" s="12" t="str">
        <f aca="false">IF(NOT(ISNUMBER(C309)),"",INDEX(BP!$F$5:$F$9,MATCH(C309,BP!$E$5:$E$9,1)))</f>
        <v>ดีมาก</v>
      </c>
      <c r="E309" s="12" t="n">
        <f aca="false">YEAR(A309)</f>
        <v>2021</v>
      </c>
      <c r="F309" s="12" t="n">
        <f aca="false">MONTH(A309)</f>
        <v>11</v>
      </c>
      <c r="G309" s="12" t="n">
        <v>14.7</v>
      </c>
      <c r="H309" s="12" t="n">
        <v>32</v>
      </c>
      <c r="I309" s="12" t="n">
        <v>70</v>
      </c>
      <c r="J309" s="12" t="n">
        <v>30.1</v>
      </c>
      <c r="K309" s="12" t="n">
        <v>6</v>
      </c>
      <c r="L309" s="12" t="s">
        <v>36</v>
      </c>
    </row>
    <row r="310" customFormat="false" ht="15" hidden="false" customHeight="false" outlineLevel="0" collapsed="false">
      <c r="A310" s="11" t="n">
        <v>44505</v>
      </c>
      <c r="B310" s="12" t="n">
        <v>9</v>
      </c>
      <c r="C310" s="12" t="n">
        <f aca="false">IF(NOT(ISNUMBER(B310)),"",ROUND((INDEX(BP!$D$5:$D$9,MATCH(B310,BP!$A$5:$A$9,1))-INDEX(BP!$C$5:$C$9,MATCH(B310,BP!$A$5:$A$9,1)))/(INDEX(BP!$B$5:$B$9,MATCH(B310,BP!$A$5:$A$9,1))-INDEX(BP!$A$5:$A$9,MATCH(B310,BP!$A$5:$A$9,1)))*(B310-INDEX(BP!$A$5:$A$9,MATCH(B310,BP!$A$5:$A$9,1)))+INDEX(BP!$C$5:$C$9,MATCH(B310,BP!$A$5:$A$9,1)),0))</f>
        <v>15</v>
      </c>
      <c r="D310" s="12" t="str">
        <f aca="false">IF(NOT(ISNUMBER(C310)),"",INDEX(BP!$F$5:$F$9,MATCH(C310,BP!$E$5:$E$9,1)))</f>
        <v>ดีมาก</v>
      </c>
      <c r="E310" s="12" t="n">
        <f aca="false">YEAR(A310)</f>
        <v>2021</v>
      </c>
      <c r="F310" s="12" t="n">
        <f aca="false">MONTH(A310)</f>
        <v>11</v>
      </c>
      <c r="G310" s="12" t="n">
        <v>14.4</v>
      </c>
      <c r="H310" s="12" t="n">
        <v>29.9</v>
      </c>
      <c r="I310" s="12" t="n">
        <v>94</v>
      </c>
      <c r="J310" s="12" t="n">
        <v>19.7</v>
      </c>
      <c r="K310" s="12" t="n">
        <v>0.4</v>
      </c>
      <c r="L310" s="12" t="s">
        <v>36</v>
      </c>
    </row>
    <row r="311" customFormat="false" ht="15" hidden="false" customHeight="false" outlineLevel="0" collapsed="false">
      <c r="A311" s="11" t="n">
        <v>44506</v>
      </c>
      <c r="B311" s="12" t="n">
        <v>14</v>
      </c>
      <c r="C311" s="12" t="n">
        <f aca="false">IF(NOT(ISNUMBER(B311)),"",ROUND((INDEX(BP!$D$5:$D$9,MATCH(B311,BP!$A$5:$A$9,1))-INDEX(BP!$C$5:$C$9,MATCH(B311,BP!$A$5:$A$9,1)))/(INDEX(BP!$B$5:$B$9,MATCH(B311,BP!$A$5:$A$9,1))-INDEX(BP!$A$5:$A$9,MATCH(B311,BP!$A$5:$A$9,1)))*(B311-INDEX(BP!$A$5:$A$9,MATCH(B311,BP!$A$5:$A$9,1)))+INDEX(BP!$C$5:$C$9,MATCH(B311,BP!$A$5:$A$9,1)),0))</f>
        <v>23</v>
      </c>
      <c r="D311" s="12" t="str">
        <f aca="false">IF(NOT(ISNUMBER(C311)),"",INDEX(BP!$F$5:$F$9,MATCH(C311,BP!$E$5:$E$9,1)))</f>
        <v>ดีมาก</v>
      </c>
      <c r="E311" s="12" t="n">
        <f aca="false">YEAR(A311)</f>
        <v>2021</v>
      </c>
      <c r="F311" s="12" t="n">
        <f aca="false">MONTH(A311)</f>
        <v>11</v>
      </c>
      <c r="G311" s="12" t="n">
        <v>9.7</v>
      </c>
      <c r="H311" s="12" t="n">
        <v>23.8</v>
      </c>
      <c r="I311" s="12" t="n">
        <v>220</v>
      </c>
      <c r="J311" s="12" t="n">
        <v>9.3</v>
      </c>
      <c r="K311" s="12" t="n">
        <v>27.8</v>
      </c>
      <c r="L311" s="12" t="s">
        <v>35</v>
      </c>
    </row>
    <row r="312" customFormat="false" ht="15" hidden="false" customHeight="false" outlineLevel="0" collapsed="false">
      <c r="A312" s="11" t="n">
        <v>44507</v>
      </c>
      <c r="B312" s="12" t="n">
        <v>10</v>
      </c>
      <c r="C312" s="12" t="n">
        <f aca="false">IF(NOT(ISNUMBER(B312)),"",ROUND((INDEX(BP!$D$5:$D$9,MATCH(B312,BP!$A$5:$A$9,1))-INDEX(BP!$C$5:$C$9,MATCH(B312,BP!$A$5:$A$9,1)))/(INDEX(BP!$B$5:$B$9,MATCH(B312,BP!$A$5:$A$9,1))-INDEX(BP!$A$5:$A$9,MATCH(B312,BP!$A$5:$A$9,1)))*(B312-INDEX(BP!$A$5:$A$9,MATCH(B312,BP!$A$5:$A$9,1)))+INDEX(BP!$C$5:$C$9,MATCH(B312,BP!$A$5:$A$9,1)),0))</f>
        <v>17</v>
      </c>
      <c r="D312" s="12" t="str">
        <f aca="false">IF(NOT(ISNUMBER(C312)),"",INDEX(BP!$F$5:$F$9,MATCH(C312,BP!$E$5:$E$9,1)))</f>
        <v>ดีมาก</v>
      </c>
      <c r="E312" s="12" t="n">
        <f aca="false">YEAR(A312)</f>
        <v>2021</v>
      </c>
      <c r="F312" s="12" t="n">
        <f aca="false">MONTH(A312)</f>
        <v>11</v>
      </c>
      <c r="G312" s="12" t="n">
        <v>17.8</v>
      </c>
      <c r="H312" s="12" t="n">
        <v>37.4</v>
      </c>
      <c r="I312" s="12" t="n">
        <v>92</v>
      </c>
      <c r="J312" s="12" t="n">
        <v>1</v>
      </c>
      <c r="K312" s="12" t="n">
        <v>0</v>
      </c>
      <c r="L312" s="12" t="s">
        <v>35</v>
      </c>
    </row>
    <row r="313" customFormat="false" ht="15" hidden="false" customHeight="false" outlineLevel="0" collapsed="false">
      <c r="A313" s="11" t="n">
        <v>44508</v>
      </c>
      <c r="B313" s="12" t="n">
        <v>13</v>
      </c>
      <c r="C313" s="12" t="n">
        <f aca="false">IF(NOT(ISNUMBER(B313)),"",ROUND((INDEX(BP!$D$5:$D$9,MATCH(B313,BP!$A$5:$A$9,1))-INDEX(BP!$C$5:$C$9,MATCH(B313,BP!$A$5:$A$9,1)))/(INDEX(BP!$B$5:$B$9,MATCH(B313,BP!$A$5:$A$9,1))-INDEX(BP!$A$5:$A$9,MATCH(B313,BP!$A$5:$A$9,1)))*(B313-INDEX(BP!$A$5:$A$9,MATCH(B313,BP!$A$5:$A$9,1)))+INDEX(BP!$C$5:$C$9,MATCH(B313,BP!$A$5:$A$9,1)),0))</f>
        <v>22</v>
      </c>
      <c r="D313" s="12" t="str">
        <f aca="false">IF(NOT(ISNUMBER(C313)),"",INDEX(BP!$F$5:$F$9,MATCH(C313,BP!$E$5:$E$9,1)))</f>
        <v>ดีมาก</v>
      </c>
      <c r="E313" s="12" t="n">
        <f aca="false">YEAR(A313)</f>
        <v>2021</v>
      </c>
      <c r="F313" s="12" t="n">
        <f aca="false">MONTH(A313)</f>
        <v>11</v>
      </c>
      <c r="G313" s="12" t="n">
        <v>20.6</v>
      </c>
      <c r="H313" s="12" t="n">
        <v>42.8</v>
      </c>
      <c r="I313" s="12" t="n">
        <v>91</v>
      </c>
      <c r="J313" s="12" t="n">
        <v>8.6</v>
      </c>
      <c r="K313" s="12" t="n">
        <v>0</v>
      </c>
      <c r="L313" s="12" t="s">
        <v>36</v>
      </c>
    </row>
    <row r="314" customFormat="false" ht="15" hidden="false" customHeight="false" outlineLevel="0" collapsed="false">
      <c r="A314" s="11" t="n">
        <v>44509</v>
      </c>
      <c r="B314" s="12" t="n">
        <v>10</v>
      </c>
      <c r="C314" s="12" t="n">
        <f aca="false">IF(NOT(ISNUMBER(B314)),"",ROUND((INDEX(BP!$D$5:$D$9,MATCH(B314,BP!$A$5:$A$9,1))-INDEX(BP!$C$5:$C$9,MATCH(B314,BP!$A$5:$A$9,1)))/(INDEX(BP!$B$5:$B$9,MATCH(B314,BP!$A$5:$A$9,1))-INDEX(BP!$A$5:$A$9,MATCH(B314,BP!$A$5:$A$9,1)))*(B314-INDEX(BP!$A$5:$A$9,MATCH(B314,BP!$A$5:$A$9,1)))+INDEX(BP!$C$5:$C$9,MATCH(B314,BP!$A$5:$A$9,1)),0))</f>
        <v>17</v>
      </c>
      <c r="D314" s="12" t="str">
        <f aca="false">IF(NOT(ISNUMBER(C314)),"",INDEX(BP!$F$5:$F$9,MATCH(C314,BP!$E$5:$E$9,1)))</f>
        <v>ดีมาก</v>
      </c>
      <c r="E314" s="12" t="n">
        <f aca="false">YEAR(A314)</f>
        <v>2021</v>
      </c>
      <c r="F314" s="12" t="n">
        <f aca="false">MONTH(A314)</f>
        <v>11</v>
      </c>
      <c r="G314" s="12" t="n">
        <v>16</v>
      </c>
      <c r="H314" s="12" t="n">
        <v>34.9</v>
      </c>
      <c r="I314" s="12" t="n">
        <v>85</v>
      </c>
      <c r="J314" s="12" t="n">
        <v>7.8</v>
      </c>
      <c r="K314" s="12" t="n">
        <v>31.8</v>
      </c>
      <c r="L314" s="12" t="s">
        <v>36</v>
      </c>
    </row>
    <row r="315" customFormat="false" ht="15" hidden="false" customHeight="false" outlineLevel="0" collapsed="false">
      <c r="A315" s="11" t="n">
        <v>44510</v>
      </c>
      <c r="B315" s="12" t="n">
        <v>10</v>
      </c>
      <c r="C315" s="12" t="n">
        <f aca="false">IF(NOT(ISNUMBER(B315)),"",ROUND((INDEX(BP!$D$5:$D$9,MATCH(B315,BP!$A$5:$A$9,1))-INDEX(BP!$C$5:$C$9,MATCH(B315,BP!$A$5:$A$9,1)))/(INDEX(BP!$B$5:$B$9,MATCH(B315,BP!$A$5:$A$9,1))-INDEX(BP!$A$5:$A$9,MATCH(B315,BP!$A$5:$A$9,1)))*(B315-INDEX(BP!$A$5:$A$9,MATCH(B315,BP!$A$5:$A$9,1)))+INDEX(BP!$C$5:$C$9,MATCH(B315,BP!$A$5:$A$9,1)),0))</f>
        <v>17</v>
      </c>
      <c r="D315" s="12" t="str">
        <f aca="false">IF(NOT(ISNUMBER(C315)),"",INDEX(BP!$F$5:$F$9,MATCH(C315,BP!$E$5:$E$9,1)))</f>
        <v>ดีมาก</v>
      </c>
      <c r="E315" s="12" t="n">
        <f aca="false">YEAR(A315)</f>
        <v>2021</v>
      </c>
      <c r="F315" s="12" t="n">
        <f aca="false">MONTH(A315)</f>
        <v>11</v>
      </c>
      <c r="G315" s="12" t="n">
        <v>16.3</v>
      </c>
      <c r="H315" s="12" t="n">
        <v>33.1</v>
      </c>
      <c r="I315" s="12" t="n">
        <v>53</v>
      </c>
      <c r="J315" s="12" t="n">
        <v>43.1</v>
      </c>
      <c r="K315" s="12" t="n">
        <v>17</v>
      </c>
      <c r="L315" s="12" t="s">
        <v>36</v>
      </c>
    </row>
    <row r="316" customFormat="false" ht="15" hidden="false" customHeight="false" outlineLevel="0" collapsed="false">
      <c r="A316" s="11" t="n">
        <v>44511</v>
      </c>
      <c r="B316" s="12" t="n">
        <v>9</v>
      </c>
      <c r="C316" s="12" t="n">
        <f aca="false">IF(NOT(ISNUMBER(B316)),"",ROUND((INDEX(BP!$D$5:$D$9,MATCH(B316,BP!$A$5:$A$9,1))-INDEX(BP!$C$5:$C$9,MATCH(B316,BP!$A$5:$A$9,1)))/(INDEX(BP!$B$5:$B$9,MATCH(B316,BP!$A$5:$A$9,1))-INDEX(BP!$A$5:$A$9,MATCH(B316,BP!$A$5:$A$9,1)))*(B316-INDEX(BP!$A$5:$A$9,MATCH(B316,BP!$A$5:$A$9,1)))+INDEX(BP!$C$5:$C$9,MATCH(B316,BP!$A$5:$A$9,1)),0))</f>
        <v>15</v>
      </c>
      <c r="D316" s="12" t="str">
        <f aca="false">IF(NOT(ISNUMBER(C316)),"",INDEX(BP!$F$5:$F$9,MATCH(C316,BP!$E$5:$E$9,1)))</f>
        <v>ดีมาก</v>
      </c>
      <c r="E316" s="12" t="n">
        <f aca="false">YEAR(A316)</f>
        <v>2021</v>
      </c>
      <c r="F316" s="12" t="n">
        <f aca="false">MONTH(A316)</f>
        <v>11</v>
      </c>
      <c r="G316" s="12" t="n">
        <v>13.4</v>
      </c>
      <c r="H316" s="12" t="n">
        <v>29.2</v>
      </c>
      <c r="I316" s="12" t="n">
        <v>14</v>
      </c>
      <c r="J316" s="12" t="n">
        <v>65</v>
      </c>
      <c r="K316" s="12" t="n">
        <v>66</v>
      </c>
      <c r="L316" s="12" t="s">
        <v>36</v>
      </c>
    </row>
    <row r="317" customFormat="false" ht="15" hidden="false" customHeight="false" outlineLevel="0" collapsed="false">
      <c r="A317" s="11" t="n">
        <v>44512</v>
      </c>
      <c r="B317" s="12" t="n">
        <v>9</v>
      </c>
      <c r="C317" s="12" t="n">
        <f aca="false">IF(NOT(ISNUMBER(B317)),"",ROUND((INDEX(BP!$D$5:$D$9,MATCH(B317,BP!$A$5:$A$9,1))-INDEX(BP!$C$5:$C$9,MATCH(B317,BP!$A$5:$A$9,1)))/(INDEX(BP!$B$5:$B$9,MATCH(B317,BP!$A$5:$A$9,1))-INDEX(BP!$A$5:$A$9,MATCH(B317,BP!$A$5:$A$9,1)))*(B317-INDEX(BP!$A$5:$A$9,MATCH(B317,BP!$A$5:$A$9,1)))+INDEX(BP!$C$5:$C$9,MATCH(B317,BP!$A$5:$A$9,1)),0))</f>
        <v>15</v>
      </c>
      <c r="D317" s="12" t="str">
        <f aca="false">IF(NOT(ISNUMBER(C317)),"",INDEX(BP!$F$5:$F$9,MATCH(C317,BP!$E$5:$E$9,1)))</f>
        <v>ดีมาก</v>
      </c>
      <c r="E317" s="12" t="n">
        <f aca="false">YEAR(A317)</f>
        <v>2021</v>
      </c>
      <c r="F317" s="12" t="n">
        <f aca="false">MONTH(A317)</f>
        <v>11</v>
      </c>
      <c r="G317" s="12" t="n">
        <v>14.3</v>
      </c>
      <c r="H317" s="12" t="n">
        <v>28.1</v>
      </c>
      <c r="I317" s="12" t="n">
        <v>321</v>
      </c>
      <c r="J317" s="12" t="n">
        <v>222.5</v>
      </c>
      <c r="K317" s="12" t="n">
        <v>1.8</v>
      </c>
      <c r="L317" s="12" t="s">
        <v>36</v>
      </c>
    </row>
    <row r="318" customFormat="false" ht="15" hidden="false" customHeight="false" outlineLevel="0" collapsed="false">
      <c r="A318" s="11" t="n">
        <v>44513</v>
      </c>
      <c r="B318" s="12" t="n">
        <v>15</v>
      </c>
      <c r="C318" s="12" t="n">
        <f aca="false">IF(NOT(ISNUMBER(B318)),"",ROUND((INDEX(BP!$D$5:$D$9,MATCH(B318,BP!$A$5:$A$9,1))-INDEX(BP!$C$5:$C$9,MATCH(B318,BP!$A$5:$A$9,1)))/(INDEX(BP!$B$5:$B$9,MATCH(B318,BP!$A$5:$A$9,1))-INDEX(BP!$A$5:$A$9,MATCH(B318,BP!$A$5:$A$9,1)))*(B318-INDEX(BP!$A$5:$A$9,MATCH(B318,BP!$A$5:$A$9,1)))+INDEX(BP!$C$5:$C$9,MATCH(B318,BP!$A$5:$A$9,1)),0))</f>
        <v>25</v>
      </c>
      <c r="D318" s="12" t="str">
        <f aca="false">IF(NOT(ISNUMBER(C318)),"",INDEX(BP!$F$5:$F$9,MATCH(C318,BP!$E$5:$E$9,1)))</f>
        <v>ดีมาก</v>
      </c>
      <c r="E318" s="12" t="n">
        <f aca="false">YEAR(A318)</f>
        <v>2021</v>
      </c>
      <c r="F318" s="12" t="n">
        <f aca="false">MONTH(A318)</f>
        <v>11</v>
      </c>
      <c r="G318" s="12" t="n">
        <v>12.2</v>
      </c>
      <c r="H318" s="12" t="n">
        <v>26.3</v>
      </c>
      <c r="I318" s="12" t="n">
        <v>221</v>
      </c>
      <c r="J318" s="12" t="n">
        <v>5.8</v>
      </c>
      <c r="K318" s="12" t="n">
        <v>3.2</v>
      </c>
      <c r="L318" s="12" t="s">
        <v>35</v>
      </c>
    </row>
    <row r="319" customFormat="false" ht="15" hidden="false" customHeight="false" outlineLevel="0" collapsed="false">
      <c r="A319" s="11" t="n">
        <v>44514</v>
      </c>
      <c r="B319" s="12" t="n">
        <v>16</v>
      </c>
      <c r="C319" s="12" t="n">
        <f aca="false">IF(NOT(ISNUMBER(B319)),"",ROUND((INDEX(BP!$D$5:$D$9,MATCH(B319,BP!$A$5:$A$9,1))-INDEX(BP!$C$5:$C$9,MATCH(B319,BP!$A$5:$A$9,1)))/(INDEX(BP!$B$5:$B$9,MATCH(B319,BP!$A$5:$A$9,1))-INDEX(BP!$A$5:$A$9,MATCH(B319,BP!$A$5:$A$9,1)))*(B319-INDEX(BP!$A$5:$A$9,MATCH(B319,BP!$A$5:$A$9,1)))+INDEX(BP!$C$5:$C$9,MATCH(B319,BP!$A$5:$A$9,1)),0))</f>
        <v>28</v>
      </c>
      <c r="D319" s="12" t="str">
        <f aca="false">IF(NOT(ISNUMBER(C319)),"",INDEX(BP!$F$5:$F$9,MATCH(C319,BP!$E$5:$E$9,1)))</f>
        <v>ดี</v>
      </c>
      <c r="E319" s="12" t="n">
        <f aca="false">YEAR(A319)</f>
        <v>2021</v>
      </c>
      <c r="F319" s="12" t="n">
        <f aca="false">MONTH(A319)</f>
        <v>11</v>
      </c>
      <c r="G319" s="12" t="n">
        <v>11</v>
      </c>
      <c r="H319" s="12" t="n">
        <v>25.9</v>
      </c>
      <c r="I319" s="12" t="n">
        <v>205</v>
      </c>
      <c r="J319" s="12" t="n">
        <v>11.1</v>
      </c>
      <c r="K319" s="12" t="n">
        <v>1.2</v>
      </c>
      <c r="L319" s="12" t="s">
        <v>35</v>
      </c>
    </row>
    <row r="320" customFormat="false" ht="15" hidden="false" customHeight="false" outlineLevel="0" collapsed="false">
      <c r="A320" s="11" t="n">
        <v>44515</v>
      </c>
      <c r="B320" s="12" t="n">
        <v>16</v>
      </c>
      <c r="C320" s="12" t="n">
        <f aca="false">IF(NOT(ISNUMBER(B320)),"",ROUND((INDEX(BP!$D$5:$D$9,MATCH(B320,BP!$A$5:$A$9,1))-INDEX(BP!$C$5:$C$9,MATCH(B320,BP!$A$5:$A$9,1)))/(INDEX(BP!$B$5:$B$9,MATCH(B320,BP!$A$5:$A$9,1))-INDEX(BP!$A$5:$A$9,MATCH(B320,BP!$A$5:$A$9,1)))*(B320-INDEX(BP!$A$5:$A$9,MATCH(B320,BP!$A$5:$A$9,1)))+INDEX(BP!$C$5:$C$9,MATCH(B320,BP!$A$5:$A$9,1)),0))</f>
        <v>28</v>
      </c>
      <c r="D320" s="12" t="str">
        <f aca="false">IF(NOT(ISNUMBER(C320)),"",INDEX(BP!$F$5:$F$9,MATCH(C320,BP!$E$5:$E$9,1)))</f>
        <v>ดี</v>
      </c>
      <c r="E320" s="12" t="n">
        <f aca="false">YEAR(A320)</f>
        <v>2021</v>
      </c>
      <c r="F320" s="12" t="n">
        <f aca="false">MONTH(A320)</f>
        <v>11</v>
      </c>
      <c r="G320" s="12" t="n">
        <v>9.2</v>
      </c>
      <c r="H320" s="12" t="n">
        <v>23.4</v>
      </c>
      <c r="I320" s="12" t="n">
        <v>123</v>
      </c>
      <c r="J320" s="12" t="n">
        <v>12</v>
      </c>
      <c r="K320" s="12" t="n">
        <v>32</v>
      </c>
      <c r="L320" s="12" t="s">
        <v>36</v>
      </c>
    </row>
    <row r="321" customFormat="false" ht="15" hidden="false" customHeight="false" outlineLevel="0" collapsed="false">
      <c r="A321" s="11" t="n">
        <v>44516</v>
      </c>
      <c r="B321" s="12" t="n">
        <v>11</v>
      </c>
      <c r="C321" s="12" t="n">
        <f aca="false">IF(NOT(ISNUMBER(B321)),"",ROUND((INDEX(BP!$D$5:$D$9,MATCH(B321,BP!$A$5:$A$9,1))-INDEX(BP!$C$5:$C$9,MATCH(B321,BP!$A$5:$A$9,1)))/(INDEX(BP!$B$5:$B$9,MATCH(B321,BP!$A$5:$A$9,1))-INDEX(BP!$A$5:$A$9,MATCH(B321,BP!$A$5:$A$9,1)))*(B321-INDEX(BP!$A$5:$A$9,MATCH(B321,BP!$A$5:$A$9,1)))+INDEX(BP!$C$5:$C$9,MATCH(B321,BP!$A$5:$A$9,1)),0))</f>
        <v>18</v>
      </c>
      <c r="D321" s="12" t="str">
        <f aca="false">IF(NOT(ISNUMBER(C321)),"",INDEX(BP!$F$5:$F$9,MATCH(C321,BP!$E$5:$E$9,1)))</f>
        <v>ดีมาก</v>
      </c>
      <c r="E321" s="12" t="n">
        <f aca="false">YEAR(A321)</f>
        <v>2021</v>
      </c>
      <c r="F321" s="12" t="n">
        <f aca="false">MONTH(A321)</f>
        <v>11</v>
      </c>
      <c r="G321" s="12" t="n">
        <v>12.2</v>
      </c>
      <c r="H321" s="12" t="n">
        <v>28.1</v>
      </c>
      <c r="I321" s="12" t="n">
        <v>350</v>
      </c>
      <c r="J321" s="12" t="n">
        <v>14.2</v>
      </c>
      <c r="K321" s="12" t="n">
        <v>19</v>
      </c>
      <c r="L321" s="12" t="s">
        <v>36</v>
      </c>
    </row>
    <row r="322" customFormat="false" ht="15" hidden="false" customHeight="false" outlineLevel="0" collapsed="false">
      <c r="A322" s="11" t="n">
        <v>44517</v>
      </c>
      <c r="B322" s="12" t="n">
        <v>8</v>
      </c>
      <c r="C322" s="12" t="n">
        <f aca="false">IF(NOT(ISNUMBER(B322)),"",ROUND((INDEX(BP!$D$5:$D$9,MATCH(B322,BP!$A$5:$A$9,1))-INDEX(BP!$C$5:$C$9,MATCH(B322,BP!$A$5:$A$9,1)))/(INDEX(BP!$B$5:$B$9,MATCH(B322,BP!$A$5:$A$9,1))-INDEX(BP!$A$5:$A$9,MATCH(B322,BP!$A$5:$A$9,1)))*(B322-INDEX(BP!$A$5:$A$9,MATCH(B322,BP!$A$5:$A$9,1)))+INDEX(BP!$C$5:$C$9,MATCH(B322,BP!$A$5:$A$9,1)),0))</f>
        <v>13</v>
      </c>
      <c r="D322" s="12" t="str">
        <f aca="false">IF(NOT(ISNUMBER(C322)),"",INDEX(BP!$F$5:$F$9,MATCH(C322,BP!$E$5:$E$9,1)))</f>
        <v>ดีมาก</v>
      </c>
      <c r="E322" s="12" t="n">
        <f aca="false">YEAR(A322)</f>
        <v>2021</v>
      </c>
      <c r="F322" s="12" t="n">
        <f aca="false">MONTH(A322)</f>
        <v>11</v>
      </c>
      <c r="G322" s="12" t="n">
        <v>10.1</v>
      </c>
      <c r="H322" s="12" t="n">
        <v>25.6</v>
      </c>
      <c r="I322" s="12" t="n">
        <v>18</v>
      </c>
      <c r="J322" s="12" t="n">
        <v>20.3</v>
      </c>
      <c r="K322" s="12" t="n">
        <v>31.6</v>
      </c>
      <c r="L322" s="12" t="s">
        <v>36</v>
      </c>
    </row>
    <row r="323" customFormat="false" ht="15" hidden="false" customHeight="false" outlineLevel="0" collapsed="false">
      <c r="A323" s="11" t="n">
        <v>44518</v>
      </c>
      <c r="B323" s="12" t="n">
        <v>11</v>
      </c>
      <c r="C323" s="12" t="n">
        <f aca="false">IF(NOT(ISNUMBER(B323)),"",ROUND((INDEX(BP!$D$5:$D$9,MATCH(B323,BP!$A$5:$A$9,1))-INDEX(BP!$C$5:$C$9,MATCH(B323,BP!$A$5:$A$9,1)))/(INDEX(BP!$B$5:$B$9,MATCH(B323,BP!$A$5:$A$9,1))-INDEX(BP!$A$5:$A$9,MATCH(B323,BP!$A$5:$A$9,1)))*(B323-INDEX(BP!$A$5:$A$9,MATCH(B323,BP!$A$5:$A$9,1)))+INDEX(BP!$C$5:$C$9,MATCH(B323,BP!$A$5:$A$9,1)),0))</f>
        <v>18</v>
      </c>
      <c r="D323" s="12" t="str">
        <f aca="false">IF(NOT(ISNUMBER(C323)),"",INDEX(BP!$F$5:$F$9,MATCH(C323,BP!$E$5:$E$9,1)))</f>
        <v>ดีมาก</v>
      </c>
      <c r="E323" s="12" t="n">
        <f aca="false">YEAR(A323)</f>
        <v>2021</v>
      </c>
      <c r="F323" s="12" t="n">
        <f aca="false">MONTH(A323)</f>
        <v>11</v>
      </c>
      <c r="G323" s="12" t="n">
        <v>10.7</v>
      </c>
      <c r="H323" s="12" t="n">
        <v>23</v>
      </c>
      <c r="I323" s="12" t="n">
        <v>165</v>
      </c>
      <c r="J323" s="12" t="n">
        <v>13.7</v>
      </c>
      <c r="K323" s="12" t="n">
        <v>3.8</v>
      </c>
      <c r="L323" s="12" t="s">
        <v>36</v>
      </c>
    </row>
    <row r="324" customFormat="false" ht="15" hidden="false" customHeight="false" outlineLevel="0" collapsed="false">
      <c r="A324" s="11" t="n">
        <v>44519</v>
      </c>
      <c r="B324" s="12" t="n">
        <v>13</v>
      </c>
      <c r="C324" s="12" t="n">
        <f aca="false">IF(NOT(ISNUMBER(B324)),"",ROUND((INDEX(BP!$D$5:$D$9,MATCH(B324,BP!$A$5:$A$9,1))-INDEX(BP!$C$5:$C$9,MATCH(B324,BP!$A$5:$A$9,1)))/(INDEX(BP!$B$5:$B$9,MATCH(B324,BP!$A$5:$A$9,1))-INDEX(BP!$A$5:$A$9,MATCH(B324,BP!$A$5:$A$9,1)))*(B324-INDEX(BP!$A$5:$A$9,MATCH(B324,BP!$A$5:$A$9,1)))+INDEX(BP!$C$5:$C$9,MATCH(B324,BP!$A$5:$A$9,1)),0))</f>
        <v>22</v>
      </c>
      <c r="D324" s="12" t="str">
        <f aca="false">IF(NOT(ISNUMBER(C324)),"",INDEX(BP!$F$5:$F$9,MATCH(C324,BP!$E$5:$E$9,1)))</f>
        <v>ดีมาก</v>
      </c>
      <c r="E324" s="12" t="n">
        <f aca="false">YEAR(A324)</f>
        <v>2021</v>
      </c>
      <c r="F324" s="12" t="n">
        <f aca="false">MONTH(A324)</f>
        <v>11</v>
      </c>
      <c r="G324" s="12" t="n">
        <v>9.8</v>
      </c>
      <c r="H324" s="12" t="n">
        <v>23.8</v>
      </c>
      <c r="I324" s="12" t="n">
        <v>168</v>
      </c>
      <c r="J324" s="12" t="n">
        <v>6.6</v>
      </c>
      <c r="K324" s="12" t="n">
        <v>7.2</v>
      </c>
      <c r="L324" s="12" t="s">
        <v>36</v>
      </c>
    </row>
    <row r="325" customFormat="false" ht="15" hidden="false" customHeight="false" outlineLevel="0" collapsed="false">
      <c r="A325" s="11" t="n">
        <v>44520</v>
      </c>
      <c r="B325" s="12" t="n">
        <v>13</v>
      </c>
      <c r="C325" s="12" t="n">
        <f aca="false">IF(NOT(ISNUMBER(B325)),"",ROUND((INDEX(BP!$D$5:$D$9,MATCH(B325,BP!$A$5:$A$9,1))-INDEX(BP!$C$5:$C$9,MATCH(B325,BP!$A$5:$A$9,1)))/(INDEX(BP!$B$5:$B$9,MATCH(B325,BP!$A$5:$A$9,1))-INDEX(BP!$A$5:$A$9,MATCH(B325,BP!$A$5:$A$9,1)))*(B325-INDEX(BP!$A$5:$A$9,MATCH(B325,BP!$A$5:$A$9,1)))+INDEX(BP!$C$5:$C$9,MATCH(B325,BP!$A$5:$A$9,1)),0))</f>
        <v>22</v>
      </c>
      <c r="D325" s="12" t="str">
        <f aca="false">IF(NOT(ISNUMBER(C325)),"",INDEX(BP!$F$5:$F$9,MATCH(C325,BP!$E$5:$E$9,1)))</f>
        <v>ดีมาก</v>
      </c>
      <c r="E325" s="12" t="n">
        <f aca="false">YEAR(A325)</f>
        <v>2021</v>
      </c>
      <c r="F325" s="12" t="n">
        <f aca="false">MONTH(A325)</f>
        <v>11</v>
      </c>
      <c r="G325" s="12" t="n">
        <v>11.7</v>
      </c>
      <c r="H325" s="12" t="n">
        <v>28.4</v>
      </c>
      <c r="I325" s="12" t="n">
        <v>102</v>
      </c>
      <c r="J325" s="12" t="n">
        <v>0.7</v>
      </c>
      <c r="K325" s="12" t="n">
        <v>0</v>
      </c>
      <c r="L325" s="12" t="s">
        <v>35</v>
      </c>
    </row>
    <row r="326" customFormat="false" ht="15" hidden="false" customHeight="false" outlineLevel="0" collapsed="false">
      <c r="A326" s="11" t="n">
        <v>44521</v>
      </c>
      <c r="B326" s="12" t="n">
        <v>17</v>
      </c>
      <c r="C326" s="12" t="n">
        <f aca="false">IF(NOT(ISNUMBER(B326)),"",ROUND((INDEX(BP!$D$5:$D$9,MATCH(B326,BP!$A$5:$A$9,1))-INDEX(BP!$C$5:$C$9,MATCH(B326,BP!$A$5:$A$9,1)))/(INDEX(BP!$B$5:$B$9,MATCH(B326,BP!$A$5:$A$9,1))-INDEX(BP!$A$5:$A$9,MATCH(B326,BP!$A$5:$A$9,1)))*(B326-INDEX(BP!$A$5:$A$9,MATCH(B326,BP!$A$5:$A$9,1)))+INDEX(BP!$C$5:$C$9,MATCH(B326,BP!$A$5:$A$9,1)),0))</f>
        <v>31</v>
      </c>
      <c r="D326" s="12" t="str">
        <f aca="false">IF(NOT(ISNUMBER(C326)),"",INDEX(BP!$F$5:$F$9,MATCH(C326,BP!$E$5:$E$9,1)))</f>
        <v>ดี</v>
      </c>
      <c r="E326" s="12" t="n">
        <f aca="false">YEAR(A326)</f>
        <v>2021</v>
      </c>
      <c r="F326" s="12" t="n">
        <f aca="false">MONTH(A326)</f>
        <v>11</v>
      </c>
      <c r="G326" s="12" t="n">
        <v>11.5</v>
      </c>
      <c r="H326" s="12" t="n">
        <v>27.4</v>
      </c>
      <c r="I326" s="12" t="n">
        <v>82</v>
      </c>
      <c r="J326" s="12" t="n">
        <v>2.4</v>
      </c>
      <c r="K326" s="12" t="n">
        <v>3.4</v>
      </c>
      <c r="L326" s="12" t="s">
        <v>35</v>
      </c>
    </row>
    <row r="327" customFormat="false" ht="15" hidden="false" customHeight="false" outlineLevel="0" collapsed="false">
      <c r="A327" s="11" t="n">
        <v>44522</v>
      </c>
      <c r="B327" s="12" t="n">
        <v>13</v>
      </c>
      <c r="C327" s="12" t="n">
        <f aca="false">IF(NOT(ISNUMBER(B327)),"",ROUND((INDEX(BP!$D$5:$D$9,MATCH(B327,BP!$A$5:$A$9,1))-INDEX(BP!$C$5:$C$9,MATCH(B327,BP!$A$5:$A$9,1)))/(INDEX(BP!$B$5:$B$9,MATCH(B327,BP!$A$5:$A$9,1))-INDEX(BP!$A$5:$A$9,MATCH(B327,BP!$A$5:$A$9,1)))*(B327-INDEX(BP!$A$5:$A$9,MATCH(B327,BP!$A$5:$A$9,1)))+INDEX(BP!$C$5:$C$9,MATCH(B327,BP!$A$5:$A$9,1)),0))</f>
        <v>22</v>
      </c>
      <c r="D327" s="12" t="str">
        <f aca="false">IF(NOT(ISNUMBER(C327)),"",INDEX(BP!$F$5:$F$9,MATCH(C327,BP!$E$5:$E$9,1)))</f>
        <v>ดีมาก</v>
      </c>
      <c r="E327" s="12" t="n">
        <f aca="false">YEAR(A327)</f>
        <v>2021</v>
      </c>
      <c r="F327" s="12" t="n">
        <f aca="false">MONTH(A327)</f>
        <v>11</v>
      </c>
      <c r="G327" s="12" t="n">
        <v>13.5</v>
      </c>
      <c r="H327" s="12" t="n">
        <v>31.3</v>
      </c>
      <c r="I327" s="12" t="n">
        <v>62</v>
      </c>
      <c r="J327" s="12" t="n">
        <v>14.1</v>
      </c>
      <c r="K327" s="12" t="n">
        <v>17</v>
      </c>
      <c r="L327" s="12" t="s">
        <v>36</v>
      </c>
    </row>
    <row r="328" customFormat="false" ht="15" hidden="false" customHeight="false" outlineLevel="0" collapsed="false">
      <c r="A328" s="11" t="n">
        <v>44523</v>
      </c>
      <c r="B328" s="12" t="n">
        <v>11</v>
      </c>
      <c r="C328" s="12" t="n">
        <f aca="false">IF(NOT(ISNUMBER(B328)),"",ROUND((INDEX(BP!$D$5:$D$9,MATCH(B328,BP!$A$5:$A$9,1))-INDEX(BP!$C$5:$C$9,MATCH(B328,BP!$A$5:$A$9,1)))/(INDEX(BP!$B$5:$B$9,MATCH(B328,BP!$A$5:$A$9,1))-INDEX(BP!$A$5:$A$9,MATCH(B328,BP!$A$5:$A$9,1)))*(B328-INDEX(BP!$A$5:$A$9,MATCH(B328,BP!$A$5:$A$9,1)))+INDEX(BP!$C$5:$C$9,MATCH(B328,BP!$A$5:$A$9,1)),0))</f>
        <v>18</v>
      </c>
      <c r="D328" s="12" t="str">
        <f aca="false">IF(NOT(ISNUMBER(C328)),"",INDEX(BP!$F$5:$F$9,MATCH(C328,BP!$E$5:$E$9,1)))</f>
        <v>ดีมาก</v>
      </c>
      <c r="E328" s="12" t="n">
        <f aca="false">YEAR(A328)</f>
        <v>2021</v>
      </c>
      <c r="F328" s="12" t="n">
        <f aca="false">MONTH(A328)</f>
        <v>11</v>
      </c>
      <c r="G328" s="12" t="n">
        <v>13.6</v>
      </c>
      <c r="H328" s="12" t="n">
        <v>28.8</v>
      </c>
      <c r="I328" s="12" t="n">
        <v>112</v>
      </c>
      <c r="J328" s="12" t="n">
        <v>12.3</v>
      </c>
      <c r="K328" s="12" t="n">
        <v>28.2</v>
      </c>
      <c r="L328" s="12" t="s">
        <v>36</v>
      </c>
    </row>
    <row r="329" customFormat="false" ht="15" hidden="false" customHeight="false" outlineLevel="0" collapsed="false">
      <c r="A329" s="11" t="n">
        <v>44524</v>
      </c>
      <c r="B329" s="12" t="n">
        <v>8</v>
      </c>
      <c r="C329" s="12" t="n">
        <f aca="false">IF(NOT(ISNUMBER(B329)),"",ROUND((INDEX(BP!$D$5:$D$9,MATCH(B329,BP!$A$5:$A$9,1))-INDEX(BP!$C$5:$C$9,MATCH(B329,BP!$A$5:$A$9,1)))/(INDEX(BP!$B$5:$B$9,MATCH(B329,BP!$A$5:$A$9,1))-INDEX(BP!$A$5:$A$9,MATCH(B329,BP!$A$5:$A$9,1)))*(B329-INDEX(BP!$A$5:$A$9,MATCH(B329,BP!$A$5:$A$9,1)))+INDEX(BP!$C$5:$C$9,MATCH(B329,BP!$A$5:$A$9,1)),0))</f>
        <v>13</v>
      </c>
      <c r="D329" s="12" t="str">
        <f aca="false">IF(NOT(ISNUMBER(C329)),"",INDEX(BP!$F$5:$F$9,MATCH(C329,BP!$E$5:$E$9,1)))</f>
        <v>ดีมาก</v>
      </c>
      <c r="E329" s="12" t="n">
        <f aca="false">YEAR(A329)</f>
        <v>2021</v>
      </c>
      <c r="F329" s="12" t="n">
        <f aca="false">MONTH(A329)</f>
        <v>11</v>
      </c>
      <c r="G329" s="12" t="n">
        <v>22</v>
      </c>
      <c r="H329" s="12" t="n">
        <v>41</v>
      </c>
      <c r="I329" s="12" t="n">
        <v>98</v>
      </c>
      <c r="J329" s="12" t="n">
        <v>16.1</v>
      </c>
      <c r="K329" s="12" t="n">
        <v>2.2</v>
      </c>
      <c r="L329" s="12" t="s">
        <v>36</v>
      </c>
    </row>
    <row r="330" customFormat="false" ht="15" hidden="false" customHeight="false" outlineLevel="0" collapsed="false">
      <c r="A330" s="11" t="n">
        <v>44525</v>
      </c>
      <c r="B330" s="12" t="n">
        <v>9</v>
      </c>
      <c r="C330" s="12" t="n">
        <f aca="false">IF(NOT(ISNUMBER(B330)),"",ROUND((INDEX(BP!$D$5:$D$9,MATCH(B330,BP!$A$5:$A$9,1))-INDEX(BP!$C$5:$C$9,MATCH(B330,BP!$A$5:$A$9,1)))/(INDEX(BP!$B$5:$B$9,MATCH(B330,BP!$A$5:$A$9,1))-INDEX(BP!$A$5:$A$9,MATCH(B330,BP!$A$5:$A$9,1)))*(B330-INDEX(BP!$A$5:$A$9,MATCH(B330,BP!$A$5:$A$9,1)))+INDEX(BP!$C$5:$C$9,MATCH(B330,BP!$A$5:$A$9,1)),0))</f>
        <v>15</v>
      </c>
      <c r="D330" s="12" t="str">
        <f aca="false">IF(NOT(ISNUMBER(C330)),"",INDEX(BP!$F$5:$F$9,MATCH(C330,BP!$E$5:$E$9,1)))</f>
        <v>ดีมาก</v>
      </c>
      <c r="E330" s="12" t="n">
        <f aca="false">YEAR(A330)</f>
        <v>2021</v>
      </c>
      <c r="F330" s="12" t="n">
        <f aca="false">MONTH(A330)</f>
        <v>11</v>
      </c>
      <c r="G330" s="12" t="n">
        <v>15.8</v>
      </c>
      <c r="H330" s="12" t="n">
        <v>35.3</v>
      </c>
      <c r="I330" s="12" t="n">
        <v>93</v>
      </c>
      <c r="J330" s="12" t="n">
        <v>54.3</v>
      </c>
      <c r="K330" s="12" t="n">
        <v>3.2</v>
      </c>
      <c r="L330" s="12" t="s">
        <v>36</v>
      </c>
    </row>
    <row r="331" customFormat="false" ht="15" hidden="false" customHeight="false" outlineLevel="0" collapsed="false">
      <c r="A331" s="11" t="n">
        <v>44526</v>
      </c>
      <c r="B331" s="12" t="n">
        <v>9</v>
      </c>
      <c r="C331" s="12" t="n">
        <f aca="false">IF(NOT(ISNUMBER(B331)),"",ROUND((INDEX(BP!$D$5:$D$9,MATCH(B331,BP!$A$5:$A$9,1))-INDEX(BP!$C$5:$C$9,MATCH(B331,BP!$A$5:$A$9,1)))/(INDEX(BP!$B$5:$B$9,MATCH(B331,BP!$A$5:$A$9,1))-INDEX(BP!$A$5:$A$9,MATCH(B331,BP!$A$5:$A$9,1)))*(B331-INDEX(BP!$A$5:$A$9,MATCH(B331,BP!$A$5:$A$9,1)))+INDEX(BP!$C$5:$C$9,MATCH(B331,BP!$A$5:$A$9,1)),0))</f>
        <v>15</v>
      </c>
      <c r="D331" s="12" t="str">
        <f aca="false">IF(NOT(ISNUMBER(C331)),"",INDEX(BP!$F$5:$F$9,MATCH(C331,BP!$E$5:$E$9,1)))</f>
        <v>ดีมาก</v>
      </c>
      <c r="E331" s="12" t="n">
        <f aca="false">YEAR(A331)</f>
        <v>2021</v>
      </c>
      <c r="F331" s="12" t="n">
        <f aca="false">MONTH(A331)</f>
        <v>11</v>
      </c>
      <c r="G331" s="12" t="n">
        <v>9.6</v>
      </c>
      <c r="H331" s="12" t="n">
        <v>23</v>
      </c>
      <c r="I331" s="12" t="n">
        <v>83</v>
      </c>
      <c r="J331" s="12" t="n">
        <v>33</v>
      </c>
      <c r="K331" s="12" t="n">
        <v>6.6</v>
      </c>
      <c r="L331" s="12" t="s">
        <v>36</v>
      </c>
    </row>
    <row r="332" customFormat="false" ht="15" hidden="false" customHeight="false" outlineLevel="0" collapsed="false">
      <c r="A332" s="11" t="n">
        <v>44527</v>
      </c>
      <c r="B332" s="12" t="n">
        <v>11</v>
      </c>
      <c r="C332" s="12" t="n">
        <f aca="false">IF(NOT(ISNUMBER(B332)),"",ROUND((INDEX(BP!$D$5:$D$9,MATCH(B332,BP!$A$5:$A$9,1))-INDEX(BP!$C$5:$C$9,MATCH(B332,BP!$A$5:$A$9,1)))/(INDEX(BP!$B$5:$B$9,MATCH(B332,BP!$A$5:$A$9,1))-INDEX(BP!$A$5:$A$9,MATCH(B332,BP!$A$5:$A$9,1)))*(B332-INDEX(BP!$A$5:$A$9,MATCH(B332,BP!$A$5:$A$9,1)))+INDEX(BP!$C$5:$C$9,MATCH(B332,BP!$A$5:$A$9,1)),0))</f>
        <v>18</v>
      </c>
      <c r="D332" s="12" t="str">
        <f aca="false">IF(NOT(ISNUMBER(C332)),"",INDEX(BP!$F$5:$F$9,MATCH(C332,BP!$E$5:$E$9,1)))</f>
        <v>ดีมาก</v>
      </c>
      <c r="E332" s="12" t="n">
        <f aca="false">YEAR(A332)</f>
        <v>2021</v>
      </c>
      <c r="F332" s="12" t="n">
        <f aca="false">MONTH(A332)</f>
        <v>11</v>
      </c>
      <c r="G332" s="12" t="n">
        <v>13.5</v>
      </c>
      <c r="H332" s="12" t="n">
        <v>32.8</v>
      </c>
      <c r="I332" s="12" t="n">
        <v>72</v>
      </c>
      <c r="J332" s="12" t="n">
        <v>13</v>
      </c>
      <c r="K332" s="12" t="n">
        <v>26.8</v>
      </c>
      <c r="L332" s="12" t="s">
        <v>35</v>
      </c>
    </row>
    <row r="333" customFormat="false" ht="15" hidden="false" customHeight="false" outlineLevel="0" collapsed="false">
      <c r="A333" s="11" t="n">
        <v>44528</v>
      </c>
      <c r="B333" s="12" t="n">
        <v>10</v>
      </c>
      <c r="C333" s="12" t="n">
        <f aca="false">IF(NOT(ISNUMBER(B333)),"",ROUND((INDEX(BP!$D$5:$D$9,MATCH(B333,BP!$A$5:$A$9,1))-INDEX(BP!$C$5:$C$9,MATCH(B333,BP!$A$5:$A$9,1)))/(INDEX(BP!$B$5:$B$9,MATCH(B333,BP!$A$5:$A$9,1))-INDEX(BP!$A$5:$A$9,MATCH(B333,BP!$A$5:$A$9,1)))*(B333-INDEX(BP!$A$5:$A$9,MATCH(B333,BP!$A$5:$A$9,1)))+INDEX(BP!$C$5:$C$9,MATCH(B333,BP!$A$5:$A$9,1)),0))</f>
        <v>17</v>
      </c>
      <c r="D333" s="12" t="str">
        <f aca="false">IF(NOT(ISNUMBER(C333)),"",INDEX(BP!$F$5:$F$9,MATCH(C333,BP!$E$5:$E$9,1)))</f>
        <v>ดีมาก</v>
      </c>
      <c r="E333" s="12" t="n">
        <f aca="false">YEAR(A333)</f>
        <v>2021</v>
      </c>
      <c r="F333" s="12" t="n">
        <f aca="false">MONTH(A333)</f>
        <v>11</v>
      </c>
      <c r="G333" s="12" t="n">
        <v>13.4</v>
      </c>
      <c r="H333" s="12" t="n">
        <v>33.5</v>
      </c>
      <c r="I333" s="12" t="n">
        <v>27</v>
      </c>
      <c r="J333" s="12" t="n">
        <v>21.8</v>
      </c>
      <c r="K333" s="12" t="n">
        <v>70.6</v>
      </c>
      <c r="L333" s="12" t="s">
        <v>35</v>
      </c>
    </row>
    <row r="334" customFormat="false" ht="15" hidden="false" customHeight="false" outlineLevel="0" collapsed="false">
      <c r="A334" s="11" t="n">
        <v>44529</v>
      </c>
      <c r="B334" s="12" t="n">
        <v>12</v>
      </c>
      <c r="C334" s="12" t="n">
        <f aca="false">IF(NOT(ISNUMBER(B334)),"",ROUND((INDEX(BP!$D$5:$D$9,MATCH(B334,BP!$A$5:$A$9,1))-INDEX(BP!$C$5:$C$9,MATCH(B334,BP!$A$5:$A$9,1)))/(INDEX(BP!$B$5:$B$9,MATCH(B334,BP!$A$5:$A$9,1))-INDEX(BP!$A$5:$A$9,MATCH(B334,BP!$A$5:$A$9,1)))*(B334-INDEX(BP!$A$5:$A$9,MATCH(B334,BP!$A$5:$A$9,1)))+INDEX(BP!$C$5:$C$9,MATCH(B334,BP!$A$5:$A$9,1)),0))</f>
        <v>20</v>
      </c>
      <c r="D334" s="12" t="str">
        <f aca="false">IF(NOT(ISNUMBER(C334)),"",INDEX(BP!$F$5:$F$9,MATCH(C334,BP!$E$5:$E$9,1)))</f>
        <v>ดีมาก</v>
      </c>
      <c r="E334" s="12" t="n">
        <f aca="false">YEAR(A334)</f>
        <v>2021</v>
      </c>
      <c r="F334" s="12" t="n">
        <f aca="false">MONTH(A334)</f>
        <v>11</v>
      </c>
      <c r="G334" s="12" t="n">
        <v>13.4</v>
      </c>
      <c r="H334" s="12" t="n">
        <v>25.6</v>
      </c>
      <c r="I334" s="12" t="n">
        <v>316</v>
      </c>
      <c r="J334" s="12" t="n">
        <v>22.3</v>
      </c>
      <c r="K334" s="12" t="n">
        <v>1.6</v>
      </c>
      <c r="L334" s="12" t="s">
        <v>36</v>
      </c>
    </row>
    <row r="335" customFormat="false" ht="15" hidden="false" customHeight="false" outlineLevel="0" collapsed="false">
      <c r="A335" s="11" t="n">
        <v>44530</v>
      </c>
      <c r="B335" s="12" t="n">
        <v>11</v>
      </c>
      <c r="C335" s="12" t="n">
        <f aca="false">IF(NOT(ISNUMBER(B335)),"",ROUND((INDEX(BP!$D$5:$D$9,MATCH(B335,BP!$A$5:$A$9,1))-INDEX(BP!$C$5:$C$9,MATCH(B335,BP!$A$5:$A$9,1)))/(INDEX(BP!$B$5:$B$9,MATCH(B335,BP!$A$5:$A$9,1))-INDEX(BP!$A$5:$A$9,MATCH(B335,BP!$A$5:$A$9,1)))*(B335-INDEX(BP!$A$5:$A$9,MATCH(B335,BP!$A$5:$A$9,1)))+INDEX(BP!$C$5:$C$9,MATCH(B335,BP!$A$5:$A$9,1)),0))</f>
        <v>18</v>
      </c>
      <c r="D335" s="12" t="str">
        <f aca="false">IF(NOT(ISNUMBER(C335)),"",INDEX(BP!$F$5:$F$9,MATCH(C335,BP!$E$5:$E$9,1)))</f>
        <v>ดีมาก</v>
      </c>
      <c r="E335" s="12" t="n">
        <f aca="false">YEAR(A335)</f>
        <v>2021</v>
      </c>
      <c r="F335" s="12" t="n">
        <f aca="false">MONTH(A335)</f>
        <v>11</v>
      </c>
      <c r="G335" s="12" t="n">
        <v>10</v>
      </c>
      <c r="H335" s="12" t="n">
        <v>24.1</v>
      </c>
      <c r="I335" s="12" t="n">
        <v>135</v>
      </c>
      <c r="J335" s="12" t="n">
        <v>9</v>
      </c>
      <c r="K335" s="12" t="n">
        <v>0</v>
      </c>
      <c r="L335" s="12" t="s">
        <v>36</v>
      </c>
    </row>
    <row r="336" customFormat="false" ht="15" hidden="false" customHeight="false" outlineLevel="0" collapsed="false">
      <c r="A336" s="11" t="n">
        <v>44531</v>
      </c>
      <c r="B336" s="12" t="n">
        <v>11</v>
      </c>
      <c r="C336" s="12" t="n">
        <f aca="false">IF(NOT(ISNUMBER(B336)),"",ROUND((INDEX(BP!$D$5:$D$9,MATCH(B336,BP!$A$5:$A$9,1))-INDEX(BP!$C$5:$C$9,MATCH(B336,BP!$A$5:$A$9,1)))/(INDEX(BP!$B$5:$B$9,MATCH(B336,BP!$A$5:$A$9,1))-INDEX(BP!$A$5:$A$9,MATCH(B336,BP!$A$5:$A$9,1)))*(B336-INDEX(BP!$A$5:$A$9,MATCH(B336,BP!$A$5:$A$9,1)))+INDEX(BP!$C$5:$C$9,MATCH(B336,BP!$A$5:$A$9,1)),0))</f>
        <v>18</v>
      </c>
      <c r="D336" s="12" t="str">
        <f aca="false">IF(NOT(ISNUMBER(C336)),"",INDEX(BP!$F$5:$F$9,MATCH(C336,BP!$E$5:$E$9,1)))</f>
        <v>ดีมาก</v>
      </c>
      <c r="E336" s="12" t="n">
        <f aca="false">YEAR(A336)</f>
        <v>2021</v>
      </c>
      <c r="F336" s="12" t="n">
        <f aca="false">MONTH(A336)</f>
        <v>12</v>
      </c>
      <c r="G336" s="12" t="n">
        <v>19.1</v>
      </c>
      <c r="H336" s="12" t="n">
        <v>38.2</v>
      </c>
      <c r="I336" s="12" t="n">
        <v>112</v>
      </c>
      <c r="J336" s="12" t="n">
        <v>24</v>
      </c>
      <c r="K336" s="12" t="n">
        <v>40.8</v>
      </c>
      <c r="L336" s="12" t="s">
        <v>36</v>
      </c>
    </row>
    <row r="337" customFormat="false" ht="15" hidden="false" customHeight="false" outlineLevel="0" collapsed="false">
      <c r="A337" s="11" t="n">
        <v>44532</v>
      </c>
      <c r="B337" s="12" t="n">
        <v>11</v>
      </c>
      <c r="C337" s="12" t="n">
        <f aca="false">IF(NOT(ISNUMBER(B337)),"",ROUND((INDEX(BP!$D$5:$D$9,MATCH(B337,BP!$A$5:$A$9,1))-INDEX(BP!$C$5:$C$9,MATCH(B337,BP!$A$5:$A$9,1)))/(INDEX(BP!$B$5:$B$9,MATCH(B337,BP!$A$5:$A$9,1))-INDEX(BP!$A$5:$A$9,MATCH(B337,BP!$A$5:$A$9,1)))*(B337-INDEX(BP!$A$5:$A$9,MATCH(B337,BP!$A$5:$A$9,1)))+INDEX(BP!$C$5:$C$9,MATCH(B337,BP!$A$5:$A$9,1)),0))</f>
        <v>18</v>
      </c>
      <c r="D337" s="12" t="str">
        <f aca="false">IF(NOT(ISNUMBER(C337)),"",INDEX(BP!$F$5:$F$9,MATCH(C337,BP!$E$5:$E$9,1)))</f>
        <v>ดีมาก</v>
      </c>
      <c r="E337" s="12" t="n">
        <f aca="false">YEAR(A337)</f>
        <v>2021</v>
      </c>
      <c r="F337" s="12" t="n">
        <f aca="false">MONTH(A337)</f>
        <v>12</v>
      </c>
      <c r="G337" s="12" t="n">
        <v>22.1</v>
      </c>
      <c r="H337" s="12" t="n">
        <v>42.8</v>
      </c>
      <c r="I337" s="12" t="n">
        <v>108</v>
      </c>
      <c r="J337" s="12" t="n">
        <v>23.2</v>
      </c>
      <c r="K337" s="12" t="n">
        <v>11.2</v>
      </c>
      <c r="L337" s="12" t="s">
        <v>36</v>
      </c>
    </row>
    <row r="338" customFormat="false" ht="15" hidden="false" customHeight="false" outlineLevel="0" collapsed="false">
      <c r="A338" s="11" t="n">
        <v>44533</v>
      </c>
      <c r="B338" s="12" t="n">
        <v>15</v>
      </c>
      <c r="C338" s="12" t="n">
        <f aca="false">IF(NOT(ISNUMBER(B338)),"",ROUND((INDEX(BP!$D$5:$D$9,MATCH(B338,BP!$A$5:$A$9,1))-INDEX(BP!$C$5:$C$9,MATCH(B338,BP!$A$5:$A$9,1)))/(INDEX(BP!$B$5:$B$9,MATCH(B338,BP!$A$5:$A$9,1))-INDEX(BP!$A$5:$A$9,MATCH(B338,BP!$A$5:$A$9,1)))*(B338-INDEX(BP!$A$5:$A$9,MATCH(B338,BP!$A$5:$A$9,1)))+INDEX(BP!$C$5:$C$9,MATCH(B338,BP!$A$5:$A$9,1)),0))</f>
        <v>25</v>
      </c>
      <c r="D338" s="12" t="str">
        <f aca="false">IF(NOT(ISNUMBER(C338)),"",INDEX(BP!$F$5:$F$9,MATCH(C338,BP!$E$5:$E$9,1)))</f>
        <v>ดีมาก</v>
      </c>
      <c r="E338" s="12" t="n">
        <f aca="false">YEAR(A338)</f>
        <v>2021</v>
      </c>
      <c r="F338" s="12" t="n">
        <f aca="false">MONTH(A338)</f>
        <v>12</v>
      </c>
      <c r="G338" s="12" t="n">
        <v>20.8</v>
      </c>
      <c r="H338" s="12" t="n">
        <v>42.1</v>
      </c>
      <c r="I338" s="12" t="n">
        <v>71</v>
      </c>
      <c r="J338" s="12" t="n">
        <v>3.5</v>
      </c>
      <c r="K338" s="12" t="n">
        <v>0</v>
      </c>
      <c r="L338" s="12" t="s">
        <v>36</v>
      </c>
    </row>
    <row r="339" customFormat="false" ht="15" hidden="false" customHeight="false" outlineLevel="0" collapsed="false">
      <c r="A339" s="11" t="n">
        <v>44534</v>
      </c>
      <c r="B339" s="12" t="n">
        <v>17</v>
      </c>
      <c r="C339" s="12" t="n">
        <f aca="false">IF(NOT(ISNUMBER(B339)),"",ROUND((INDEX(BP!$D$5:$D$9,MATCH(B339,BP!$A$5:$A$9,1))-INDEX(BP!$C$5:$C$9,MATCH(B339,BP!$A$5:$A$9,1)))/(INDEX(BP!$B$5:$B$9,MATCH(B339,BP!$A$5:$A$9,1))-INDEX(BP!$A$5:$A$9,MATCH(B339,BP!$A$5:$A$9,1)))*(B339-INDEX(BP!$A$5:$A$9,MATCH(B339,BP!$A$5:$A$9,1)))+INDEX(BP!$C$5:$C$9,MATCH(B339,BP!$A$5:$A$9,1)),0))</f>
        <v>31</v>
      </c>
      <c r="D339" s="12" t="str">
        <f aca="false">IF(NOT(ISNUMBER(C339)),"",INDEX(BP!$F$5:$F$9,MATCH(C339,BP!$E$5:$E$9,1)))</f>
        <v>ดี</v>
      </c>
      <c r="E339" s="12" t="n">
        <f aca="false">YEAR(A339)</f>
        <v>2021</v>
      </c>
      <c r="F339" s="12" t="n">
        <f aca="false">MONTH(A339)</f>
        <v>12</v>
      </c>
      <c r="G339" s="12" t="n">
        <v>18.9</v>
      </c>
      <c r="H339" s="12" t="n">
        <v>38.9</v>
      </c>
      <c r="I339" s="12" t="n">
        <v>50</v>
      </c>
      <c r="J339" s="12" t="n">
        <v>3</v>
      </c>
      <c r="K339" s="12" t="n">
        <v>15.4</v>
      </c>
      <c r="L339" s="12" t="s">
        <v>35</v>
      </c>
    </row>
    <row r="340" customFormat="false" ht="15" hidden="false" customHeight="false" outlineLevel="0" collapsed="false">
      <c r="A340" s="11" t="n">
        <v>44535</v>
      </c>
      <c r="B340" s="12" t="n">
        <v>17</v>
      </c>
      <c r="C340" s="12" t="n">
        <f aca="false">IF(NOT(ISNUMBER(B340)),"",ROUND((INDEX(BP!$D$5:$D$9,MATCH(B340,BP!$A$5:$A$9,1))-INDEX(BP!$C$5:$C$9,MATCH(B340,BP!$A$5:$A$9,1)))/(INDEX(BP!$B$5:$B$9,MATCH(B340,BP!$A$5:$A$9,1))-INDEX(BP!$A$5:$A$9,MATCH(B340,BP!$A$5:$A$9,1)))*(B340-INDEX(BP!$A$5:$A$9,MATCH(B340,BP!$A$5:$A$9,1)))+INDEX(BP!$C$5:$C$9,MATCH(B340,BP!$A$5:$A$9,1)),0))</f>
        <v>31</v>
      </c>
      <c r="D340" s="12" t="str">
        <f aca="false">IF(NOT(ISNUMBER(C340)),"",INDEX(BP!$F$5:$F$9,MATCH(C340,BP!$E$5:$E$9,1)))</f>
        <v>ดี</v>
      </c>
      <c r="E340" s="12" t="n">
        <f aca="false">YEAR(A340)</f>
        <v>2021</v>
      </c>
      <c r="F340" s="12" t="n">
        <f aca="false">MONTH(A340)</f>
        <v>12</v>
      </c>
      <c r="G340" s="12" t="n">
        <v>22.1</v>
      </c>
      <c r="H340" s="12" t="n">
        <v>45</v>
      </c>
      <c r="I340" s="12" t="n">
        <v>46</v>
      </c>
      <c r="J340" s="12" t="n">
        <v>1.7</v>
      </c>
      <c r="K340" s="12" t="n">
        <v>5.2</v>
      </c>
      <c r="L340" s="12" t="s">
        <v>34</v>
      </c>
    </row>
    <row r="341" customFormat="false" ht="15" hidden="false" customHeight="false" outlineLevel="0" collapsed="false">
      <c r="A341" s="11" t="n">
        <v>44536</v>
      </c>
      <c r="B341" s="12" t="n">
        <v>18</v>
      </c>
      <c r="C341" s="12" t="n">
        <f aca="false">IF(NOT(ISNUMBER(B341)),"",ROUND((INDEX(BP!$D$5:$D$9,MATCH(B341,BP!$A$5:$A$9,1))-INDEX(BP!$C$5:$C$9,MATCH(B341,BP!$A$5:$A$9,1)))/(INDEX(BP!$B$5:$B$9,MATCH(B341,BP!$A$5:$A$9,1))-INDEX(BP!$A$5:$A$9,MATCH(B341,BP!$A$5:$A$9,1)))*(B341-INDEX(BP!$A$5:$A$9,MATCH(B341,BP!$A$5:$A$9,1)))+INDEX(BP!$C$5:$C$9,MATCH(B341,BP!$A$5:$A$9,1)),0))</f>
        <v>33</v>
      </c>
      <c r="D341" s="12" t="str">
        <f aca="false">IF(NOT(ISNUMBER(C341)),"",INDEX(BP!$F$5:$F$9,MATCH(C341,BP!$E$5:$E$9,1)))</f>
        <v>ดี</v>
      </c>
      <c r="E341" s="12" t="n">
        <f aca="false">YEAR(A341)</f>
        <v>2021</v>
      </c>
      <c r="F341" s="12" t="n">
        <f aca="false">MONTH(A341)</f>
        <v>12</v>
      </c>
      <c r="G341" s="12" t="n">
        <v>17.1</v>
      </c>
      <c r="H341" s="12" t="n">
        <v>36</v>
      </c>
      <c r="I341" s="12" t="n">
        <v>64</v>
      </c>
      <c r="J341" s="12" t="n">
        <v>0</v>
      </c>
      <c r="K341" s="12" t="n">
        <v>0</v>
      </c>
      <c r="L341" s="12" t="s">
        <v>34</v>
      </c>
    </row>
    <row r="342" customFormat="false" ht="15" hidden="false" customHeight="false" outlineLevel="0" collapsed="false">
      <c r="A342" s="11" t="n">
        <v>44537</v>
      </c>
      <c r="B342" s="12" t="n">
        <v>15</v>
      </c>
      <c r="C342" s="12" t="n">
        <f aca="false">IF(NOT(ISNUMBER(B342)),"",ROUND((INDEX(BP!$D$5:$D$9,MATCH(B342,BP!$A$5:$A$9,1))-INDEX(BP!$C$5:$C$9,MATCH(B342,BP!$A$5:$A$9,1)))/(INDEX(BP!$B$5:$B$9,MATCH(B342,BP!$A$5:$A$9,1))-INDEX(BP!$A$5:$A$9,MATCH(B342,BP!$A$5:$A$9,1)))*(B342-INDEX(BP!$A$5:$A$9,MATCH(B342,BP!$A$5:$A$9,1)))+INDEX(BP!$C$5:$C$9,MATCH(B342,BP!$A$5:$A$9,1)),0))</f>
        <v>25</v>
      </c>
      <c r="D342" s="12" t="str">
        <f aca="false">IF(NOT(ISNUMBER(C342)),"",INDEX(BP!$F$5:$F$9,MATCH(C342,BP!$E$5:$E$9,1)))</f>
        <v>ดีมาก</v>
      </c>
      <c r="E342" s="12" t="n">
        <f aca="false">YEAR(A342)</f>
        <v>2021</v>
      </c>
      <c r="F342" s="12" t="n">
        <f aca="false">MONTH(A342)</f>
        <v>12</v>
      </c>
      <c r="G342" s="12" t="n">
        <v>20.2</v>
      </c>
      <c r="H342" s="12" t="n">
        <v>41.4</v>
      </c>
      <c r="I342" s="12" t="n">
        <v>67</v>
      </c>
      <c r="J342" s="12" t="n">
        <v>1.9</v>
      </c>
      <c r="K342" s="12" t="n">
        <v>0</v>
      </c>
      <c r="L342" s="12" t="s">
        <v>36</v>
      </c>
    </row>
    <row r="343" customFormat="false" ht="15" hidden="false" customHeight="false" outlineLevel="0" collapsed="false">
      <c r="A343" s="11" t="n">
        <v>44538</v>
      </c>
      <c r="B343" s="12" t="n">
        <v>14</v>
      </c>
      <c r="C343" s="12" t="n">
        <f aca="false">IF(NOT(ISNUMBER(B343)),"",ROUND((INDEX(BP!$D$5:$D$9,MATCH(B343,BP!$A$5:$A$9,1))-INDEX(BP!$C$5:$C$9,MATCH(B343,BP!$A$5:$A$9,1)))/(INDEX(BP!$B$5:$B$9,MATCH(B343,BP!$A$5:$A$9,1))-INDEX(BP!$A$5:$A$9,MATCH(B343,BP!$A$5:$A$9,1)))*(B343-INDEX(BP!$A$5:$A$9,MATCH(B343,BP!$A$5:$A$9,1)))+INDEX(BP!$C$5:$C$9,MATCH(B343,BP!$A$5:$A$9,1)),0))</f>
        <v>23</v>
      </c>
      <c r="D343" s="12" t="str">
        <f aca="false">IF(NOT(ISNUMBER(C343)),"",INDEX(BP!$F$5:$F$9,MATCH(C343,BP!$E$5:$E$9,1)))</f>
        <v>ดีมาก</v>
      </c>
      <c r="E343" s="12" t="n">
        <f aca="false">YEAR(A343)</f>
        <v>2021</v>
      </c>
      <c r="F343" s="12" t="n">
        <f aca="false">MONTH(A343)</f>
        <v>12</v>
      </c>
      <c r="G343" s="12" t="n">
        <v>20.7</v>
      </c>
      <c r="H343" s="12" t="n">
        <v>41.8</v>
      </c>
      <c r="I343" s="12" t="n">
        <v>76</v>
      </c>
      <c r="J343" s="12" t="n">
        <v>1.7</v>
      </c>
      <c r="K343" s="12" t="n">
        <v>0</v>
      </c>
      <c r="L343" s="12" t="s">
        <v>36</v>
      </c>
    </row>
    <row r="344" customFormat="false" ht="15" hidden="false" customHeight="false" outlineLevel="0" collapsed="false">
      <c r="A344" s="11" t="n">
        <v>44539</v>
      </c>
      <c r="B344" s="12" t="n">
        <v>20</v>
      </c>
      <c r="C344" s="12" t="n">
        <f aca="false">IF(NOT(ISNUMBER(B344)),"",ROUND((INDEX(BP!$D$5:$D$9,MATCH(B344,BP!$A$5:$A$9,1))-INDEX(BP!$C$5:$C$9,MATCH(B344,BP!$A$5:$A$9,1)))/(INDEX(BP!$B$5:$B$9,MATCH(B344,BP!$A$5:$A$9,1))-INDEX(BP!$A$5:$A$9,MATCH(B344,BP!$A$5:$A$9,1)))*(B344-INDEX(BP!$A$5:$A$9,MATCH(B344,BP!$A$5:$A$9,1)))+INDEX(BP!$C$5:$C$9,MATCH(B344,BP!$A$5:$A$9,1)),0))</f>
        <v>38</v>
      </c>
      <c r="D344" s="12" t="str">
        <f aca="false">IF(NOT(ISNUMBER(C344)),"",INDEX(BP!$F$5:$F$9,MATCH(C344,BP!$E$5:$E$9,1)))</f>
        <v>ดี</v>
      </c>
      <c r="E344" s="12" t="n">
        <f aca="false">YEAR(A344)</f>
        <v>2021</v>
      </c>
      <c r="F344" s="12" t="n">
        <f aca="false">MONTH(A344)</f>
        <v>12</v>
      </c>
      <c r="G344" s="12" t="n">
        <v>18.5</v>
      </c>
      <c r="H344" s="12" t="n">
        <v>38.5</v>
      </c>
      <c r="I344" s="12" t="n">
        <v>59</v>
      </c>
      <c r="J344" s="12" t="n">
        <v>1.3</v>
      </c>
      <c r="K344" s="12" t="n">
        <v>0.8</v>
      </c>
      <c r="L344" s="12" t="s">
        <v>36</v>
      </c>
    </row>
    <row r="345" customFormat="false" ht="15" hidden="false" customHeight="false" outlineLevel="0" collapsed="false">
      <c r="A345" s="11" t="n">
        <v>44540</v>
      </c>
      <c r="B345" s="12" t="n">
        <v>15</v>
      </c>
      <c r="C345" s="12" t="n">
        <f aca="false">IF(NOT(ISNUMBER(B345)),"",ROUND((INDEX(BP!$D$5:$D$9,MATCH(B345,BP!$A$5:$A$9,1))-INDEX(BP!$C$5:$C$9,MATCH(B345,BP!$A$5:$A$9,1)))/(INDEX(BP!$B$5:$B$9,MATCH(B345,BP!$A$5:$A$9,1))-INDEX(BP!$A$5:$A$9,MATCH(B345,BP!$A$5:$A$9,1)))*(B345-INDEX(BP!$A$5:$A$9,MATCH(B345,BP!$A$5:$A$9,1)))+INDEX(BP!$C$5:$C$9,MATCH(B345,BP!$A$5:$A$9,1)),0))</f>
        <v>25</v>
      </c>
      <c r="D345" s="12" t="str">
        <f aca="false">IF(NOT(ISNUMBER(C345)),"",INDEX(BP!$F$5:$F$9,MATCH(C345,BP!$E$5:$E$9,1)))</f>
        <v>ดีมาก</v>
      </c>
      <c r="E345" s="12" t="n">
        <f aca="false">YEAR(A345)</f>
        <v>2021</v>
      </c>
      <c r="F345" s="12" t="n">
        <f aca="false">MONTH(A345)</f>
        <v>12</v>
      </c>
      <c r="G345" s="12" t="n">
        <v>18.9</v>
      </c>
      <c r="H345" s="12" t="n">
        <v>45</v>
      </c>
      <c r="I345" s="12" t="n">
        <v>69</v>
      </c>
      <c r="J345" s="12" t="n">
        <v>4.4</v>
      </c>
      <c r="K345" s="12" t="n">
        <v>1.2</v>
      </c>
      <c r="L345" s="12" t="s">
        <v>34</v>
      </c>
    </row>
    <row r="346" customFormat="false" ht="15" hidden="false" customHeight="false" outlineLevel="0" collapsed="false">
      <c r="A346" s="11" t="n">
        <v>44541</v>
      </c>
      <c r="B346" s="12" t="n">
        <v>15</v>
      </c>
      <c r="C346" s="12" t="n">
        <f aca="false">IF(NOT(ISNUMBER(B346)),"",ROUND((INDEX(BP!$D$5:$D$9,MATCH(B346,BP!$A$5:$A$9,1))-INDEX(BP!$C$5:$C$9,MATCH(B346,BP!$A$5:$A$9,1)))/(INDEX(BP!$B$5:$B$9,MATCH(B346,BP!$A$5:$A$9,1))-INDEX(BP!$A$5:$A$9,MATCH(B346,BP!$A$5:$A$9,1)))*(B346-INDEX(BP!$A$5:$A$9,MATCH(B346,BP!$A$5:$A$9,1)))+INDEX(BP!$C$5:$C$9,MATCH(B346,BP!$A$5:$A$9,1)),0))</f>
        <v>25</v>
      </c>
      <c r="D346" s="12" t="str">
        <f aca="false">IF(NOT(ISNUMBER(C346)),"",INDEX(BP!$F$5:$F$9,MATCH(C346,BP!$E$5:$E$9,1)))</f>
        <v>ดีมาก</v>
      </c>
      <c r="E346" s="12" t="n">
        <f aca="false">YEAR(A346)</f>
        <v>2021</v>
      </c>
      <c r="F346" s="12" t="n">
        <f aca="false">MONTH(A346)</f>
        <v>12</v>
      </c>
      <c r="G346" s="12" t="n">
        <v>20.5</v>
      </c>
      <c r="H346" s="12" t="n">
        <v>41.8</v>
      </c>
      <c r="I346" s="12" t="n">
        <v>76</v>
      </c>
      <c r="J346" s="12" t="n">
        <v>0.8</v>
      </c>
      <c r="K346" s="12" t="n">
        <v>0.2</v>
      </c>
      <c r="L346" s="12" t="s">
        <v>35</v>
      </c>
    </row>
    <row r="347" customFormat="false" ht="15" hidden="false" customHeight="false" outlineLevel="0" collapsed="false">
      <c r="A347" s="11" t="n">
        <v>44542</v>
      </c>
      <c r="B347" s="12" t="n">
        <v>16</v>
      </c>
      <c r="C347" s="12" t="n">
        <f aca="false">IF(NOT(ISNUMBER(B347)),"",ROUND((INDEX(BP!$D$5:$D$9,MATCH(B347,BP!$A$5:$A$9,1))-INDEX(BP!$C$5:$C$9,MATCH(B347,BP!$A$5:$A$9,1)))/(INDEX(BP!$B$5:$B$9,MATCH(B347,BP!$A$5:$A$9,1))-INDEX(BP!$A$5:$A$9,MATCH(B347,BP!$A$5:$A$9,1)))*(B347-INDEX(BP!$A$5:$A$9,MATCH(B347,BP!$A$5:$A$9,1)))+INDEX(BP!$C$5:$C$9,MATCH(B347,BP!$A$5:$A$9,1)),0))</f>
        <v>28</v>
      </c>
      <c r="D347" s="12" t="str">
        <f aca="false">IF(NOT(ISNUMBER(C347)),"",INDEX(BP!$F$5:$F$9,MATCH(C347,BP!$E$5:$E$9,1)))</f>
        <v>ดี</v>
      </c>
      <c r="E347" s="12" t="n">
        <f aca="false">YEAR(A347)</f>
        <v>2021</v>
      </c>
      <c r="F347" s="12" t="n">
        <f aca="false">MONTH(A347)</f>
        <v>12</v>
      </c>
      <c r="G347" s="12" t="n">
        <v>20.3</v>
      </c>
      <c r="H347" s="12" t="n">
        <v>41.4</v>
      </c>
      <c r="I347" s="12" t="n">
        <v>61</v>
      </c>
      <c r="J347" s="12" t="n">
        <v>0.2</v>
      </c>
      <c r="K347" s="12" t="n">
        <v>0</v>
      </c>
      <c r="L347" s="12" t="s">
        <v>35</v>
      </c>
    </row>
    <row r="348" customFormat="false" ht="15" hidden="false" customHeight="false" outlineLevel="0" collapsed="false">
      <c r="A348" s="11" t="n">
        <v>44543</v>
      </c>
      <c r="B348" s="12" t="n">
        <v>15</v>
      </c>
      <c r="C348" s="12" t="n">
        <f aca="false">IF(NOT(ISNUMBER(B348)),"",ROUND((INDEX(BP!$D$5:$D$9,MATCH(B348,BP!$A$5:$A$9,1))-INDEX(BP!$C$5:$C$9,MATCH(B348,BP!$A$5:$A$9,1)))/(INDEX(BP!$B$5:$B$9,MATCH(B348,BP!$A$5:$A$9,1))-INDEX(BP!$A$5:$A$9,MATCH(B348,BP!$A$5:$A$9,1)))*(B348-INDEX(BP!$A$5:$A$9,MATCH(B348,BP!$A$5:$A$9,1)))+INDEX(BP!$C$5:$C$9,MATCH(B348,BP!$A$5:$A$9,1)),0))</f>
        <v>25</v>
      </c>
      <c r="D348" s="12" t="str">
        <f aca="false">IF(NOT(ISNUMBER(C348)),"",INDEX(BP!$F$5:$F$9,MATCH(C348,BP!$E$5:$E$9,1)))</f>
        <v>ดีมาก</v>
      </c>
      <c r="E348" s="12" t="n">
        <f aca="false">YEAR(A348)</f>
        <v>2021</v>
      </c>
      <c r="F348" s="12" t="n">
        <f aca="false">MONTH(A348)</f>
        <v>12</v>
      </c>
      <c r="G348" s="12" t="n">
        <v>16.6</v>
      </c>
      <c r="H348" s="12" t="n">
        <v>33.5</v>
      </c>
      <c r="I348" s="12" t="n">
        <v>55</v>
      </c>
      <c r="J348" s="12" t="n">
        <v>2.1</v>
      </c>
      <c r="K348" s="12" t="n">
        <v>8.2</v>
      </c>
      <c r="L348" s="12" t="s">
        <v>36</v>
      </c>
    </row>
    <row r="349" customFormat="false" ht="15" hidden="false" customHeight="false" outlineLevel="0" collapsed="false">
      <c r="A349" s="11" t="n">
        <v>44544</v>
      </c>
      <c r="B349" s="12" t="n">
        <v>15</v>
      </c>
      <c r="C349" s="12" t="n">
        <f aca="false">IF(NOT(ISNUMBER(B349)),"",ROUND((INDEX(BP!$D$5:$D$9,MATCH(B349,BP!$A$5:$A$9,1))-INDEX(BP!$C$5:$C$9,MATCH(B349,BP!$A$5:$A$9,1)))/(INDEX(BP!$B$5:$B$9,MATCH(B349,BP!$A$5:$A$9,1))-INDEX(BP!$A$5:$A$9,MATCH(B349,BP!$A$5:$A$9,1)))*(B349-INDEX(BP!$A$5:$A$9,MATCH(B349,BP!$A$5:$A$9,1)))+INDEX(BP!$C$5:$C$9,MATCH(B349,BP!$A$5:$A$9,1)),0))</f>
        <v>25</v>
      </c>
      <c r="D349" s="12" t="str">
        <f aca="false">IF(NOT(ISNUMBER(C349)),"",INDEX(BP!$F$5:$F$9,MATCH(C349,BP!$E$5:$E$9,1)))</f>
        <v>ดีมาก</v>
      </c>
      <c r="E349" s="12" t="n">
        <f aca="false">YEAR(A349)</f>
        <v>2021</v>
      </c>
      <c r="F349" s="12" t="n">
        <f aca="false">MONTH(A349)</f>
        <v>12</v>
      </c>
      <c r="G349" s="12" t="n">
        <v>20.9</v>
      </c>
      <c r="H349" s="12" t="n">
        <v>42.5</v>
      </c>
      <c r="I349" s="12" t="n">
        <v>52</v>
      </c>
      <c r="J349" s="12" t="n">
        <v>2.4</v>
      </c>
      <c r="K349" s="12" t="n">
        <v>0.4</v>
      </c>
      <c r="L349" s="12" t="s">
        <v>36</v>
      </c>
    </row>
    <row r="350" customFormat="false" ht="15" hidden="false" customHeight="false" outlineLevel="0" collapsed="false">
      <c r="A350" s="11" t="n">
        <v>44545</v>
      </c>
      <c r="B350" s="12" t="n">
        <v>18</v>
      </c>
      <c r="C350" s="12" t="n">
        <f aca="false">IF(NOT(ISNUMBER(B350)),"",ROUND((INDEX(BP!$D$5:$D$9,MATCH(B350,BP!$A$5:$A$9,1))-INDEX(BP!$C$5:$C$9,MATCH(B350,BP!$A$5:$A$9,1)))/(INDEX(BP!$B$5:$B$9,MATCH(B350,BP!$A$5:$A$9,1))-INDEX(BP!$A$5:$A$9,MATCH(B350,BP!$A$5:$A$9,1)))*(B350-INDEX(BP!$A$5:$A$9,MATCH(B350,BP!$A$5:$A$9,1)))+INDEX(BP!$C$5:$C$9,MATCH(B350,BP!$A$5:$A$9,1)),0))</f>
        <v>33</v>
      </c>
      <c r="D350" s="12" t="str">
        <f aca="false">IF(NOT(ISNUMBER(C350)),"",INDEX(BP!$F$5:$F$9,MATCH(C350,BP!$E$5:$E$9,1)))</f>
        <v>ดี</v>
      </c>
      <c r="E350" s="12" t="n">
        <f aca="false">YEAR(A350)</f>
        <v>2021</v>
      </c>
      <c r="F350" s="12" t="n">
        <f aca="false">MONTH(A350)</f>
        <v>12</v>
      </c>
      <c r="G350" s="12" t="n">
        <v>18.8</v>
      </c>
      <c r="H350" s="12" t="n">
        <v>38.9</v>
      </c>
      <c r="I350" s="12" t="n">
        <v>35</v>
      </c>
      <c r="J350" s="12" t="n">
        <v>1.5</v>
      </c>
      <c r="K350" s="12" t="n">
        <v>0</v>
      </c>
      <c r="L350" s="12" t="s">
        <v>36</v>
      </c>
    </row>
    <row r="351" customFormat="false" ht="15" hidden="false" customHeight="false" outlineLevel="0" collapsed="false">
      <c r="A351" s="11" t="n">
        <v>44546</v>
      </c>
      <c r="B351" s="12" t="n">
        <v>26</v>
      </c>
      <c r="C351" s="12" t="n">
        <f aca="false">IF(NOT(ISNUMBER(B351)),"",ROUND((INDEX(BP!$D$5:$D$9,MATCH(B351,BP!$A$5:$A$9,1))-INDEX(BP!$C$5:$C$9,MATCH(B351,BP!$A$5:$A$9,1)))/(INDEX(BP!$B$5:$B$9,MATCH(B351,BP!$A$5:$A$9,1))-INDEX(BP!$A$5:$A$9,MATCH(B351,BP!$A$5:$A$9,1)))*(B351-INDEX(BP!$A$5:$A$9,MATCH(B351,BP!$A$5:$A$9,1)))+INDEX(BP!$C$5:$C$9,MATCH(B351,BP!$A$5:$A$9,1)),0))</f>
        <v>55</v>
      </c>
      <c r="D351" s="12" t="str">
        <f aca="false">IF(NOT(ISNUMBER(C351)),"",INDEX(BP!$F$5:$F$9,MATCH(C351,BP!$E$5:$E$9,1)))</f>
        <v>ปานกลาง</v>
      </c>
      <c r="E351" s="12" t="n">
        <f aca="false">YEAR(A351)</f>
        <v>2021</v>
      </c>
      <c r="F351" s="12" t="n">
        <f aca="false">MONTH(A351)</f>
        <v>12</v>
      </c>
      <c r="G351" s="12" t="n">
        <v>14.5</v>
      </c>
      <c r="H351" s="12" t="n">
        <v>29.9</v>
      </c>
      <c r="I351" s="12" t="n">
        <v>24</v>
      </c>
      <c r="J351" s="12" t="n">
        <v>3.6</v>
      </c>
      <c r="K351" s="12" t="n">
        <v>10.6</v>
      </c>
      <c r="L351" s="12" t="s">
        <v>36</v>
      </c>
    </row>
    <row r="352" customFormat="false" ht="15" hidden="false" customHeight="false" outlineLevel="0" collapsed="false">
      <c r="A352" s="11" t="n">
        <v>44547</v>
      </c>
      <c r="B352" s="12" t="n">
        <v>19</v>
      </c>
      <c r="C352" s="12" t="n">
        <f aca="false">IF(NOT(ISNUMBER(B352)),"",ROUND((INDEX(BP!$D$5:$D$9,MATCH(B352,BP!$A$5:$A$9,1))-INDEX(BP!$C$5:$C$9,MATCH(B352,BP!$A$5:$A$9,1)))/(INDEX(BP!$B$5:$B$9,MATCH(B352,BP!$A$5:$A$9,1))-INDEX(BP!$A$5:$A$9,MATCH(B352,BP!$A$5:$A$9,1)))*(B352-INDEX(BP!$A$5:$A$9,MATCH(B352,BP!$A$5:$A$9,1)))+INDEX(BP!$C$5:$C$9,MATCH(B352,BP!$A$5:$A$9,1)),0))</f>
        <v>35</v>
      </c>
      <c r="D352" s="12" t="str">
        <f aca="false">IF(NOT(ISNUMBER(C352)),"",INDEX(BP!$F$5:$F$9,MATCH(C352,BP!$E$5:$E$9,1)))</f>
        <v>ดี</v>
      </c>
      <c r="E352" s="12" t="n">
        <f aca="false">YEAR(A352)</f>
        <v>2021</v>
      </c>
      <c r="F352" s="12" t="n">
        <f aca="false">MONTH(A352)</f>
        <v>12</v>
      </c>
      <c r="G352" s="12" t="n">
        <v>18.4</v>
      </c>
      <c r="H352" s="12" t="n">
        <v>41.4</v>
      </c>
      <c r="I352" s="12" t="n">
        <v>40</v>
      </c>
      <c r="J352" s="12" t="n">
        <v>22</v>
      </c>
      <c r="K352" s="12" t="n">
        <v>24.4</v>
      </c>
      <c r="L352" s="12" t="s">
        <v>36</v>
      </c>
    </row>
    <row r="353" customFormat="false" ht="15" hidden="false" customHeight="false" outlineLevel="0" collapsed="false">
      <c r="A353" s="11" t="n">
        <v>44548</v>
      </c>
      <c r="B353" s="12" t="n">
        <v>17</v>
      </c>
      <c r="C353" s="12" t="n">
        <f aca="false">IF(NOT(ISNUMBER(B353)),"",ROUND((INDEX(BP!$D$5:$D$9,MATCH(B353,BP!$A$5:$A$9,1))-INDEX(BP!$C$5:$C$9,MATCH(B353,BP!$A$5:$A$9,1)))/(INDEX(BP!$B$5:$B$9,MATCH(B353,BP!$A$5:$A$9,1))-INDEX(BP!$A$5:$A$9,MATCH(B353,BP!$A$5:$A$9,1)))*(B353-INDEX(BP!$A$5:$A$9,MATCH(B353,BP!$A$5:$A$9,1)))+INDEX(BP!$C$5:$C$9,MATCH(B353,BP!$A$5:$A$9,1)),0))</f>
        <v>31</v>
      </c>
      <c r="D353" s="12" t="str">
        <f aca="false">IF(NOT(ISNUMBER(C353)),"",INDEX(BP!$F$5:$F$9,MATCH(C353,BP!$E$5:$E$9,1)))</f>
        <v>ดี</v>
      </c>
      <c r="E353" s="12" t="n">
        <f aca="false">YEAR(A353)</f>
        <v>2021</v>
      </c>
      <c r="F353" s="12" t="n">
        <f aca="false">MONTH(A353)</f>
        <v>12</v>
      </c>
      <c r="G353" s="12" t="n">
        <v>23.5</v>
      </c>
      <c r="H353" s="12" t="n">
        <v>47.5</v>
      </c>
      <c r="I353" s="12" t="n">
        <v>67</v>
      </c>
      <c r="J353" s="12" t="n">
        <v>6.9</v>
      </c>
      <c r="K353" s="12" t="n">
        <v>1.8</v>
      </c>
      <c r="L353" s="12" t="s">
        <v>35</v>
      </c>
    </row>
    <row r="354" customFormat="false" ht="15" hidden="false" customHeight="false" outlineLevel="0" collapsed="false">
      <c r="A354" s="11" t="n">
        <v>44549</v>
      </c>
      <c r="B354" s="12" t="n">
        <v>18</v>
      </c>
      <c r="C354" s="12" t="n">
        <f aca="false">IF(NOT(ISNUMBER(B354)),"",ROUND((INDEX(BP!$D$5:$D$9,MATCH(B354,BP!$A$5:$A$9,1))-INDEX(BP!$C$5:$C$9,MATCH(B354,BP!$A$5:$A$9,1)))/(INDEX(BP!$B$5:$B$9,MATCH(B354,BP!$A$5:$A$9,1))-INDEX(BP!$A$5:$A$9,MATCH(B354,BP!$A$5:$A$9,1)))*(B354-INDEX(BP!$A$5:$A$9,MATCH(B354,BP!$A$5:$A$9,1)))+INDEX(BP!$C$5:$C$9,MATCH(B354,BP!$A$5:$A$9,1)),0))</f>
        <v>33</v>
      </c>
      <c r="D354" s="12" t="str">
        <f aca="false">IF(NOT(ISNUMBER(C354)),"",INDEX(BP!$F$5:$F$9,MATCH(C354,BP!$E$5:$E$9,1)))</f>
        <v>ดี</v>
      </c>
      <c r="E354" s="12" t="n">
        <f aca="false">YEAR(A354)</f>
        <v>2021</v>
      </c>
      <c r="F354" s="12" t="n">
        <f aca="false">MONTH(A354)</f>
        <v>12</v>
      </c>
      <c r="G354" s="12" t="n">
        <v>12.3</v>
      </c>
      <c r="H354" s="12" t="n">
        <v>27</v>
      </c>
      <c r="I354" s="12" t="n">
        <v>104</v>
      </c>
      <c r="J354" s="12" t="n">
        <v>7.9</v>
      </c>
      <c r="K354" s="12" t="n">
        <v>2.6</v>
      </c>
      <c r="L354" s="12" t="s">
        <v>35</v>
      </c>
    </row>
    <row r="355" customFormat="false" ht="15" hidden="false" customHeight="false" outlineLevel="0" collapsed="false">
      <c r="A355" s="11" t="n">
        <v>44550</v>
      </c>
      <c r="B355" s="12" t="n">
        <v>15</v>
      </c>
      <c r="C355" s="12" t="n">
        <f aca="false">IF(NOT(ISNUMBER(B355)),"",ROUND((INDEX(BP!$D$5:$D$9,MATCH(B355,BP!$A$5:$A$9,1))-INDEX(BP!$C$5:$C$9,MATCH(B355,BP!$A$5:$A$9,1)))/(INDEX(BP!$B$5:$B$9,MATCH(B355,BP!$A$5:$A$9,1))-INDEX(BP!$A$5:$A$9,MATCH(B355,BP!$A$5:$A$9,1)))*(B355-INDEX(BP!$A$5:$A$9,MATCH(B355,BP!$A$5:$A$9,1)))+INDEX(BP!$C$5:$C$9,MATCH(B355,BP!$A$5:$A$9,1)),0))</f>
        <v>25</v>
      </c>
      <c r="D355" s="12" t="str">
        <f aca="false">IF(NOT(ISNUMBER(C355)),"",INDEX(BP!$F$5:$F$9,MATCH(C355,BP!$E$5:$E$9,1)))</f>
        <v>ดีมาก</v>
      </c>
      <c r="E355" s="12" t="n">
        <f aca="false">YEAR(A355)</f>
        <v>2021</v>
      </c>
      <c r="F355" s="12" t="n">
        <f aca="false">MONTH(A355)</f>
        <v>12</v>
      </c>
      <c r="G355" s="12" t="n">
        <v>15.8</v>
      </c>
      <c r="H355" s="12" t="n">
        <v>34.9</v>
      </c>
      <c r="I355" s="12" t="n">
        <v>84</v>
      </c>
      <c r="J355" s="12" t="n">
        <v>2.7</v>
      </c>
      <c r="K355" s="12" t="n">
        <v>1.2</v>
      </c>
      <c r="L355" s="12" t="s">
        <v>36</v>
      </c>
    </row>
    <row r="356" customFormat="false" ht="15" hidden="false" customHeight="false" outlineLevel="0" collapsed="false">
      <c r="A356" s="11" t="n">
        <v>44551</v>
      </c>
      <c r="B356" s="12" t="n">
        <v>18</v>
      </c>
      <c r="C356" s="12" t="n">
        <f aca="false">IF(NOT(ISNUMBER(B356)),"",ROUND((INDEX(BP!$D$5:$D$9,MATCH(B356,BP!$A$5:$A$9,1))-INDEX(BP!$C$5:$C$9,MATCH(B356,BP!$A$5:$A$9,1)))/(INDEX(BP!$B$5:$B$9,MATCH(B356,BP!$A$5:$A$9,1))-INDEX(BP!$A$5:$A$9,MATCH(B356,BP!$A$5:$A$9,1)))*(B356-INDEX(BP!$A$5:$A$9,MATCH(B356,BP!$A$5:$A$9,1)))+INDEX(BP!$C$5:$C$9,MATCH(B356,BP!$A$5:$A$9,1)),0))</f>
        <v>33</v>
      </c>
      <c r="D356" s="12" t="str">
        <f aca="false">IF(NOT(ISNUMBER(C356)),"",INDEX(BP!$F$5:$F$9,MATCH(C356,BP!$E$5:$E$9,1)))</f>
        <v>ดี</v>
      </c>
      <c r="E356" s="12" t="n">
        <f aca="false">YEAR(A356)</f>
        <v>2021</v>
      </c>
      <c r="F356" s="12" t="n">
        <f aca="false">MONTH(A356)</f>
        <v>12</v>
      </c>
      <c r="G356" s="12" t="n">
        <v>12.1</v>
      </c>
      <c r="H356" s="12" t="n">
        <v>25.9</v>
      </c>
      <c r="I356" s="12" t="n">
        <v>65</v>
      </c>
      <c r="J356" s="12" t="n">
        <v>9.5</v>
      </c>
      <c r="K356" s="12" t="n">
        <v>0.8</v>
      </c>
      <c r="L356" s="12" t="s">
        <v>36</v>
      </c>
    </row>
    <row r="357" customFormat="false" ht="15" hidden="false" customHeight="false" outlineLevel="0" collapsed="false">
      <c r="A357" s="11" t="n">
        <v>44552</v>
      </c>
      <c r="B357" s="12" t="n">
        <v>15</v>
      </c>
      <c r="C357" s="12" t="n">
        <f aca="false">IF(NOT(ISNUMBER(B357)),"",ROUND((INDEX(BP!$D$5:$D$9,MATCH(B357,BP!$A$5:$A$9,1))-INDEX(BP!$C$5:$C$9,MATCH(B357,BP!$A$5:$A$9,1)))/(INDEX(BP!$B$5:$B$9,MATCH(B357,BP!$A$5:$A$9,1))-INDEX(BP!$A$5:$A$9,MATCH(B357,BP!$A$5:$A$9,1)))*(B357-INDEX(BP!$A$5:$A$9,MATCH(B357,BP!$A$5:$A$9,1)))+INDEX(BP!$C$5:$C$9,MATCH(B357,BP!$A$5:$A$9,1)),0))</f>
        <v>25</v>
      </c>
      <c r="D357" s="12" t="str">
        <f aca="false">IF(NOT(ISNUMBER(C357)),"",INDEX(BP!$F$5:$F$9,MATCH(C357,BP!$E$5:$E$9,1)))</f>
        <v>ดีมาก</v>
      </c>
      <c r="E357" s="12" t="n">
        <f aca="false">YEAR(A357)</f>
        <v>2021</v>
      </c>
      <c r="F357" s="12" t="n">
        <f aca="false">MONTH(A357)</f>
        <v>12</v>
      </c>
      <c r="G357" s="12" t="n">
        <v>9.4</v>
      </c>
      <c r="H357" s="12" t="n">
        <v>23</v>
      </c>
      <c r="I357" s="12" t="n">
        <v>15</v>
      </c>
      <c r="J357" s="12" t="n">
        <v>3</v>
      </c>
      <c r="K357" s="12" t="n">
        <v>0</v>
      </c>
      <c r="L357" s="12" t="s">
        <v>36</v>
      </c>
    </row>
    <row r="358" customFormat="false" ht="15" hidden="false" customHeight="false" outlineLevel="0" collapsed="false">
      <c r="A358" s="11" t="n">
        <v>44553</v>
      </c>
      <c r="B358" s="12" t="n">
        <v>19</v>
      </c>
      <c r="C358" s="12" t="n">
        <f aca="false">IF(NOT(ISNUMBER(B358)),"",ROUND((INDEX(BP!$D$5:$D$9,MATCH(B358,BP!$A$5:$A$9,1))-INDEX(BP!$C$5:$C$9,MATCH(B358,BP!$A$5:$A$9,1)))/(INDEX(BP!$B$5:$B$9,MATCH(B358,BP!$A$5:$A$9,1))-INDEX(BP!$A$5:$A$9,MATCH(B358,BP!$A$5:$A$9,1)))*(B358-INDEX(BP!$A$5:$A$9,MATCH(B358,BP!$A$5:$A$9,1)))+INDEX(BP!$C$5:$C$9,MATCH(B358,BP!$A$5:$A$9,1)),0))</f>
        <v>35</v>
      </c>
      <c r="D358" s="12" t="str">
        <f aca="false">IF(NOT(ISNUMBER(C358)),"",INDEX(BP!$F$5:$F$9,MATCH(C358,BP!$E$5:$E$9,1)))</f>
        <v>ดี</v>
      </c>
      <c r="E358" s="12" t="n">
        <f aca="false">YEAR(A358)</f>
        <v>2021</v>
      </c>
      <c r="F358" s="12" t="n">
        <f aca="false">MONTH(A358)</f>
        <v>12</v>
      </c>
      <c r="G358" s="12" t="n">
        <v>14.3</v>
      </c>
      <c r="H358" s="12" t="n">
        <v>29.9</v>
      </c>
      <c r="I358" s="12" t="n">
        <v>357</v>
      </c>
      <c r="J358" s="12" t="n">
        <v>2.4</v>
      </c>
      <c r="K358" s="12" t="n">
        <v>0</v>
      </c>
      <c r="L358" s="12" t="s">
        <v>36</v>
      </c>
    </row>
    <row r="359" customFormat="false" ht="15" hidden="false" customHeight="false" outlineLevel="0" collapsed="false">
      <c r="A359" s="11" t="n">
        <v>44554</v>
      </c>
      <c r="B359" s="12" t="n">
        <v>17</v>
      </c>
      <c r="C359" s="12" t="n">
        <f aca="false">IF(NOT(ISNUMBER(B359)),"",ROUND((INDEX(BP!$D$5:$D$9,MATCH(B359,BP!$A$5:$A$9,1))-INDEX(BP!$C$5:$C$9,MATCH(B359,BP!$A$5:$A$9,1)))/(INDEX(BP!$B$5:$B$9,MATCH(B359,BP!$A$5:$A$9,1))-INDEX(BP!$A$5:$A$9,MATCH(B359,BP!$A$5:$A$9,1)))*(B359-INDEX(BP!$A$5:$A$9,MATCH(B359,BP!$A$5:$A$9,1)))+INDEX(BP!$C$5:$C$9,MATCH(B359,BP!$A$5:$A$9,1)),0))</f>
        <v>31</v>
      </c>
      <c r="D359" s="12" t="str">
        <f aca="false">IF(NOT(ISNUMBER(C359)),"",INDEX(BP!$F$5:$F$9,MATCH(C359,BP!$E$5:$E$9,1)))</f>
        <v>ดี</v>
      </c>
      <c r="E359" s="12" t="n">
        <f aca="false">YEAR(A359)</f>
        <v>2021</v>
      </c>
      <c r="F359" s="12" t="n">
        <f aca="false">MONTH(A359)</f>
        <v>12</v>
      </c>
      <c r="G359" s="12" t="n">
        <v>9.9</v>
      </c>
      <c r="H359" s="12" t="n">
        <v>24.1</v>
      </c>
      <c r="I359" s="12" t="n">
        <v>35</v>
      </c>
      <c r="J359" s="12" t="n">
        <v>0.6</v>
      </c>
      <c r="K359" s="12" t="n">
        <v>0</v>
      </c>
      <c r="L359" s="12" t="s">
        <v>36</v>
      </c>
    </row>
    <row r="360" customFormat="false" ht="15" hidden="false" customHeight="false" outlineLevel="0" collapsed="false">
      <c r="A360" s="11" t="n">
        <v>44555</v>
      </c>
      <c r="B360" s="12" t="n">
        <v>14</v>
      </c>
      <c r="C360" s="12" t="n">
        <f aca="false">IF(NOT(ISNUMBER(B360)),"",ROUND((INDEX(BP!$D$5:$D$9,MATCH(B360,BP!$A$5:$A$9,1))-INDEX(BP!$C$5:$C$9,MATCH(B360,BP!$A$5:$A$9,1)))/(INDEX(BP!$B$5:$B$9,MATCH(B360,BP!$A$5:$A$9,1))-INDEX(BP!$A$5:$A$9,MATCH(B360,BP!$A$5:$A$9,1)))*(B360-INDEX(BP!$A$5:$A$9,MATCH(B360,BP!$A$5:$A$9,1)))+INDEX(BP!$C$5:$C$9,MATCH(B360,BP!$A$5:$A$9,1)),0))</f>
        <v>23</v>
      </c>
      <c r="D360" s="12" t="str">
        <f aca="false">IF(NOT(ISNUMBER(C360)),"",INDEX(BP!$F$5:$F$9,MATCH(C360,BP!$E$5:$E$9,1)))</f>
        <v>ดีมาก</v>
      </c>
      <c r="E360" s="12" t="n">
        <f aca="false">YEAR(A360)</f>
        <v>2021</v>
      </c>
      <c r="F360" s="12" t="n">
        <f aca="false">MONTH(A360)</f>
        <v>12</v>
      </c>
      <c r="G360" s="12" t="n">
        <v>16.1</v>
      </c>
      <c r="H360" s="12" t="n">
        <v>33.8</v>
      </c>
      <c r="I360" s="12" t="n">
        <v>90</v>
      </c>
      <c r="J360" s="12" t="n">
        <v>1.9</v>
      </c>
      <c r="K360" s="12" t="n">
        <v>0</v>
      </c>
      <c r="L360" s="12" t="s">
        <v>35</v>
      </c>
    </row>
    <row r="361" customFormat="false" ht="15" hidden="false" customHeight="false" outlineLevel="0" collapsed="false">
      <c r="A361" s="11" t="n">
        <v>44556</v>
      </c>
      <c r="B361" s="12" t="n">
        <v>14</v>
      </c>
      <c r="C361" s="12" t="n">
        <f aca="false">IF(NOT(ISNUMBER(B361)),"",ROUND((INDEX(BP!$D$5:$D$9,MATCH(B361,BP!$A$5:$A$9,1))-INDEX(BP!$C$5:$C$9,MATCH(B361,BP!$A$5:$A$9,1)))/(INDEX(BP!$B$5:$B$9,MATCH(B361,BP!$A$5:$A$9,1))-INDEX(BP!$A$5:$A$9,MATCH(B361,BP!$A$5:$A$9,1)))*(B361-INDEX(BP!$A$5:$A$9,MATCH(B361,BP!$A$5:$A$9,1)))+INDEX(BP!$C$5:$C$9,MATCH(B361,BP!$A$5:$A$9,1)),0))</f>
        <v>23</v>
      </c>
      <c r="D361" s="12" t="str">
        <f aca="false">IF(NOT(ISNUMBER(C361)),"",INDEX(BP!$F$5:$F$9,MATCH(C361,BP!$E$5:$E$9,1)))</f>
        <v>ดีมาก</v>
      </c>
      <c r="E361" s="12" t="n">
        <f aca="false">YEAR(A361)</f>
        <v>2021</v>
      </c>
      <c r="F361" s="12" t="n">
        <f aca="false">MONTH(A361)</f>
        <v>12</v>
      </c>
      <c r="G361" s="12" t="n">
        <v>19.2</v>
      </c>
      <c r="H361" s="12" t="n">
        <v>40</v>
      </c>
      <c r="I361" s="12" t="n">
        <v>87</v>
      </c>
      <c r="J361" s="12" t="n">
        <v>0.6</v>
      </c>
      <c r="K361" s="12" t="n">
        <v>0</v>
      </c>
      <c r="L361" s="12" t="s">
        <v>35</v>
      </c>
    </row>
    <row r="362" customFormat="false" ht="15" hidden="false" customHeight="false" outlineLevel="0" collapsed="false">
      <c r="A362" s="11" t="n">
        <v>44557</v>
      </c>
      <c r="B362" s="12" t="n">
        <v>18</v>
      </c>
      <c r="C362" s="12" t="n">
        <f aca="false">IF(NOT(ISNUMBER(B362)),"",ROUND((INDEX(BP!$D$5:$D$9,MATCH(B362,BP!$A$5:$A$9,1))-INDEX(BP!$C$5:$C$9,MATCH(B362,BP!$A$5:$A$9,1)))/(INDEX(BP!$B$5:$B$9,MATCH(B362,BP!$A$5:$A$9,1))-INDEX(BP!$A$5:$A$9,MATCH(B362,BP!$A$5:$A$9,1)))*(B362-INDEX(BP!$A$5:$A$9,MATCH(B362,BP!$A$5:$A$9,1)))+INDEX(BP!$C$5:$C$9,MATCH(B362,BP!$A$5:$A$9,1)),0))</f>
        <v>33</v>
      </c>
      <c r="D362" s="12" t="str">
        <f aca="false">IF(NOT(ISNUMBER(C362)),"",INDEX(BP!$F$5:$F$9,MATCH(C362,BP!$E$5:$E$9,1)))</f>
        <v>ดี</v>
      </c>
      <c r="E362" s="12" t="n">
        <f aca="false">YEAR(A362)</f>
        <v>2021</v>
      </c>
      <c r="F362" s="12" t="n">
        <f aca="false">MONTH(A362)</f>
        <v>12</v>
      </c>
      <c r="G362" s="12" t="n">
        <v>18.4</v>
      </c>
      <c r="H362" s="12" t="n">
        <v>38.5</v>
      </c>
      <c r="I362" s="12" t="n">
        <v>74</v>
      </c>
      <c r="J362" s="12" t="n">
        <v>1.4</v>
      </c>
      <c r="K362" s="12" t="n">
        <v>0</v>
      </c>
      <c r="L362" s="12" t="s">
        <v>36</v>
      </c>
    </row>
    <row r="363" customFormat="false" ht="15" hidden="false" customHeight="false" outlineLevel="0" collapsed="false">
      <c r="A363" s="11" t="n">
        <v>44558</v>
      </c>
      <c r="B363" s="12" t="n">
        <v>17</v>
      </c>
      <c r="C363" s="12" t="n">
        <f aca="false">IF(NOT(ISNUMBER(B363)),"",ROUND((INDEX(BP!$D$5:$D$9,MATCH(B363,BP!$A$5:$A$9,1))-INDEX(BP!$C$5:$C$9,MATCH(B363,BP!$A$5:$A$9,1)))/(INDEX(BP!$B$5:$B$9,MATCH(B363,BP!$A$5:$A$9,1))-INDEX(BP!$A$5:$A$9,MATCH(B363,BP!$A$5:$A$9,1)))*(B363-INDEX(BP!$A$5:$A$9,MATCH(B363,BP!$A$5:$A$9,1)))+INDEX(BP!$C$5:$C$9,MATCH(B363,BP!$A$5:$A$9,1)),0))</f>
        <v>31</v>
      </c>
      <c r="D363" s="12" t="str">
        <f aca="false">IF(NOT(ISNUMBER(C363)),"",INDEX(BP!$F$5:$F$9,MATCH(C363,BP!$E$5:$E$9,1)))</f>
        <v>ดี</v>
      </c>
      <c r="E363" s="12" t="n">
        <f aca="false">YEAR(A363)</f>
        <v>2021</v>
      </c>
      <c r="F363" s="12" t="n">
        <f aca="false">MONTH(A363)</f>
        <v>12</v>
      </c>
      <c r="G363" s="12" t="n">
        <v>19.6</v>
      </c>
      <c r="H363" s="12" t="n">
        <v>41</v>
      </c>
      <c r="I363" s="12" t="n">
        <v>69</v>
      </c>
      <c r="J363" s="12" t="n">
        <v>0.9</v>
      </c>
      <c r="K363" s="12" t="n">
        <v>0</v>
      </c>
      <c r="L363" s="12" t="s">
        <v>36</v>
      </c>
    </row>
    <row r="364" customFormat="false" ht="15" hidden="false" customHeight="false" outlineLevel="0" collapsed="false">
      <c r="A364" s="11" t="n">
        <v>44559</v>
      </c>
      <c r="B364" s="12" t="n">
        <v>10</v>
      </c>
      <c r="C364" s="12" t="n">
        <f aca="false">IF(NOT(ISNUMBER(B364)),"",ROUND((INDEX(BP!$D$5:$D$9,MATCH(B364,BP!$A$5:$A$9,1))-INDEX(BP!$C$5:$C$9,MATCH(B364,BP!$A$5:$A$9,1)))/(INDEX(BP!$B$5:$B$9,MATCH(B364,BP!$A$5:$A$9,1))-INDEX(BP!$A$5:$A$9,MATCH(B364,BP!$A$5:$A$9,1)))*(B364-INDEX(BP!$A$5:$A$9,MATCH(B364,BP!$A$5:$A$9,1)))+INDEX(BP!$C$5:$C$9,MATCH(B364,BP!$A$5:$A$9,1)),0))</f>
        <v>17</v>
      </c>
      <c r="D364" s="12" t="str">
        <f aca="false">IF(NOT(ISNUMBER(C364)),"",INDEX(BP!$F$5:$F$9,MATCH(C364,BP!$E$5:$E$9,1)))</f>
        <v>ดีมาก</v>
      </c>
      <c r="E364" s="12" t="n">
        <f aca="false">YEAR(A364)</f>
        <v>2021</v>
      </c>
      <c r="F364" s="12" t="n">
        <f aca="false">MONTH(A364)</f>
        <v>12</v>
      </c>
      <c r="G364" s="12" t="n">
        <v>27</v>
      </c>
      <c r="H364" s="12" t="n">
        <v>55.1</v>
      </c>
      <c r="I364" s="12" t="n">
        <v>81</v>
      </c>
      <c r="J364" s="12" t="n">
        <v>4.1</v>
      </c>
      <c r="K364" s="12" t="n">
        <v>25.6</v>
      </c>
      <c r="L364" s="12" t="s">
        <v>36</v>
      </c>
    </row>
    <row r="365" customFormat="false" ht="15" hidden="false" customHeight="false" outlineLevel="0" collapsed="false">
      <c r="A365" s="11" t="n">
        <v>44560</v>
      </c>
      <c r="B365" s="12" t="n">
        <v>13</v>
      </c>
      <c r="C365" s="12" t="n">
        <f aca="false">IF(NOT(ISNUMBER(B365)),"",ROUND((INDEX(BP!$D$5:$D$9,MATCH(B365,BP!$A$5:$A$9,1))-INDEX(BP!$C$5:$C$9,MATCH(B365,BP!$A$5:$A$9,1)))/(INDEX(BP!$B$5:$B$9,MATCH(B365,BP!$A$5:$A$9,1))-INDEX(BP!$A$5:$A$9,MATCH(B365,BP!$A$5:$A$9,1)))*(B365-INDEX(BP!$A$5:$A$9,MATCH(B365,BP!$A$5:$A$9,1)))+INDEX(BP!$C$5:$C$9,MATCH(B365,BP!$A$5:$A$9,1)),0))</f>
        <v>22</v>
      </c>
      <c r="D365" s="12" t="str">
        <f aca="false">IF(NOT(ISNUMBER(C365)),"",INDEX(BP!$F$5:$F$9,MATCH(C365,BP!$E$5:$E$9,1)))</f>
        <v>ดีมาก</v>
      </c>
      <c r="E365" s="12" t="n">
        <f aca="false">YEAR(A365)</f>
        <v>2021</v>
      </c>
      <c r="F365" s="12" t="n">
        <f aca="false">MONTH(A365)</f>
        <v>12</v>
      </c>
      <c r="G365" s="12" t="n">
        <v>31.4</v>
      </c>
      <c r="H365" s="12" t="n">
        <v>57.6</v>
      </c>
      <c r="I365" s="12" t="n">
        <v>80</v>
      </c>
      <c r="J365" s="12" t="n">
        <v>21.3</v>
      </c>
      <c r="K365" s="12" t="n">
        <v>1.4</v>
      </c>
      <c r="L365" s="12" t="s">
        <v>36</v>
      </c>
    </row>
    <row r="366" customFormat="false" ht="15" hidden="false" customHeight="false" outlineLevel="0" collapsed="false">
      <c r="A366" s="11" t="n">
        <v>44561</v>
      </c>
      <c r="B366" s="12" t="n">
        <v>15</v>
      </c>
      <c r="C366" s="12" t="n">
        <f aca="false">IF(NOT(ISNUMBER(B366)),"",ROUND((INDEX(BP!$D$5:$D$9,MATCH(B366,BP!$A$5:$A$9,1))-INDEX(BP!$C$5:$C$9,MATCH(B366,BP!$A$5:$A$9,1)))/(INDEX(BP!$B$5:$B$9,MATCH(B366,BP!$A$5:$A$9,1))-INDEX(BP!$A$5:$A$9,MATCH(B366,BP!$A$5:$A$9,1)))*(B366-INDEX(BP!$A$5:$A$9,MATCH(B366,BP!$A$5:$A$9,1)))+INDEX(BP!$C$5:$C$9,MATCH(B366,BP!$A$5:$A$9,1)),0))</f>
        <v>25</v>
      </c>
      <c r="D366" s="12" t="str">
        <f aca="false">IF(NOT(ISNUMBER(C366)),"",INDEX(BP!$F$5:$F$9,MATCH(C366,BP!$E$5:$E$9,1)))</f>
        <v>ดีมาก</v>
      </c>
      <c r="E366" s="12" t="n">
        <f aca="false">YEAR(A366)</f>
        <v>2021</v>
      </c>
      <c r="F366" s="12" t="n">
        <f aca="false">MONTH(A366)</f>
        <v>12</v>
      </c>
      <c r="G366" s="12" t="n">
        <v>26.7</v>
      </c>
      <c r="H366" s="12" t="n">
        <v>56.5</v>
      </c>
      <c r="I366" s="12" t="n">
        <v>80</v>
      </c>
      <c r="J366" s="12" t="n">
        <v>11.7</v>
      </c>
      <c r="K366" s="12" t="n">
        <v>15.4</v>
      </c>
      <c r="L366" s="12" t="s">
        <v>34</v>
      </c>
    </row>
    <row r="367" customFormat="false" ht="15" hidden="false" customHeight="false" outlineLevel="0" collapsed="false">
      <c r="A367" s="11" t="n">
        <v>44562</v>
      </c>
      <c r="B367" s="12" t="n">
        <v>17</v>
      </c>
      <c r="C367" s="12" t="n">
        <f aca="false">IF(NOT(ISNUMBER(B367)),"",ROUND((INDEX(BP!$D$5:$D$9,MATCH(B367,BP!$A$5:$A$9,1))-INDEX(BP!$C$5:$C$9,MATCH(B367,BP!$A$5:$A$9,1)))/(INDEX(BP!$B$5:$B$9,MATCH(B367,BP!$A$5:$A$9,1))-INDEX(BP!$A$5:$A$9,MATCH(B367,BP!$A$5:$A$9,1)))*(B367-INDEX(BP!$A$5:$A$9,MATCH(B367,BP!$A$5:$A$9,1)))+INDEX(BP!$C$5:$C$9,MATCH(B367,BP!$A$5:$A$9,1)),0))</f>
        <v>31</v>
      </c>
      <c r="D367" s="12" t="str">
        <f aca="false">IF(NOT(ISNUMBER(C367)),"",INDEX(BP!$F$5:$F$9,MATCH(C367,BP!$E$5:$E$9,1)))</f>
        <v>ดี</v>
      </c>
      <c r="E367" s="12" t="n">
        <f aca="false">YEAR(A367)</f>
        <v>2022</v>
      </c>
      <c r="F367" s="12" t="n">
        <f aca="false">MONTH(A367)</f>
        <v>1</v>
      </c>
      <c r="G367" s="12" t="n">
        <v>25.1</v>
      </c>
      <c r="H367" s="12" t="n">
        <v>49</v>
      </c>
      <c r="I367" s="12" t="n">
        <v>73</v>
      </c>
      <c r="J367" s="12" t="n">
        <v>5.7</v>
      </c>
      <c r="K367" s="12" t="n">
        <v>42.6</v>
      </c>
      <c r="L367" s="12" t="s">
        <v>34</v>
      </c>
    </row>
    <row r="368" customFormat="false" ht="15" hidden="false" customHeight="false" outlineLevel="0" collapsed="false">
      <c r="A368" s="11" t="n">
        <v>44563</v>
      </c>
      <c r="B368" s="12" t="n">
        <v>16</v>
      </c>
      <c r="C368" s="12" t="n">
        <f aca="false">IF(NOT(ISNUMBER(B368)),"",ROUND((INDEX(BP!$D$5:$D$9,MATCH(B368,BP!$A$5:$A$9,1))-INDEX(BP!$C$5:$C$9,MATCH(B368,BP!$A$5:$A$9,1)))/(INDEX(BP!$B$5:$B$9,MATCH(B368,BP!$A$5:$A$9,1))-INDEX(BP!$A$5:$A$9,MATCH(B368,BP!$A$5:$A$9,1)))*(B368-INDEX(BP!$A$5:$A$9,MATCH(B368,BP!$A$5:$A$9,1)))+INDEX(BP!$C$5:$C$9,MATCH(B368,BP!$A$5:$A$9,1)),0))</f>
        <v>28</v>
      </c>
      <c r="D368" s="12" t="str">
        <f aca="false">IF(NOT(ISNUMBER(C368)),"",INDEX(BP!$F$5:$F$9,MATCH(C368,BP!$E$5:$E$9,1)))</f>
        <v>ดี</v>
      </c>
      <c r="E368" s="12" t="n">
        <f aca="false">YEAR(A368)</f>
        <v>2022</v>
      </c>
      <c r="F368" s="12" t="n">
        <f aca="false">MONTH(A368)</f>
        <v>1</v>
      </c>
      <c r="G368" s="12" t="n">
        <v>24.5</v>
      </c>
      <c r="H368" s="12" t="n">
        <v>46.8</v>
      </c>
      <c r="I368" s="12" t="n">
        <v>72</v>
      </c>
      <c r="J368" s="12" t="n">
        <v>11.7</v>
      </c>
      <c r="K368" s="12" t="n">
        <v>39.8</v>
      </c>
      <c r="L368" s="12" t="s">
        <v>35</v>
      </c>
    </row>
    <row r="369" customFormat="false" ht="15" hidden="false" customHeight="false" outlineLevel="0" collapsed="false">
      <c r="A369" s="11" t="n">
        <v>44564</v>
      </c>
      <c r="B369" s="12" t="n">
        <v>14</v>
      </c>
      <c r="C369" s="12" t="n">
        <f aca="false">IF(NOT(ISNUMBER(B369)),"",ROUND((INDEX(BP!$D$5:$D$9,MATCH(B369,BP!$A$5:$A$9,1))-INDEX(BP!$C$5:$C$9,MATCH(B369,BP!$A$5:$A$9,1)))/(INDEX(BP!$B$5:$B$9,MATCH(B369,BP!$A$5:$A$9,1))-INDEX(BP!$A$5:$A$9,MATCH(B369,BP!$A$5:$A$9,1)))*(B369-INDEX(BP!$A$5:$A$9,MATCH(B369,BP!$A$5:$A$9,1)))+INDEX(BP!$C$5:$C$9,MATCH(B369,BP!$A$5:$A$9,1)),0))</f>
        <v>23</v>
      </c>
      <c r="D369" s="12" t="str">
        <f aca="false">IF(NOT(ISNUMBER(C369)),"",INDEX(BP!$F$5:$F$9,MATCH(C369,BP!$E$5:$E$9,1)))</f>
        <v>ดีมาก</v>
      </c>
      <c r="E369" s="12" t="n">
        <f aca="false">YEAR(A369)</f>
        <v>2022</v>
      </c>
      <c r="F369" s="12" t="n">
        <f aca="false">MONTH(A369)</f>
        <v>1</v>
      </c>
      <c r="G369" s="12" t="n">
        <v>24.1</v>
      </c>
      <c r="H369" s="12" t="n">
        <v>50.4</v>
      </c>
      <c r="I369" s="12" t="n">
        <v>80</v>
      </c>
      <c r="J369" s="12" t="n">
        <v>1.5</v>
      </c>
      <c r="K369" s="12" t="n">
        <v>3.6</v>
      </c>
      <c r="L369" s="12" t="s">
        <v>34</v>
      </c>
    </row>
    <row r="370" customFormat="false" ht="15" hidden="false" customHeight="false" outlineLevel="0" collapsed="false">
      <c r="A370" s="11" t="n">
        <v>44565</v>
      </c>
      <c r="B370" s="12" t="n">
        <v>15</v>
      </c>
      <c r="C370" s="12" t="n">
        <f aca="false">IF(NOT(ISNUMBER(B370)),"",ROUND((INDEX(BP!$D$5:$D$9,MATCH(B370,BP!$A$5:$A$9,1))-INDEX(BP!$C$5:$C$9,MATCH(B370,BP!$A$5:$A$9,1)))/(INDEX(BP!$B$5:$B$9,MATCH(B370,BP!$A$5:$A$9,1))-INDEX(BP!$A$5:$A$9,MATCH(B370,BP!$A$5:$A$9,1)))*(B370-INDEX(BP!$A$5:$A$9,MATCH(B370,BP!$A$5:$A$9,1)))+INDEX(BP!$C$5:$C$9,MATCH(B370,BP!$A$5:$A$9,1)),0))</f>
        <v>25</v>
      </c>
      <c r="D370" s="12" t="str">
        <f aca="false">IF(NOT(ISNUMBER(C370)),"",INDEX(BP!$F$5:$F$9,MATCH(C370,BP!$E$5:$E$9,1)))</f>
        <v>ดีมาก</v>
      </c>
      <c r="E370" s="12" t="n">
        <f aca="false">YEAR(A370)</f>
        <v>2022</v>
      </c>
      <c r="F370" s="12" t="n">
        <f aca="false">MONTH(A370)</f>
        <v>1</v>
      </c>
      <c r="G370" s="12" t="n">
        <v>24.5</v>
      </c>
      <c r="H370" s="12" t="n">
        <v>48.6</v>
      </c>
      <c r="I370" s="12" t="n">
        <v>75</v>
      </c>
      <c r="J370" s="12" t="n">
        <v>3.5</v>
      </c>
      <c r="K370" s="12" t="n">
        <v>0.4</v>
      </c>
      <c r="L370" s="12" t="s">
        <v>36</v>
      </c>
    </row>
    <row r="371" customFormat="false" ht="15" hidden="false" customHeight="false" outlineLevel="0" collapsed="false">
      <c r="A371" s="11" t="n">
        <v>44566</v>
      </c>
      <c r="B371" s="12" t="n">
        <v>13</v>
      </c>
      <c r="C371" s="12" t="n">
        <f aca="false">IF(NOT(ISNUMBER(B371)),"",ROUND((INDEX(BP!$D$5:$D$9,MATCH(B371,BP!$A$5:$A$9,1))-INDEX(BP!$C$5:$C$9,MATCH(B371,BP!$A$5:$A$9,1)))/(INDEX(BP!$B$5:$B$9,MATCH(B371,BP!$A$5:$A$9,1))-INDEX(BP!$A$5:$A$9,MATCH(B371,BP!$A$5:$A$9,1)))*(B371-INDEX(BP!$A$5:$A$9,MATCH(B371,BP!$A$5:$A$9,1)))+INDEX(BP!$C$5:$C$9,MATCH(B371,BP!$A$5:$A$9,1)),0))</f>
        <v>22</v>
      </c>
      <c r="D371" s="12" t="str">
        <f aca="false">IF(NOT(ISNUMBER(C371)),"",INDEX(BP!$F$5:$F$9,MATCH(C371,BP!$E$5:$E$9,1)))</f>
        <v>ดีมาก</v>
      </c>
      <c r="E371" s="12" t="n">
        <f aca="false">YEAR(A371)</f>
        <v>2022</v>
      </c>
      <c r="F371" s="12" t="n">
        <f aca="false">MONTH(A371)</f>
        <v>1</v>
      </c>
      <c r="G371" s="12" t="n">
        <v>14.8</v>
      </c>
      <c r="H371" s="12" t="n">
        <v>30.6</v>
      </c>
      <c r="I371" s="12" t="n">
        <v>73</v>
      </c>
      <c r="J371" s="12" t="n">
        <v>3.1</v>
      </c>
      <c r="K371" s="12" t="n">
        <v>0.2</v>
      </c>
      <c r="L371" s="12" t="s">
        <v>36</v>
      </c>
    </row>
    <row r="372" customFormat="false" ht="15" hidden="false" customHeight="false" outlineLevel="0" collapsed="false">
      <c r="A372" s="11" t="n">
        <v>44567</v>
      </c>
      <c r="B372" s="12" t="n">
        <v>16</v>
      </c>
      <c r="C372" s="12" t="n">
        <f aca="false">IF(NOT(ISNUMBER(B372)),"",ROUND((INDEX(BP!$D$5:$D$9,MATCH(B372,BP!$A$5:$A$9,1))-INDEX(BP!$C$5:$C$9,MATCH(B372,BP!$A$5:$A$9,1)))/(INDEX(BP!$B$5:$B$9,MATCH(B372,BP!$A$5:$A$9,1))-INDEX(BP!$A$5:$A$9,MATCH(B372,BP!$A$5:$A$9,1)))*(B372-INDEX(BP!$A$5:$A$9,MATCH(B372,BP!$A$5:$A$9,1)))+INDEX(BP!$C$5:$C$9,MATCH(B372,BP!$A$5:$A$9,1)),0))</f>
        <v>28</v>
      </c>
      <c r="D372" s="12" t="str">
        <f aca="false">IF(NOT(ISNUMBER(C372)),"",INDEX(BP!$F$5:$F$9,MATCH(C372,BP!$E$5:$E$9,1)))</f>
        <v>ดี</v>
      </c>
      <c r="E372" s="12" t="n">
        <f aca="false">YEAR(A372)</f>
        <v>2022</v>
      </c>
      <c r="F372" s="12" t="n">
        <f aca="false">MONTH(A372)</f>
        <v>1</v>
      </c>
      <c r="G372" s="12" t="n">
        <v>15.5</v>
      </c>
      <c r="H372" s="12" t="n">
        <v>32.4</v>
      </c>
      <c r="I372" s="12" t="n">
        <v>72</v>
      </c>
      <c r="J372" s="12" t="n">
        <v>0.8</v>
      </c>
      <c r="K372" s="12" t="n">
        <v>0</v>
      </c>
      <c r="L372" s="12" t="s">
        <v>36</v>
      </c>
    </row>
    <row r="373" customFormat="false" ht="15" hidden="false" customHeight="false" outlineLevel="0" collapsed="false">
      <c r="A373" s="11" t="n">
        <v>44568</v>
      </c>
      <c r="B373" s="12" t="n">
        <v>12</v>
      </c>
      <c r="C373" s="12" t="n">
        <f aca="false">IF(NOT(ISNUMBER(B373)),"",ROUND((INDEX(BP!$D$5:$D$9,MATCH(B373,BP!$A$5:$A$9,1))-INDEX(BP!$C$5:$C$9,MATCH(B373,BP!$A$5:$A$9,1)))/(INDEX(BP!$B$5:$B$9,MATCH(B373,BP!$A$5:$A$9,1))-INDEX(BP!$A$5:$A$9,MATCH(B373,BP!$A$5:$A$9,1)))*(B373-INDEX(BP!$A$5:$A$9,MATCH(B373,BP!$A$5:$A$9,1)))+INDEX(BP!$C$5:$C$9,MATCH(B373,BP!$A$5:$A$9,1)),0))</f>
        <v>20</v>
      </c>
      <c r="D373" s="12" t="str">
        <f aca="false">IF(NOT(ISNUMBER(C373)),"",INDEX(BP!$F$5:$F$9,MATCH(C373,BP!$E$5:$E$9,1)))</f>
        <v>ดีมาก</v>
      </c>
      <c r="E373" s="12" t="n">
        <f aca="false">YEAR(A373)</f>
        <v>2022</v>
      </c>
      <c r="F373" s="12" t="n">
        <f aca="false">MONTH(A373)</f>
        <v>1</v>
      </c>
      <c r="G373" s="12" t="n">
        <v>22.7</v>
      </c>
      <c r="H373" s="12" t="n">
        <v>46.1</v>
      </c>
      <c r="I373" s="12" t="n">
        <v>92</v>
      </c>
      <c r="J373" s="12" t="n">
        <v>0.8</v>
      </c>
      <c r="K373" s="12" t="n">
        <v>0</v>
      </c>
      <c r="L373" s="12" t="s">
        <v>36</v>
      </c>
    </row>
    <row r="374" customFormat="false" ht="15" hidden="false" customHeight="false" outlineLevel="0" collapsed="false">
      <c r="A374" s="11" t="n">
        <v>44569</v>
      </c>
      <c r="B374" s="12" t="n">
        <v>13</v>
      </c>
      <c r="C374" s="12" t="n">
        <f aca="false">IF(NOT(ISNUMBER(B374)),"",ROUND((INDEX(BP!$D$5:$D$9,MATCH(B374,BP!$A$5:$A$9,1))-INDEX(BP!$C$5:$C$9,MATCH(B374,BP!$A$5:$A$9,1)))/(INDEX(BP!$B$5:$B$9,MATCH(B374,BP!$A$5:$A$9,1))-INDEX(BP!$A$5:$A$9,MATCH(B374,BP!$A$5:$A$9,1)))*(B374-INDEX(BP!$A$5:$A$9,MATCH(B374,BP!$A$5:$A$9,1)))+INDEX(BP!$C$5:$C$9,MATCH(B374,BP!$A$5:$A$9,1)),0))</f>
        <v>22</v>
      </c>
      <c r="D374" s="12" t="str">
        <f aca="false">IF(NOT(ISNUMBER(C374)),"",INDEX(BP!$F$5:$F$9,MATCH(C374,BP!$E$5:$E$9,1)))</f>
        <v>ดีมาก</v>
      </c>
      <c r="E374" s="12" t="n">
        <f aca="false">YEAR(A374)</f>
        <v>2022</v>
      </c>
      <c r="F374" s="12" t="n">
        <f aca="false">MONTH(A374)</f>
        <v>1</v>
      </c>
      <c r="G374" s="12" t="n">
        <v>23.9</v>
      </c>
      <c r="H374" s="12" t="n">
        <v>47.9</v>
      </c>
      <c r="I374" s="12" t="n">
        <v>83</v>
      </c>
      <c r="J374" s="12" t="n">
        <v>1.8</v>
      </c>
      <c r="K374" s="12" t="n">
        <v>0</v>
      </c>
      <c r="L374" s="12" t="s">
        <v>35</v>
      </c>
    </row>
    <row r="375" customFormat="false" ht="15" hidden="false" customHeight="false" outlineLevel="0" collapsed="false">
      <c r="A375" s="11" t="n">
        <v>44570</v>
      </c>
      <c r="B375" s="12" t="n">
        <v>17</v>
      </c>
      <c r="C375" s="12" t="n">
        <f aca="false">IF(NOT(ISNUMBER(B375)),"",ROUND((INDEX(BP!$D$5:$D$9,MATCH(B375,BP!$A$5:$A$9,1))-INDEX(BP!$C$5:$C$9,MATCH(B375,BP!$A$5:$A$9,1)))/(INDEX(BP!$B$5:$B$9,MATCH(B375,BP!$A$5:$A$9,1))-INDEX(BP!$A$5:$A$9,MATCH(B375,BP!$A$5:$A$9,1)))*(B375-INDEX(BP!$A$5:$A$9,MATCH(B375,BP!$A$5:$A$9,1)))+INDEX(BP!$C$5:$C$9,MATCH(B375,BP!$A$5:$A$9,1)),0))</f>
        <v>31</v>
      </c>
      <c r="D375" s="12" t="str">
        <f aca="false">IF(NOT(ISNUMBER(C375)),"",INDEX(BP!$F$5:$F$9,MATCH(C375,BP!$E$5:$E$9,1)))</f>
        <v>ดี</v>
      </c>
      <c r="E375" s="12" t="n">
        <f aca="false">YEAR(A375)</f>
        <v>2022</v>
      </c>
      <c r="F375" s="12" t="n">
        <f aca="false">MONTH(A375)</f>
        <v>1</v>
      </c>
      <c r="G375" s="12" t="n">
        <v>18.2</v>
      </c>
      <c r="H375" s="12" t="n">
        <v>38.9</v>
      </c>
      <c r="I375" s="12" t="n">
        <v>80</v>
      </c>
      <c r="J375" s="12" t="n">
        <v>0</v>
      </c>
      <c r="K375" s="12" t="n">
        <v>0</v>
      </c>
      <c r="L375" s="12" t="s">
        <v>35</v>
      </c>
    </row>
    <row r="376" customFormat="false" ht="15" hidden="false" customHeight="false" outlineLevel="0" collapsed="false">
      <c r="A376" s="11" t="n">
        <v>44571</v>
      </c>
      <c r="B376" s="12" t="n">
        <v>21</v>
      </c>
      <c r="C376" s="12" t="n">
        <f aca="false">IF(NOT(ISNUMBER(B376)),"",ROUND((INDEX(BP!$D$5:$D$9,MATCH(B376,BP!$A$5:$A$9,1))-INDEX(BP!$C$5:$C$9,MATCH(B376,BP!$A$5:$A$9,1)))/(INDEX(BP!$B$5:$B$9,MATCH(B376,BP!$A$5:$A$9,1))-INDEX(BP!$A$5:$A$9,MATCH(B376,BP!$A$5:$A$9,1)))*(B376-INDEX(BP!$A$5:$A$9,MATCH(B376,BP!$A$5:$A$9,1)))+INDEX(BP!$C$5:$C$9,MATCH(B376,BP!$A$5:$A$9,1)),0))</f>
        <v>40</v>
      </c>
      <c r="D376" s="12" t="str">
        <f aca="false">IF(NOT(ISNUMBER(C376)),"",INDEX(BP!$F$5:$F$9,MATCH(C376,BP!$E$5:$E$9,1)))</f>
        <v>ดี</v>
      </c>
      <c r="E376" s="12" t="n">
        <f aca="false">YEAR(A376)</f>
        <v>2022</v>
      </c>
      <c r="F376" s="12" t="n">
        <f aca="false">MONTH(A376)</f>
        <v>1</v>
      </c>
      <c r="G376" s="12" t="n">
        <v>15.8</v>
      </c>
      <c r="H376" s="12" t="n">
        <v>32.8</v>
      </c>
      <c r="I376" s="12" t="n">
        <v>74</v>
      </c>
      <c r="J376" s="12" t="n">
        <v>0.3</v>
      </c>
      <c r="K376" s="12" t="n">
        <v>0</v>
      </c>
      <c r="L376" s="12" t="s">
        <v>36</v>
      </c>
    </row>
    <row r="377" customFormat="false" ht="15" hidden="false" customHeight="false" outlineLevel="0" collapsed="false">
      <c r="A377" s="11" t="n">
        <v>44572</v>
      </c>
      <c r="B377" s="12" t="n">
        <v>19</v>
      </c>
      <c r="C377" s="12" t="n">
        <f aca="false">IF(NOT(ISNUMBER(B377)),"",ROUND((INDEX(BP!$D$5:$D$9,MATCH(B377,BP!$A$5:$A$9,1))-INDEX(BP!$C$5:$C$9,MATCH(B377,BP!$A$5:$A$9,1)))/(INDEX(BP!$B$5:$B$9,MATCH(B377,BP!$A$5:$A$9,1))-INDEX(BP!$A$5:$A$9,MATCH(B377,BP!$A$5:$A$9,1)))*(B377-INDEX(BP!$A$5:$A$9,MATCH(B377,BP!$A$5:$A$9,1)))+INDEX(BP!$C$5:$C$9,MATCH(B377,BP!$A$5:$A$9,1)),0))</f>
        <v>35</v>
      </c>
      <c r="D377" s="12" t="str">
        <f aca="false">IF(NOT(ISNUMBER(C377)),"",INDEX(BP!$F$5:$F$9,MATCH(C377,BP!$E$5:$E$9,1)))</f>
        <v>ดี</v>
      </c>
      <c r="E377" s="12" t="n">
        <f aca="false">YEAR(A377)</f>
        <v>2022</v>
      </c>
      <c r="F377" s="12" t="n">
        <f aca="false">MONTH(A377)</f>
        <v>1</v>
      </c>
      <c r="G377" s="12" t="n">
        <v>21</v>
      </c>
      <c r="H377" s="12" t="n">
        <v>43.6</v>
      </c>
      <c r="I377" s="12" t="n">
        <v>90</v>
      </c>
      <c r="J377" s="12" t="n">
        <v>0.3</v>
      </c>
      <c r="K377" s="12" t="n">
        <v>0</v>
      </c>
      <c r="L377" s="12" t="s">
        <v>36</v>
      </c>
    </row>
    <row r="378" customFormat="false" ht="15" hidden="false" customHeight="false" outlineLevel="0" collapsed="false">
      <c r="A378" s="11" t="n">
        <v>44573</v>
      </c>
      <c r="B378" s="12" t="n">
        <v>13</v>
      </c>
      <c r="C378" s="12" t="n">
        <f aca="false">IF(NOT(ISNUMBER(B378)),"",ROUND((INDEX(BP!$D$5:$D$9,MATCH(B378,BP!$A$5:$A$9,1))-INDEX(BP!$C$5:$C$9,MATCH(B378,BP!$A$5:$A$9,1)))/(INDEX(BP!$B$5:$B$9,MATCH(B378,BP!$A$5:$A$9,1))-INDEX(BP!$A$5:$A$9,MATCH(B378,BP!$A$5:$A$9,1)))*(B378-INDEX(BP!$A$5:$A$9,MATCH(B378,BP!$A$5:$A$9,1)))+INDEX(BP!$C$5:$C$9,MATCH(B378,BP!$A$5:$A$9,1)),0))</f>
        <v>22</v>
      </c>
      <c r="D378" s="12" t="str">
        <f aca="false">IF(NOT(ISNUMBER(C378)),"",INDEX(BP!$F$5:$F$9,MATCH(C378,BP!$E$5:$E$9,1)))</f>
        <v>ดีมาก</v>
      </c>
      <c r="E378" s="12" t="n">
        <f aca="false">YEAR(A378)</f>
        <v>2022</v>
      </c>
      <c r="F378" s="12" t="n">
        <f aca="false">MONTH(A378)</f>
        <v>1</v>
      </c>
      <c r="G378" s="12" t="n">
        <v>26.7</v>
      </c>
      <c r="H378" s="12" t="n">
        <v>53.6</v>
      </c>
      <c r="I378" s="12" t="n">
        <v>100</v>
      </c>
      <c r="J378" s="12" t="n">
        <v>0</v>
      </c>
      <c r="K378" s="12" t="n">
        <v>0</v>
      </c>
      <c r="L378" s="12" t="s">
        <v>36</v>
      </c>
    </row>
    <row r="379" customFormat="false" ht="15" hidden="false" customHeight="false" outlineLevel="0" collapsed="false">
      <c r="A379" s="11" t="n">
        <v>44574</v>
      </c>
      <c r="B379" s="12" t="n">
        <v>14</v>
      </c>
      <c r="C379" s="12" t="n">
        <f aca="false">IF(NOT(ISNUMBER(B379)),"",ROUND((INDEX(BP!$D$5:$D$9,MATCH(B379,BP!$A$5:$A$9,1))-INDEX(BP!$C$5:$C$9,MATCH(B379,BP!$A$5:$A$9,1)))/(INDEX(BP!$B$5:$B$9,MATCH(B379,BP!$A$5:$A$9,1))-INDEX(BP!$A$5:$A$9,MATCH(B379,BP!$A$5:$A$9,1)))*(B379-INDEX(BP!$A$5:$A$9,MATCH(B379,BP!$A$5:$A$9,1)))+INDEX(BP!$C$5:$C$9,MATCH(B379,BP!$A$5:$A$9,1)),0))</f>
        <v>23</v>
      </c>
      <c r="D379" s="12" t="str">
        <f aca="false">IF(NOT(ISNUMBER(C379)),"",INDEX(BP!$F$5:$F$9,MATCH(C379,BP!$E$5:$E$9,1)))</f>
        <v>ดีมาก</v>
      </c>
      <c r="E379" s="12" t="n">
        <f aca="false">YEAR(A379)</f>
        <v>2022</v>
      </c>
      <c r="F379" s="12" t="n">
        <f aca="false">MONTH(A379)</f>
        <v>1</v>
      </c>
      <c r="G379" s="12" t="n">
        <v>22.9</v>
      </c>
      <c r="H379" s="12" t="n">
        <v>47.2</v>
      </c>
      <c r="I379" s="12" t="n">
        <v>98</v>
      </c>
      <c r="J379" s="12" t="n">
        <v>0</v>
      </c>
      <c r="K379" s="12" t="n">
        <v>0</v>
      </c>
      <c r="L379" s="12" t="s">
        <v>36</v>
      </c>
    </row>
    <row r="380" customFormat="false" ht="15" hidden="false" customHeight="false" outlineLevel="0" collapsed="false">
      <c r="A380" s="11" t="n">
        <v>44575</v>
      </c>
      <c r="B380" s="12" t="n">
        <v>16</v>
      </c>
      <c r="C380" s="12" t="n">
        <f aca="false">IF(NOT(ISNUMBER(B380)),"",ROUND((INDEX(BP!$D$5:$D$9,MATCH(B380,BP!$A$5:$A$9,1))-INDEX(BP!$C$5:$C$9,MATCH(B380,BP!$A$5:$A$9,1)))/(INDEX(BP!$B$5:$B$9,MATCH(B380,BP!$A$5:$A$9,1))-INDEX(BP!$A$5:$A$9,MATCH(B380,BP!$A$5:$A$9,1)))*(B380-INDEX(BP!$A$5:$A$9,MATCH(B380,BP!$A$5:$A$9,1)))+INDEX(BP!$C$5:$C$9,MATCH(B380,BP!$A$5:$A$9,1)),0))</f>
        <v>28</v>
      </c>
      <c r="D380" s="12" t="str">
        <f aca="false">IF(NOT(ISNUMBER(C380)),"",INDEX(BP!$F$5:$F$9,MATCH(C380,BP!$E$5:$E$9,1)))</f>
        <v>ดี</v>
      </c>
      <c r="E380" s="12" t="n">
        <f aca="false">YEAR(A380)</f>
        <v>2022</v>
      </c>
      <c r="F380" s="12" t="n">
        <f aca="false">MONTH(A380)</f>
        <v>1</v>
      </c>
      <c r="G380" s="12" t="n">
        <v>23.4</v>
      </c>
      <c r="H380" s="12" t="n">
        <v>47.5</v>
      </c>
      <c r="I380" s="12" t="n">
        <v>98</v>
      </c>
      <c r="J380" s="12" t="n">
        <v>0.1</v>
      </c>
      <c r="K380" s="12" t="n">
        <v>0</v>
      </c>
      <c r="L380" s="12" t="s">
        <v>36</v>
      </c>
    </row>
    <row r="381" customFormat="false" ht="15" hidden="false" customHeight="false" outlineLevel="0" collapsed="false">
      <c r="A381" s="11" t="n">
        <v>44576</v>
      </c>
      <c r="B381" s="12" t="n">
        <v>15</v>
      </c>
      <c r="C381" s="12" t="n">
        <f aca="false">IF(NOT(ISNUMBER(B381)),"",ROUND((INDEX(BP!$D$5:$D$9,MATCH(B381,BP!$A$5:$A$9,1))-INDEX(BP!$C$5:$C$9,MATCH(B381,BP!$A$5:$A$9,1)))/(INDEX(BP!$B$5:$B$9,MATCH(B381,BP!$A$5:$A$9,1))-INDEX(BP!$A$5:$A$9,MATCH(B381,BP!$A$5:$A$9,1)))*(B381-INDEX(BP!$A$5:$A$9,MATCH(B381,BP!$A$5:$A$9,1)))+INDEX(BP!$C$5:$C$9,MATCH(B381,BP!$A$5:$A$9,1)),0))</f>
        <v>25</v>
      </c>
      <c r="D381" s="12" t="str">
        <f aca="false">IF(NOT(ISNUMBER(C381)),"",INDEX(BP!$F$5:$F$9,MATCH(C381,BP!$E$5:$E$9,1)))</f>
        <v>ดีมาก</v>
      </c>
      <c r="E381" s="12" t="n">
        <f aca="false">YEAR(A381)</f>
        <v>2022</v>
      </c>
      <c r="F381" s="12" t="n">
        <f aca="false">MONTH(A381)</f>
        <v>1</v>
      </c>
      <c r="G381" s="12" t="n">
        <v>21.5</v>
      </c>
      <c r="H381" s="12" t="n">
        <v>44.6</v>
      </c>
      <c r="I381" s="12" t="n">
        <v>91</v>
      </c>
      <c r="J381" s="12" t="n">
        <v>0</v>
      </c>
      <c r="K381" s="12" t="n">
        <v>0</v>
      </c>
      <c r="L381" s="12" t="s">
        <v>35</v>
      </c>
    </row>
    <row r="382" customFormat="false" ht="15" hidden="false" customHeight="false" outlineLevel="0" collapsed="false">
      <c r="A382" s="11" t="n">
        <v>44577</v>
      </c>
      <c r="B382" s="12" t="n">
        <v>16</v>
      </c>
      <c r="C382" s="12" t="n">
        <f aca="false">IF(NOT(ISNUMBER(B382)),"",ROUND((INDEX(BP!$D$5:$D$9,MATCH(B382,BP!$A$5:$A$9,1))-INDEX(BP!$C$5:$C$9,MATCH(B382,BP!$A$5:$A$9,1)))/(INDEX(BP!$B$5:$B$9,MATCH(B382,BP!$A$5:$A$9,1))-INDEX(BP!$A$5:$A$9,MATCH(B382,BP!$A$5:$A$9,1)))*(B382-INDEX(BP!$A$5:$A$9,MATCH(B382,BP!$A$5:$A$9,1)))+INDEX(BP!$C$5:$C$9,MATCH(B382,BP!$A$5:$A$9,1)),0))</f>
        <v>28</v>
      </c>
      <c r="D382" s="12" t="str">
        <f aca="false">IF(NOT(ISNUMBER(C382)),"",INDEX(BP!$F$5:$F$9,MATCH(C382,BP!$E$5:$E$9,1)))</f>
        <v>ดี</v>
      </c>
      <c r="E382" s="12" t="n">
        <f aca="false">YEAR(A382)</f>
        <v>2022</v>
      </c>
      <c r="F382" s="12" t="n">
        <f aca="false">MONTH(A382)</f>
        <v>1</v>
      </c>
      <c r="G382" s="12" t="n">
        <v>21</v>
      </c>
      <c r="H382" s="12" t="n">
        <v>44.3</v>
      </c>
      <c r="I382" s="12" t="n">
        <v>90</v>
      </c>
      <c r="J382" s="12" t="n">
        <v>2.3</v>
      </c>
      <c r="K382" s="12" t="n">
        <v>0</v>
      </c>
      <c r="L382" s="12" t="s">
        <v>35</v>
      </c>
    </row>
    <row r="383" customFormat="false" ht="15" hidden="false" customHeight="false" outlineLevel="0" collapsed="false">
      <c r="A383" s="11" t="n">
        <v>44578</v>
      </c>
      <c r="B383" s="12" t="n">
        <v>18</v>
      </c>
      <c r="C383" s="12" t="n">
        <f aca="false">IF(NOT(ISNUMBER(B383)),"",ROUND((INDEX(BP!$D$5:$D$9,MATCH(B383,BP!$A$5:$A$9,1))-INDEX(BP!$C$5:$C$9,MATCH(B383,BP!$A$5:$A$9,1)))/(INDEX(BP!$B$5:$B$9,MATCH(B383,BP!$A$5:$A$9,1))-INDEX(BP!$A$5:$A$9,MATCH(B383,BP!$A$5:$A$9,1)))*(B383-INDEX(BP!$A$5:$A$9,MATCH(B383,BP!$A$5:$A$9,1)))+INDEX(BP!$C$5:$C$9,MATCH(B383,BP!$A$5:$A$9,1)),0))</f>
        <v>33</v>
      </c>
      <c r="D383" s="12" t="str">
        <f aca="false">IF(NOT(ISNUMBER(C383)),"",INDEX(BP!$F$5:$F$9,MATCH(C383,BP!$E$5:$E$9,1)))</f>
        <v>ดี</v>
      </c>
      <c r="E383" s="12" t="n">
        <f aca="false">YEAR(A383)</f>
        <v>2022</v>
      </c>
      <c r="F383" s="12" t="n">
        <f aca="false">MONTH(A383)</f>
        <v>1</v>
      </c>
      <c r="G383" s="12" t="n">
        <v>19.3</v>
      </c>
      <c r="H383" s="12" t="n">
        <v>39.6</v>
      </c>
      <c r="I383" s="12" t="n">
        <v>74</v>
      </c>
      <c r="J383" s="12" t="n">
        <v>0.3</v>
      </c>
      <c r="K383" s="12" t="n">
        <v>0</v>
      </c>
      <c r="L383" s="12" t="s">
        <v>36</v>
      </c>
    </row>
    <row r="384" customFormat="false" ht="15" hidden="false" customHeight="false" outlineLevel="0" collapsed="false">
      <c r="A384" s="11" t="n">
        <v>44579</v>
      </c>
      <c r="B384" s="12" t="n">
        <v>20</v>
      </c>
      <c r="C384" s="12" t="n">
        <f aca="false">IF(NOT(ISNUMBER(B384)),"",ROUND((INDEX(BP!$D$5:$D$9,MATCH(B384,BP!$A$5:$A$9,1))-INDEX(BP!$C$5:$C$9,MATCH(B384,BP!$A$5:$A$9,1)))/(INDEX(BP!$B$5:$B$9,MATCH(B384,BP!$A$5:$A$9,1))-INDEX(BP!$A$5:$A$9,MATCH(B384,BP!$A$5:$A$9,1)))*(B384-INDEX(BP!$A$5:$A$9,MATCH(B384,BP!$A$5:$A$9,1)))+INDEX(BP!$C$5:$C$9,MATCH(B384,BP!$A$5:$A$9,1)),0))</f>
        <v>38</v>
      </c>
      <c r="D384" s="12" t="str">
        <f aca="false">IF(NOT(ISNUMBER(C384)),"",INDEX(BP!$F$5:$F$9,MATCH(C384,BP!$E$5:$E$9,1)))</f>
        <v>ดี</v>
      </c>
      <c r="E384" s="12" t="n">
        <f aca="false">YEAR(A384)</f>
        <v>2022</v>
      </c>
      <c r="F384" s="12" t="n">
        <f aca="false">MONTH(A384)</f>
        <v>1</v>
      </c>
      <c r="G384" s="12" t="n">
        <v>21.4</v>
      </c>
      <c r="H384" s="12" t="n">
        <v>45</v>
      </c>
      <c r="I384" s="12" t="n">
        <v>86</v>
      </c>
      <c r="J384" s="12" t="n">
        <v>0.3</v>
      </c>
      <c r="K384" s="12" t="n">
        <v>0</v>
      </c>
      <c r="L384" s="12" t="s">
        <v>36</v>
      </c>
    </row>
    <row r="385" customFormat="false" ht="15" hidden="false" customHeight="false" outlineLevel="0" collapsed="false">
      <c r="A385" s="11" t="n">
        <v>44580</v>
      </c>
      <c r="B385" s="12" t="n">
        <v>16</v>
      </c>
      <c r="C385" s="12" t="n">
        <f aca="false">IF(NOT(ISNUMBER(B385)),"",ROUND((INDEX(BP!$D$5:$D$9,MATCH(B385,BP!$A$5:$A$9,1))-INDEX(BP!$C$5:$C$9,MATCH(B385,BP!$A$5:$A$9,1)))/(INDEX(BP!$B$5:$B$9,MATCH(B385,BP!$A$5:$A$9,1))-INDEX(BP!$A$5:$A$9,MATCH(B385,BP!$A$5:$A$9,1)))*(B385-INDEX(BP!$A$5:$A$9,MATCH(B385,BP!$A$5:$A$9,1)))+INDEX(BP!$C$5:$C$9,MATCH(B385,BP!$A$5:$A$9,1)),0))</f>
        <v>28</v>
      </c>
      <c r="D385" s="12" t="str">
        <f aca="false">IF(NOT(ISNUMBER(C385)),"",INDEX(BP!$F$5:$F$9,MATCH(C385,BP!$E$5:$E$9,1)))</f>
        <v>ดี</v>
      </c>
      <c r="E385" s="12" t="n">
        <f aca="false">YEAR(A385)</f>
        <v>2022</v>
      </c>
      <c r="F385" s="12" t="n">
        <f aca="false">MONTH(A385)</f>
        <v>1</v>
      </c>
      <c r="G385" s="12" t="n">
        <v>21.5</v>
      </c>
      <c r="H385" s="12" t="n">
        <v>44.6</v>
      </c>
      <c r="I385" s="12" t="n">
        <v>97</v>
      </c>
      <c r="J385" s="12" t="n">
        <v>0</v>
      </c>
      <c r="K385" s="12" t="n">
        <v>0</v>
      </c>
      <c r="L385" s="12" t="s">
        <v>36</v>
      </c>
    </row>
    <row r="386" customFormat="false" ht="15" hidden="false" customHeight="false" outlineLevel="0" collapsed="false">
      <c r="A386" s="11" t="n">
        <v>44581</v>
      </c>
      <c r="B386" s="12" t="n">
        <v>15</v>
      </c>
      <c r="C386" s="12" t="n">
        <f aca="false">IF(NOT(ISNUMBER(B386)),"",ROUND((INDEX(BP!$D$5:$D$9,MATCH(B386,BP!$A$5:$A$9,1))-INDEX(BP!$C$5:$C$9,MATCH(B386,BP!$A$5:$A$9,1)))/(INDEX(BP!$B$5:$B$9,MATCH(B386,BP!$A$5:$A$9,1))-INDEX(BP!$A$5:$A$9,MATCH(B386,BP!$A$5:$A$9,1)))*(B386-INDEX(BP!$A$5:$A$9,MATCH(B386,BP!$A$5:$A$9,1)))+INDEX(BP!$C$5:$C$9,MATCH(B386,BP!$A$5:$A$9,1)),0))</f>
        <v>25</v>
      </c>
      <c r="D386" s="12" t="str">
        <f aca="false">IF(NOT(ISNUMBER(C386)),"",INDEX(BP!$F$5:$F$9,MATCH(C386,BP!$E$5:$E$9,1)))</f>
        <v>ดีมาก</v>
      </c>
      <c r="E386" s="12" t="n">
        <f aca="false">YEAR(A386)</f>
        <v>2022</v>
      </c>
      <c r="F386" s="12" t="n">
        <f aca="false">MONTH(A386)</f>
        <v>1</v>
      </c>
      <c r="G386" s="12" t="n">
        <v>19.8</v>
      </c>
      <c r="H386" s="12" t="n">
        <v>38.9</v>
      </c>
      <c r="I386" s="12" t="n">
        <v>102</v>
      </c>
      <c r="J386" s="12" t="n">
        <v>0</v>
      </c>
      <c r="K386" s="12" t="n">
        <v>0</v>
      </c>
      <c r="L386" s="12" t="s">
        <v>36</v>
      </c>
    </row>
    <row r="387" customFormat="false" ht="15" hidden="false" customHeight="false" outlineLevel="0" collapsed="false">
      <c r="A387" s="11" t="n">
        <v>44582</v>
      </c>
      <c r="B387" s="12" t="n">
        <v>13</v>
      </c>
      <c r="C387" s="12" t="n">
        <f aca="false">IF(NOT(ISNUMBER(B387)),"",ROUND((INDEX(BP!$D$5:$D$9,MATCH(B387,BP!$A$5:$A$9,1))-INDEX(BP!$C$5:$C$9,MATCH(B387,BP!$A$5:$A$9,1)))/(INDEX(BP!$B$5:$B$9,MATCH(B387,BP!$A$5:$A$9,1))-INDEX(BP!$A$5:$A$9,MATCH(B387,BP!$A$5:$A$9,1)))*(B387-INDEX(BP!$A$5:$A$9,MATCH(B387,BP!$A$5:$A$9,1)))+INDEX(BP!$C$5:$C$9,MATCH(B387,BP!$A$5:$A$9,1)),0))</f>
        <v>22</v>
      </c>
      <c r="D387" s="12" t="str">
        <f aca="false">IF(NOT(ISNUMBER(C387)),"",INDEX(BP!$F$5:$F$9,MATCH(C387,BP!$E$5:$E$9,1)))</f>
        <v>ดีมาก</v>
      </c>
      <c r="E387" s="12" t="n">
        <f aca="false">YEAR(A387)</f>
        <v>2022</v>
      </c>
      <c r="F387" s="12" t="n">
        <f aca="false">MONTH(A387)</f>
        <v>1</v>
      </c>
      <c r="G387" s="12" t="n">
        <v>16.6</v>
      </c>
      <c r="H387" s="12" t="n">
        <v>36.4</v>
      </c>
      <c r="I387" s="12" t="n">
        <v>97</v>
      </c>
      <c r="J387" s="12" t="n">
        <v>0</v>
      </c>
      <c r="K387" s="12" t="n">
        <v>0</v>
      </c>
      <c r="L387" s="12" t="s">
        <v>36</v>
      </c>
    </row>
    <row r="388" customFormat="false" ht="15" hidden="false" customHeight="false" outlineLevel="0" collapsed="false">
      <c r="A388" s="11" t="n">
        <v>44583</v>
      </c>
      <c r="B388" s="12" t="n">
        <v>15</v>
      </c>
      <c r="C388" s="12" t="n">
        <f aca="false">IF(NOT(ISNUMBER(B388)),"",ROUND((INDEX(BP!$D$5:$D$9,MATCH(B388,BP!$A$5:$A$9,1))-INDEX(BP!$C$5:$C$9,MATCH(B388,BP!$A$5:$A$9,1)))/(INDEX(BP!$B$5:$B$9,MATCH(B388,BP!$A$5:$A$9,1))-INDEX(BP!$A$5:$A$9,MATCH(B388,BP!$A$5:$A$9,1)))*(B388-INDEX(BP!$A$5:$A$9,MATCH(B388,BP!$A$5:$A$9,1)))+INDEX(BP!$C$5:$C$9,MATCH(B388,BP!$A$5:$A$9,1)),0))</f>
        <v>25</v>
      </c>
      <c r="D388" s="12" t="str">
        <f aca="false">IF(NOT(ISNUMBER(C388)),"",INDEX(BP!$F$5:$F$9,MATCH(C388,BP!$E$5:$E$9,1)))</f>
        <v>ดีมาก</v>
      </c>
      <c r="E388" s="12" t="n">
        <f aca="false">YEAR(A388)</f>
        <v>2022</v>
      </c>
      <c r="F388" s="12" t="n">
        <f aca="false">MONTH(A388)</f>
        <v>1</v>
      </c>
      <c r="G388" s="12" t="n">
        <v>16.2</v>
      </c>
      <c r="H388" s="12" t="n">
        <v>33.8</v>
      </c>
      <c r="I388" s="12" t="n">
        <v>97</v>
      </c>
      <c r="J388" s="12" t="n">
        <v>0</v>
      </c>
      <c r="K388" s="12" t="n">
        <v>0</v>
      </c>
      <c r="L388" s="12" t="s">
        <v>35</v>
      </c>
    </row>
    <row r="389" customFormat="false" ht="15" hidden="false" customHeight="false" outlineLevel="0" collapsed="false">
      <c r="A389" s="11" t="n">
        <v>44584</v>
      </c>
      <c r="B389" s="12" t="n">
        <v>21</v>
      </c>
      <c r="C389" s="12" t="n">
        <f aca="false">IF(NOT(ISNUMBER(B389)),"",ROUND((INDEX(BP!$D$5:$D$9,MATCH(B389,BP!$A$5:$A$9,1))-INDEX(BP!$C$5:$C$9,MATCH(B389,BP!$A$5:$A$9,1)))/(INDEX(BP!$B$5:$B$9,MATCH(B389,BP!$A$5:$A$9,1))-INDEX(BP!$A$5:$A$9,MATCH(B389,BP!$A$5:$A$9,1)))*(B389-INDEX(BP!$A$5:$A$9,MATCH(B389,BP!$A$5:$A$9,1)))+INDEX(BP!$C$5:$C$9,MATCH(B389,BP!$A$5:$A$9,1)),0))</f>
        <v>40</v>
      </c>
      <c r="D389" s="12" t="str">
        <f aca="false">IF(NOT(ISNUMBER(C389)),"",INDEX(BP!$F$5:$F$9,MATCH(C389,BP!$E$5:$E$9,1)))</f>
        <v>ดี</v>
      </c>
      <c r="E389" s="12" t="n">
        <f aca="false">YEAR(A389)</f>
        <v>2022</v>
      </c>
      <c r="F389" s="12" t="n">
        <f aca="false">MONTH(A389)</f>
        <v>1</v>
      </c>
      <c r="G389" s="12" t="n">
        <v>16.2</v>
      </c>
      <c r="H389" s="12" t="n">
        <v>33.5</v>
      </c>
      <c r="I389" s="12" t="n">
        <v>93</v>
      </c>
      <c r="J389" s="12" t="n">
        <v>0.6</v>
      </c>
      <c r="K389" s="12" t="n">
        <v>0</v>
      </c>
      <c r="L389" s="12" t="s">
        <v>35</v>
      </c>
    </row>
    <row r="390" customFormat="false" ht="15" hidden="false" customHeight="false" outlineLevel="0" collapsed="false">
      <c r="A390" s="11" t="n">
        <v>44585</v>
      </c>
      <c r="B390" s="12" t="n">
        <v>22</v>
      </c>
      <c r="C390" s="12" t="n">
        <f aca="false">IF(NOT(ISNUMBER(B390)),"",ROUND((INDEX(BP!$D$5:$D$9,MATCH(B390,BP!$A$5:$A$9,1))-INDEX(BP!$C$5:$C$9,MATCH(B390,BP!$A$5:$A$9,1)))/(INDEX(BP!$B$5:$B$9,MATCH(B390,BP!$A$5:$A$9,1))-INDEX(BP!$A$5:$A$9,MATCH(B390,BP!$A$5:$A$9,1)))*(B390-INDEX(BP!$A$5:$A$9,MATCH(B390,BP!$A$5:$A$9,1)))+INDEX(BP!$C$5:$C$9,MATCH(B390,BP!$A$5:$A$9,1)),0))</f>
        <v>43</v>
      </c>
      <c r="D390" s="12" t="str">
        <f aca="false">IF(NOT(ISNUMBER(C390)),"",INDEX(BP!$F$5:$F$9,MATCH(C390,BP!$E$5:$E$9,1)))</f>
        <v>ดี</v>
      </c>
      <c r="E390" s="12" t="n">
        <f aca="false">YEAR(A390)</f>
        <v>2022</v>
      </c>
      <c r="F390" s="12" t="n">
        <f aca="false">MONTH(A390)</f>
        <v>1</v>
      </c>
      <c r="G390" s="12" t="n">
        <v>14.1</v>
      </c>
      <c r="H390" s="12" t="n">
        <v>31.3</v>
      </c>
      <c r="I390" s="12" t="n">
        <v>79</v>
      </c>
      <c r="J390" s="12" t="n">
        <v>0</v>
      </c>
      <c r="K390" s="12" t="n">
        <v>0</v>
      </c>
      <c r="L390" s="12" t="s">
        <v>36</v>
      </c>
    </row>
    <row r="391" customFormat="false" ht="15" hidden="false" customHeight="false" outlineLevel="0" collapsed="false">
      <c r="A391" s="11" t="n">
        <v>44586</v>
      </c>
      <c r="B391" s="12" t="n">
        <v>23</v>
      </c>
      <c r="C391" s="12" t="n">
        <f aca="false">IF(NOT(ISNUMBER(B391)),"",ROUND((INDEX(BP!$D$5:$D$9,MATCH(B391,BP!$A$5:$A$9,1))-INDEX(BP!$C$5:$C$9,MATCH(B391,BP!$A$5:$A$9,1)))/(INDEX(BP!$B$5:$B$9,MATCH(B391,BP!$A$5:$A$9,1))-INDEX(BP!$A$5:$A$9,MATCH(B391,BP!$A$5:$A$9,1)))*(B391-INDEX(BP!$A$5:$A$9,MATCH(B391,BP!$A$5:$A$9,1)))+INDEX(BP!$C$5:$C$9,MATCH(B391,BP!$A$5:$A$9,1)),0))</f>
        <v>45</v>
      </c>
      <c r="D391" s="12" t="str">
        <f aca="false">IF(NOT(ISNUMBER(C391)),"",INDEX(BP!$F$5:$F$9,MATCH(C391,BP!$E$5:$E$9,1)))</f>
        <v>ดี</v>
      </c>
      <c r="E391" s="12" t="n">
        <f aca="false">YEAR(A391)</f>
        <v>2022</v>
      </c>
      <c r="F391" s="12" t="n">
        <f aca="false">MONTH(A391)</f>
        <v>1</v>
      </c>
      <c r="G391" s="12" t="n">
        <v>16.9</v>
      </c>
      <c r="H391" s="12" t="n">
        <v>37.1</v>
      </c>
      <c r="I391" s="12" t="n">
        <v>84</v>
      </c>
      <c r="J391" s="12" t="n">
        <v>0</v>
      </c>
      <c r="K391" s="12" t="n">
        <v>0</v>
      </c>
      <c r="L391" s="12" t="s">
        <v>36</v>
      </c>
    </row>
    <row r="392" customFormat="false" ht="15" hidden="false" customHeight="false" outlineLevel="0" collapsed="false">
      <c r="A392" s="11" t="n">
        <v>44587</v>
      </c>
      <c r="B392" s="12" t="n">
        <v>19</v>
      </c>
      <c r="C392" s="12" t="n">
        <f aca="false">IF(NOT(ISNUMBER(B392)),"",ROUND((INDEX(BP!$D$5:$D$9,MATCH(B392,BP!$A$5:$A$9,1))-INDEX(BP!$C$5:$C$9,MATCH(B392,BP!$A$5:$A$9,1)))/(INDEX(BP!$B$5:$B$9,MATCH(B392,BP!$A$5:$A$9,1))-INDEX(BP!$A$5:$A$9,MATCH(B392,BP!$A$5:$A$9,1)))*(B392-INDEX(BP!$A$5:$A$9,MATCH(B392,BP!$A$5:$A$9,1)))+INDEX(BP!$C$5:$C$9,MATCH(B392,BP!$A$5:$A$9,1)),0))</f>
        <v>35</v>
      </c>
      <c r="D392" s="12" t="str">
        <f aca="false">IF(NOT(ISNUMBER(C392)),"",INDEX(BP!$F$5:$F$9,MATCH(C392,BP!$E$5:$E$9,1)))</f>
        <v>ดี</v>
      </c>
      <c r="E392" s="12" t="n">
        <f aca="false">YEAR(A392)</f>
        <v>2022</v>
      </c>
      <c r="F392" s="12" t="n">
        <f aca="false">MONTH(A392)</f>
        <v>1</v>
      </c>
      <c r="G392" s="12" t="n">
        <v>18.9</v>
      </c>
      <c r="H392" s="12" t="n">
        <v>40.3</v>
      </c>
      <c r="I392" s="12" t="n">
        <v>92</v>
      </c>
      <c r="J392" s="12" t="n">
        <v>0</v>
      </c>
      <c r="K392" s="12" t="n">
        <v>0</v>
      </c>
      <c r="L392" s="12" t="s">
        <v>36</v>
      </c>
    </row>
    <row r="393" customFormat="false" ht="15" hidden="false" customHeight="false" outlineLevel="0" collapsed="false">
      <c r="A393" s="11" t="n">
        <v>44588</v>
      </c>
      <c r="B393" s="12" t="n">
        <v>18</v>
      </c>
      <c r="C393" s="12" t="n">
        <f aca="false">IF(NOT(ISNUMBER(B393)),"",ROUND((INDEX(BP!$D$5:$D$9,MATCH(B393,BP!$A$5:$A$9,1))-INDEX(BP!$C$5:$C$9,MATCH(B393,BP!$A$5:$A$9,1)))/(INDEX(BP!$B$5:$B$9,MATCH(B393,BP!$A$5:$A$9,1))-INDEX(BP!$A$5:$A$9,MATCH(B393,BP!$A$5:$A$9,1)))*(B393-INDEX(BP!$A$5:$A$9,MATCH(B393,BP!$A$5:$A$9,1)))+INDEX(BP!$C$5:$C$9,MATCH(B393,BP!$A$5:$A$9,1)),0))</f>
        <v>33</v>
      </c>
      <c r="D393" s="12" t="str">
        <f aca="false">IF(NOT(ISNUMBER(C393)),"",INDEX(BP!$F$5:$F$9,MATCH(C393,BP!$E$5:$E$9,1)))</f>
        <v>ดี</v>
      </c>
      <c r="E393" s="12" t="n">
        <f aca="false">YEAR(A393)</f>
        <v>2022</v>
      </c>
      <c r="F393" s="12" t="n">
        <f aca="false">MONTH(A393)</f>
        <v>1</v>
      </c>
      <c r="G393" s="12" t="n">
        <v>17.7</v>
      </c>
      <c r="H393" s="12" t="n">
        <v>37.8</v>
      </c>
      <c r="I393" s="12" t="n">
        <v>92</v>
      </c>
      <c r="J393" s="12" t="n">
        <v>0</v>
      </c>
      <c r="K393" s="12" t="n">
        <v>0</v>
      </c>
      <c r="L393" s="12" t="s">
        <v>36</v>
      </c>
    </row>
    <row r="394" customFormat="false" ht="15" hidden="false" customHeight="false" outlineLevel="0" collapsed="false">
      <c r="A394" s="11" t="n">
        <v>44589</v>
      </c>
      <c r="B394" s="12" t="n">
        <v>21</v>
      </c>
      <c r="C394" s="12" t="n">
        <f aca="false">IF(NOT(ISNUMBER(B394)),"",ROUND((INDEX(BP!$D$5:$D$9,MATCH(B394,BP!$A$5:$A$9,1))-INDEX(BP!$C$5:$C$9,MATCH(B394,BP!$A$5:$A$9,1)))/(INDEX(BP!$B$5:$B$9,MATCH(B394,BP!$A$5:$A$9,1))-INDEX(BP!$A$5:$A$9,MATCH(B394,BP!$A$5:$A$9,1)))*(B394-INDEX(BP!$A$5:$A$9,MATCH(B394,BP!$A$5:$A$9,1)))+INDEX(BP!$C$5:$C$9,MATCH(B394,BP!$A$5:$A$9,1)),0))</f>
        <v>40</v>
      </c>
      <c r="D394" s="12" t="str">
        <f aca="false">IF(NOT(ISNUMBER(C394)),"",INDEX(BP!$F$5:$F$9,MATCH(C394,BP!$E$5:$E$9,1)))</f>
        <v>ดี</v>
      </c>
      <c r="E394" s="12" t="n">
        <f aca="false">YEAR(A394)</f>
        <v>2022</v>
      </c>
      <c r="F394" s="12" t="n">
        <f aca="false">MONTH(A394)</f>
        <v>1</v>
      </c>
      <c r="G394" s="12" t="n">
        <v>15.5</v>
      </c>
      <c r="H394" s="12" t="n">
        <v>34.9</v>
      </c>
      <c r="I394" s="12" t="n">
        <v>92</v>
      </c>
      <c r="J394" s="12" t="n">
        <v>0</v>
      </c>
      <c r="K394" s="12" t="n">
        <v>0</v>
      </c>
      <c r="L394" s="12" t="s">
        <v>36</v>
      </c>
    </row>
    <row r="395" customFormat="false" ht="15" hidden="false" customHeight="false" outlineLevel="0" collapsed="false">
      <c r="A395" s="11" t="n">
        <v>44590</v>
      </c>
      <c r="B395" s="12" t="n">
        <v>25</v>
      </c>
      <c r="C395" s="12" t="n">
        <f aca="false">IF(NOT(ISNUMBER(B395)),"",ROUND((INDEX(BP!$D$5:$D$9,MATCH(B395,BP!$A$5:$A$9,1))-INDEX(BP!$C$5:$C$9,MATCH(B395,BP!$A$5:$A$9,1)))/(INDEX(BP!$B$5:$B$9,MATCH(B395,BP!$A$5:$A$9,1))-INDEX(BP!$A$5:$A$9,MATCH(B395,BP!$A$5:$A$9,1)))*(B395-INDEX(BP!$A$5:$A$9,MATCH(B395,BP!$A$5:$A$9,1)))+INDEX(BP!$C$5:$C$9,MATCH(B395,BP!$A$5:$A$9,1)),0))</f>
        <v>50</v>
      </c>
      <c r="D395" s="12" t="str">
        <f aca="false">IF(NOT(ISNUMBER(C395)),"",INDEX(BP!$F$5:$F$9,MATCH(C395,BP!$E$5:$E$9,1)))</f>
        <v>ดี</v>
      </c>
      <c r="E395" s="12" t="n">
        <f aca="false">YEAR(A395)</f>
        <v>2022</v>
      </c>
      <c r="F395" s="12" t="n">
        <f aca="false">MONTH(A395)</f>
        <v>1</v>
      </c>
      <c r="G395" s="12" t="n">
        <v>12.3</v>
      </c>
      <c r="H395" s="12" t="n">
        <v>29.5</v>
      </c>
      <c r="I395" s="12" t="n">
        <v>86</v>
      </c>
      <c r="J395" s="12" t="n">
        <v>0</v>
      </c>
      <c r="K395" s="12" t="n">
        <v>0</v>
      </c>
      <c r="L395" s="12" t="s">
        <v>35</v>
      </c>
    </row>
    <row r="396" customFormat="false" ht="15" hidden="false" customHeight="false" outlineLevel="0" collapsed="false">
      <c r="A396" s="11" t="n">
        <v>44591</v>
      </c>
      <c r="B396" s="12" t="n">
        <v>26</v>
      </c>
      <c r="C396" s="12" t="n">
        <f aca="false">IF(NOT(ISNUMBER(B396)),"",ROUND((INDEX(BP!$D$5:$D$9,MATCH(B396,BP!$A$5:$A$9,1))-INDEX(BP!$C$5:$C$9,MATCH(B396,BP!$A$5:$A$9,1)))/(INDEX(BP!$B$5:$B$9,MATCH(B396,BP!$A$5:$A$9,1))-INDEX(BP!$A$5:$A$9,MATCH(B396,BP!$A$5:$A$9,1)))*(B396-INDEX(BP!$A$5:$A$9,MATCH(B396,BP!$A$5:$A$9,1)))+INDEX(BP!$C$5:$C$9,MATCH(B396,BP!$A$5:$A$9,1)),0))</f>
        <v>55</v>
      </c>
      <c r="D396" s="12" t="str">
        <f aca="false">IF(NOT(ISNUMBER(C396)),"",INDEX(BP!$F$5:$F$9,MATCH(C396,BP!$E$5:$E$9,1)))</f>
        <v>ปานกลาง</v>
      </c>
      <c r="E396" s="12" t="n">
        <f aca="false">YEAR(A396)</f>
        <v>2022</v>
      </c>
      <c r="F396" s="12" t="n">
        <f aca="false">MONTH(A396)</f>
        <v>1</v>
      </c>
      <c r="G396" s="12" t="n">
        <v>13.2</v>
      </c>
      <c r="H396" s="12" t="n">
        <v>29.5</v>
      </c>
      <c r="I396" s="12" t="n">
        <v>84</v>
      </c>
      <c r="J396" s="12" t="n">
        <v>0</v>
      </c>
      <c r="K396" s="12" t="n">
        <v>0</v>
      </c>
      <c r="L396" s="12" t="s">
        <v>35</v>
      </c>
    </row>
    <row r="397" customFormat="false" ht="15" hidden="false" customHeight="false" outlineLevel="0" collapsed="false">
      <c r="A397" s="11" t="n">
        <v>44592</v>
      </c>
      <c r="B397" s="12" t="n">
        <v>23</v>
      </c>
      <c r="C397" s="12" t="n">
        <f aca="false">IF(NOT(ISNUMBER(B397)),"",ROUND((INDEX(BP!$D$5:$D$9,MATCH(B397,BP!$A$5:$A$9,1))-INDEX(BP!$C$5:$C$9,MATCH(B397,BP!$A$5:$A$9,1)))/(INDEX(BP!$B$5:$B$9,MATCH(B397,BP!$A$5:$A$9,1))-INDEX(BP!$A$5:$A$9,MATCH(B397,BP!$A$5:$A$9,1)))*(B397-INDEX(BP!$A$5:$A$9,MATCH(B397,BP!$A$5:$A$9,1)))+INDEX(BP!$C$5:$C$9,MATCH(B397,BP!$A$5:$A$9,1)),0))</f>
        <v>45</v>
      </c>
      <c r="D397" s="12" t="str">
        <f aca="false">IF(NOT(ISNUMBER(C397)),"",INDEX(BP!$F$5:$F$9,MATCH(C397,BP!$E$5:$E$9,1)))</f>
        <v>ดี</v>
      </c>
      <c r="E397" s="12" t="n">
        <f aca="false">YEAR(A397)</f>
        <v>2022</v>
      </c>
      <c r="F397" s="12" t="n">
        <f aca="false">MONTH(A397)</f>
        <v>1</v>
      </c>
      <c r="G397" s="12" t="n">
        <v>17.4</v>
      </c>
      <c r="H397" s="12" t="n">
        <v>37.4</v>
      </c>
      <c r="I397" s="12" t="n">
        <v>92</v>
      </c>
      <c r="J397" s="12" t="n">
        <v>0</v>
      </c>
      <c r="K397" s="12" t="n">
        <v>0</v>
      </c>
      <c r="L397" s="12" t="s">
        <v>36</v>
      </c>
    </row>
    <row r="398" customFormat="false" ht="15" hidden="false" customHeight="false" outlineLevel="0" collapsed="false">
      <c r="A398" s="11" t="n">
        <v>44593</v>
      </c>
      <c r="B398" s="12" t="n">
        <v>15</v>
      </c>
      <c r="C398" s="12" t="n">
        <f aca="false">IF(NOT(ISNUMBER(B398)),"",ROUND((INDEX(BP!$D$5:$D$9,MATCH(B398,BP!$A$5:$A$9,1))-INDEX(BP!$C$5:$C$9,MATCH(B398,BP!$A$5:$A$9,1)))/(INDEX(BP!$B$5:$B$9,MATCH(B398,BP!$A$5:$A$9,1))-INDEX(BP!$A$5:$A$9,MATCH(B398,BP!$A$5:$A$9,1)))*(B398-INDEX(BP!$A$5:$A$9,MATCH(B398,BP!$A$5:$A$9,1)))+INDEX(BP!$C$5:$C$9,MATCH(B398,BP!$A$5:$A$9,1)),0))</f>
        <v>25</v>
      </c>
      <c r="D398" s="12" t="str">
        <f aca="false">IF(NOT(ISNUMBER(C398)),"",INDEX(BP!$F$5:$F$9,MATCH(C398,BP!$E$5:$E$9,1)))</f>
        <v>ดีมาก</v>
      </c>
      <c r="E398" s="12" t="n">
        <f aca="false">YEAR(A398)</f>
        <v>2022</v>
      </c>
      <c r="F398" s="12" t="n">
        <f aca="false">MONTH(A398)</f>
        <v>2</v>
      </c>
      <c r="G398" s="12" t="n">
        <v>18.5</v>
      </c>
      <c r="H398" s="12" t="n">
        <v>40</v>
      </c>
      <c r="I398" s="12" t="n">
        <v>88</v>
      </c>
      <c r="J398" s="12" t="n">
        <v>0.4</v>
      </c>
      <c r="K398" s="12" t="n">
        <v>0</v>
      </c>
      <c r="L398" s="12" t="s">
        <v>36</v>
      </c>
    </row>
    <row r="399" customFormat="false" ht="15" hidden="false" customHeight="false" outlineLevel="0" collapsed="false">
      <c r="A399" s="11" t="n">
        <v>44594</v>
      </c>
      <c r="B399" s="12" t="n">
        <v>12</v>
      </c>
      <c r="C399" s="12" t="n">
        <f aca="false">IF(NOT(ISNUMBER(B399)),"",ROUND((INDEX(BP!$D$5:$D$9,MATCH(B399,BP!$A$5:$A$9,1))-INDEX(BP!$C$5:$C$9,MATCH(B399,BP!$A$5:$A$9,1)))/(INDEX(BP!$B$5:$B$9,MATCH(B399,BP!$A$5:$A$9,1))-INDEX(BP!$A$5:$A$9,MATCH(B399,BP!$A$5:$A$9,1)))*(B399-INDEX(BP!$A$5:$A$9,MATCH(B399,BP!$A$5:$A$9,1)))+INDEX(BP!$C$5:$C$9,MATCH(B399,BP!$A$5:$A$9,1)),0))</f>
        <v>20</v>
      </c>
      <c r="D399" s="12" t="str">
        <f aca="false">IF(NOT(ISNUMBER(C399)),"",INDEX(BP!$F$5:$F$9,MATCH(C399,BP!$E$5:$E$9,1)))</f>
        <v>ดีมาก</v>
      </c>
      <c r="E399" s="12" t="n">
        <f aca="false">YEAR(A399)</f>
        <v>2022</v>
      </c>
      <c r="F399" s="12" t="n">
        <f aca="false">MONTH(A399)</f>
        <v>2</v>
      </c>
      <c r="G399" s="12" t="n">
        <v>22.7</v>
      </c>
      <c r="H399" s="12" t="n">
        <v>44.3</v>
      </c>
      <c r="I399" s="12" t="n">
        <v>97</v>
      </c>
      <c r="J399" s="12" t="n">
        <v>2.7</v>
      </c>
      <c r="K399" s="12" t="n">
        <v>0</v>
      </c>
      <c r="L399" s="12" t="s">
        <v>36</v>
      </c>
    </row>
    <row r="400" customFormat="false" ht="15" hidden="false" customHeight="false" outlineLevel="0" collapsed="false">
      <c r="A400" s="11" t="n">
        <v>44595</v>
      </c>
      <c r="B400" s="12"/>
      <c r="C400" s="12" t="str">
        <f aca="false">IF(NOT(ISNUMBER(B400)),"",ROUND((INDEX(BP!$D$5:$D$9,MATCH(B400,BP!$A$5:$A$9,1))-INDEX(BP!$C$5:$C$9,MATCH(B400,BP!$A$5:$A$9,1)))/(INDEX(BP!$B$5:$B$9,MATCH(B400,BP!$A$5:$A$9,1))-INDEX(BP!$A$5:$A$9,MATCH(B400,BP!$A$5:$A$9,1)))*(B400-INDEX(BP!$A$5:$A$9,MATCH(B400,BP!$A$5:$A$9,1)))+INDEX(BP!$C$5:$C$9,MATCH(B400,BP!$A$5:$A$9,1)),0))</f>
        <v/>
      </c>
      <c r="D400" s="12" t="str">
        <f aca="false">IF(NOT(ISNUMBER(C400)),"",INDEX(BP!$F$5:$F$9,MATCH(C400,BP!$E$5:$E$9,1)))</f>
        <v/>
      </c>
      <c r="E400" s="12" t="n">
        <f aca="false">YEAR(A400)</f>
        <v>2022</v>
      </c>
      <c r="F400" s="12" t="n">
        <f aca="false">MONTH(A400)</f>
        <v>2</v>
      </c>
      <c r="G400" s="12" t="n">
        <v>19.8</v>
      </c>
      <c r="H400" s="12" t="n">
        <v>42.1</v>
      </c>
      <c r="I400" s="12" t="n">
        <v>92</v>
      </c>
      <c r="J400" s="12" t="n">
        <v>1.7</v>
      </c>
      <c r="K400" s="12" t="n">
        <v>0</v>
      </c>
      <c r="L400" s="12" t="s">
        <v>36</v>
      </c>
    </row>
    <row r="401" customFormat="false" ht="15" hidden="false" customHeight="false" outlineLevel="0" collapsed="false">
      <c r="A401" s="11" t="n">
        <v>44596</v>
      </c>
      <c r="B401" s="12" t="n">
        <v>15</v>
      </c>
      <c r="C401" s="12" t="n">
        <f aca="false">IF(NOT(ISNUMBER(B401)),"",ROUND((INDEX(BP!$D$5:$D$9,MATCH(B401,BP!$A$5:$A$9,1))-INDEX(BP!$C$5:$C$9,MATCH(B401,BP!$A$5:$A$9,1)))/(INDEX(BP!$B$5:$B$9,MATCH(B401,BP!$A$5:$A$9,1))-INDEX(BP!$A$5:$A$9,MATCH(B401,BP!$A$5:$A$9,1)))*(B401-INDEX(BP!$A$5:$A$9,MATCH(B401,BP!$A$5:$A$9,1)))+INDEX(BP!$C$5:$C$9,MATCH(B401,BP!$A$5:$A$9,1)),0))</f>
        <v>25</v>
      </c>
      <c r="D401" s="12" t="str">
        <f aca="false">IF(NOT(ISNUMBER(C401)),"",INDEX(BP!$F$5:$F$9,MATCH(C401,BP!$E$5:$E$9,1)))</f>
        <v>ดีมาก</v>
      </c>
      <c r="E401" s="12" t="n">
        <f aca="false">YEAR(A401)</f>
        <v>2022</v>
      </c>
      <c r="F401" s="12" t="n">
        <f aca="false">MONTH(A401)</f>
        <v>2</v>
      </c>
      <c r="G401" s="12" t="n">
        <v>24.9</v>
      </c>
      <c r="H401" s="12" t="n">
        <v>51.5</v>
      </c>
      <c r="I401" s="12" t="n">
        <v>92</v>
      </c>
      <c r="J401" s="12" t="n">
        <v>3.9</v>
      </c>
      <c r="K401" s="12" t="n">
        <v>3.2</v>
      </c>
      <c r="L401" s="12" t="s">
        <v>36</v>
      </c>
    </row>
    <row r="402" customFormat="false" ht="15" hidden="false" customHeight="false" outlineLevel="0" collapsed="false">
      <c r="A402" s="11" t="n">
        <v>44597</v>
      </c>
      <c r="B402" s="12" t="n">
        <v>14</v>
      </c>
      <c r="C402" s="12" t="n">
        <f aca="false">IF(NOT(ISNUMBER(B402)),"",ROUND((INDEX(BP!$D$5:$D$9,MATCH(B402,BP!$A$5:$A$9,1))-INDEX(BP!$C$5:$C$9,MATCH(B402,BP!$A$5:$A$9,1)))/(INDEX(BP!$B$5:$B$9,MATCH(B402,BP!$A$5:$A$9,1))-INDEX(BP!$A$5:$A$9,MATCH(B402,BP!$A$5:$A$9,1)))*(B402-INDEX(BP!$A$5:$A$9,MATCH(B402,BP!$A$5:$A$9,1)))+INDEX(BP!$C$5:$C$9,MATCH(B402,BP!$A$5:$A$9,1)),0))</f>
        <v>23</v>
      </c>
      <c r="D402" s="12" t="str">
        <f aca="false">IF(NOT(ISNUMBER(C402)),"",INDEX(BP!$F$5:$F$9,MATCH(C402,BP!$E$5:$E$9,1)))</f>
        <v>ดีมาก</v>
      </c>
      <c r="E402" s="12" t="n">
        <f aca="false">YEAR(A402)</f>
        <v>2022</v>
      </c>
      <c r="F402" s="12" t="n">
        <f aca="false">MONTH(A402)</f>
        <v>2</v>
      </c>
      <c r="G402" s="12" t="n">
        <v>26.4</v>
      </c>
      <c r="H402" s="12" t="n">
        <v>54.7</v>
      </c>
      <c r="I402" s="12" t="n">
        <v>96</v>
      </c>
      <c r="J402" s="12" t="n">
        <v>1.3</v>
      </c>
      <c r="K402" s="12" t="n">
        <v>0.2</v>
      </c>
      <c r="L402" s="12" t="s">
        <v>35</v>
      </c>
    </row>
    <row r="403" customFormat="false" ht="15" hidden="false" customHeight="false" outlineLevel="0" collapsed="false">
      <c r="A403" s="11" t="n">
        <v>44598</v>
      </c>
      <c r="B403" s="12" t="n">
        <v>15</v>
      </c>
      <c r="C403" s="12" t="n">
        <f aca="false">IF(NOT(ISNUMBER(B403)),"",ROUND((INDEX(BP!$D$5:$D$9,MATCH(B403,BP!$A$5:$A$9,1))-INDEX(BP!$C$5:$C$9,MATCH(B403,BP!$A$5:$A$9,1)))/(INDEX(BP!$B$5:$B$9,MATCH(B403,BP!$A$5:$A$9,1))-INDEX(BP!$A$5:$A$9,MATCH(B403,BP!$A$5:$A$9,1)))*(B403-INDEX(BP!$A$5:$A$9,MATCH(B403,BP!$A$5:$A$9,1)))+INDEX(BP!$C$5:$C$9,MATCH(B403,BP!$A$5:$A$9,1)),0))</f>
        <v>25</v>
      </c>
      <c r="D403" s="12" t="str">
        <f aca="false">IF(NOT(ISNUMBER(C403)),"",INDEX(BP!$F$5:$F$9,MATCH(C403,BP!$E$5:$E$9,1)))</f>
        <v>ดีมาก</v>
      </c>
      <c r="E403" s="12" t="n">
        <f aca="false">YEAR(A403)</f>
        <v>2022</v>
      </c>
      <c r="F403" s="12" t="n">
        <f aca="false">MONTH(A403)</f>
        <v>2</v>
      </c>
      <c r="G403" s="12" t="n">
        <v>24.1</v>
      </c>
      <c r="H403" s="12" t="n">
        <v>50</v>
      </c>
      <c r="I403" s="12" t="n">
        <v>95</v>
      </c>
      <c r="J403" s="12" t="n">
        <v>0.6</v>
      </c>
      <c r="K403" s="12" t="n">
        <v>0</v>
      </c>
      <c r="L403" s="12" t="s">
        <v>35</v>
      </c>
    </row>
    <row r="404" customFormat="false" ht="15" hidden="false" customHeight="false" outlineLevel="0" collapsed="false">
      <c r="A404" s="11" t="n">
        <v>44599</v>
      </c>
      <c r="B404" s="12" t="n">
        <v>14</v>
      </c>
      <c r="C404" s="12" t="n">
        <f aca="false">IF(NOT(ISNUMBER(B404)),"",ROUND((INDEX(BP!$D$5:$D$9,MATCH(B404,BP!$A$5:$A$9,1))-INDEX(BP!$C$5:$C$9,MATCH(B404,BP!$A$5:$A$9,1)))/(INDEX(BP!$B$5:$B$9,MATCH(B404,BP!$A$5:$A$9,1))-INDEX(BP!$A$5:$A$9,MATCH(B404,BP!$A$5:$A$9,1)))*(B404-INDEX(BP!$A$5:$A$9,MATCH(B404,BP!$A$5:$A$9,1)))+INDEX(BP!$C$5:$C$9,MATCH(B404,BP!$A$5:$A$9,1)),0))</f>
        <v>23</v>
      </c>
      <c r="D404" s="12" t="str">
        <f aca="false">IF(NOT(ISNUMBER(C404)),"",INDEX(BP!$F$5:$F$9,MATCH(C404,BP!$E$5:$E$9,1)))</f>
        <v>ดีมาก</v>
      </c>
      <c r="E404" s="12" t="n">
        <f aca="false">YEAR(A404)</f>
        <v>2022</v>
      </c>
      <c r="F404" s="12" t="n">
        <f aca="false">MONTH(A404)</f>
        <v>2</v>
      </c>
      <c r="G404" s="12" t="n">
        <v>18.9</v>
      </c>
      <c r="H404" s="12" t="n">
        <v>42.5</v>
      </c>
      <c r="I404" s="12" t="n">
        <v>84</v>
      </c>
      <c r="J404" s="12" t="n">
        <v>2.1</v>
      </c>
      <c r="K404" s="12" t="n">
        <v>0.6</v>
      </c>
      <c r="L404" s="12" t="s">
        <v>36</v>
      </c>
    </row>
    <row r="405" customFormat="false" ht="15" hidden="false" customHeight="false" outlineLevel="0" collapsed="false">
      <c r="A405" s="11" t="n">
        <v>44600</v>
      </c>
      <c r="B405" s="12" t="n">
        <v>15</v>
      </c>
      <c r="C405" s="12" t="n">
        <f aca="false">IF(NOT(ISNUMBER(B405)),"",ROUND((INDEX(BP!$D$5:$D$9,MATCH(B405,BP!$A$5:$A$9,1))-INDEX(BP!$C$5:$C$9,MATCH(B405,BP!$A$5:$A$9,1)))/(INDEX(BP!$B$5:$B$9,MATCH(B405,BP!$A$5:$A$9,1))-INDEX(BP!$A$5:$A$9,MATCH(B405,BP!$A$5:$A$9,1)))*(B405-INDEX(BP!$A$5:$A$9,MATCH(B405,BP!$A$5:$A$9,1)))+INDEX(BP!$C$5:$C$9,MATCH(B405,BP!$A$5:$A$9,1)),0))</f>
        <v>25</v>
      </c>
      <c r="D405" s="12" t="str">
        <f aca="false">IF(NOT(ISNUMBER(C405)),"",INDEX(BP!$F$5:$F$9,MATCH(C405,BP!$E$5:$E$9,1)))</f>
        <v>ดีมาก</v>
      </c>
      <c r="E405" s="12" t="n">
        <f aca="false">YEAR(A405)</f>
        <v>2022</v>
      </c>
      <c r="F405" s="12" t="n">
        <f aca="false">MONTH(A405)</f>
        <v>2</v>
      </c>
      <c r="G405" s="12" t="n">
        <v>20</v>
      </c>
      <c r="H405" s="12" t="n">
        <v>43.9</v>
      </c>
      <c r="I405" s="12" t="n">
        <v>76</v>
      </c>
      <c r="J405" s="12" t="n">
        <v>2.4</v>
      </c>
      <c r="K405" s="12" t="n">
        <v>1.8</v>
      </c>
      <c r="L405" s="12" t="s">
        <v>36</v>
      </c>
    </row>
    <row r="406" customFormat="false" ht="15" hidden="false" customHeight="false" outlineLevel="0" collapsed="false">
      <c r="A406" s="11" t="n">
        <v>44601</v>
      </c>
      <c r="B406" s="12" t="n">
        <v>15</v>
      </c>
      <c r="C406" s="12" t="n">
        <f aca="false">IF(NOT(ISNUMBER(B406)),"",ROUND((INDEX(BP!$D$5:$D$9,MATCH(B406,BP!$A$5:$A$9,1))-INDEX(BP!$C$5:$C$9,MATCH(B406,BP!$A$5:$A$9,1)))/(INDEX(BP!$B$5:$B$9,MATCH(B406,BP!$A$5:$A$9,1))-INDEX(BP!$A$5:$A$9,MATCH(B406,BP!$A$5:$A$9,1)))*(B406-INDEX(BP!$A$5:$A$9,MATCH(B406,BP!$A$5:$A$9,1)))+INDEX(BP!$C$5:$C$9,MATCH(B406,BP!$A$5:$A$9,1)),0))</f>
        <v>25</v>
      </c>
      <c r="D406" s="12" t="str">
        <f aca="false">IF(NOT(ISNUMBER(C406)),"",INDEX(BP!$F$5:$F$9,MATCH(C406,BP!$E$5:$E$9,1)))</f>
        <v>ดีมาก</v>
      </c>
      <c r="E406" s="12" t="n">
        <f aca="false">YEAR(A406)</f>
        <v>2022</v>
      </c>
      <c r="F406" s="12" t="n">
        <f aca="false">MONTH(A406)</f>
        <v>2</v>
      </c>
      <c r="G406" s="12" t="n">
        <v>18.3</v>
      </c>
      <c r="H406" s="12" t="n">
        <v>39.2</v>
      </c>
      <c r="I406" s="12" t="n">
        <v>94</v>
      </c>
      <c r="J406" s="12" t="n">
        <v>1</v>
      </c>
      <c r="K406" s="12" t="n">
        <v>0</v>
      </c>
      <c r="L406" s="12" t="s">
        <v>36</v>
      </c>
    </row>
    <row r="407" customFormat="false" ht="15" hidden="false" customHeight="false" outlineLevel="0" collapsed="false">
      <c r="A407" s="11" t="n">
        <v>44602</v>
      </c>
      <c r="B407" s="12" t="n">
        <v>18</v>
      </c>
      <c r="C407" s="12" t="n">
        <f aca="false">IF(NOT(ISNUMBER(B407)),"",ROUND((INDEX(BP!$D$5:$D$9,MATCH(B407,BP!$A$5:$A$9,1))-INDEX(BP!$C$5:$C$9,MATCH(B407,BP!$A$5:$A$9,1)))/(INDEX(BP!$B$5:$B$9,MATCH(B407,BP!$A$5:$A$9,1))-INDEX(BP!$A$5:$A$9,MATCH(B407,BP!$A$5:$A$9,1)))*(B407-INDEX(BP!$A$5:$A$9,MATCH(B407,BP!$A$5:$A$9,1)))+INDEX(BP!$C$5:$C$9,MATCH(B407,BP!$A$5:$A$9,1)),0))</f>
        <v>33</v>
      </c>
      <c r="D407" s="12" t="str">
        <f aca="false">IF(NOT(ISNUMBER(C407)),"",INDEX(BP!$F$5:$F$9,MATCH(C407,BP!$E$5:$E$9,1)))</f>
        <v>ดี</v>
      </c>
      <c r="E407" s="12" t="n">
        <f aca="false">YEAR(A407)</f>
        <v>2022</v>
      </c>
      <c r="F407" s="12" t="n">
        <f aca="false">MONTH(A407)</f>
        <v>2</v>
      </c>
      <c r="G407" s="12" t="n">
        <v>15.4</v>
      </c>
      <c r="H407" s="12" t="n">
        <v>34.6</v>
      </c>
      <c r="I407" s="12" t="n">
        <v>96</v>
      </c>
      <c r="J407" s="12" t="n">
        <v>0.2</v>
      </c>
      <c r="K407" s="12" t="n">
        <v>0</v>
      </c>
      <c r="L407" s="12" t="s">
        <v>36</v>
      </c>
    </row>
    <row r="408" customFormat="false" ht="15" hidden="false" customHeight="false" outlineLevel="0" collapsed="false">
      <c r="A408" s="11" t="n">
        <v>44603</v>
      </c>
      <c r="B408" s="12" t="n">
        <v>19</v>
      </c>
      <c r="C408" s="12" t="n">
        <f aca="false">IF(NOT(ISNUMBER(B408)),"",ROUND((INDEX(BP!$D$5:$D$9,MATCH(B408,BP!$A$5:$A$9,1))-INDEX(BP!$C$5:$C$9,MATCH(B408,BP!$A$5:$A$9,1)))/(INDEX(BP!$B$5:$B$9,MATCH(B408,BP!$A$5:$A$9,1))-INDEX(BP!$A$5:$A$9,MATCH(B408,BP!$A$5:$A$9,1)))*(B408-INDEX(BP!$A$5:$A$9,MATCH(B408,BP!$A$5:$A$9,1)))+INDEX(BP!$C$5:$C$9,MATCH(B408,BP!$A$5:$A$9,1)),0))</f>
        <v>35</v>
      </c>
      <c r="D408" s="12" t="str">
        <f aca="false">IF(NOT(ISNUMBER(C408)),"",INDEX(BP!$F$5:$F$9,MATCH(C408,BP!$E$5:$E$9,1)))</f>
        <v>ดี</v>
      </c>
      <c r="E408" s="12" t="n">
        <f aca="false">YEAR(A408)</f>
        <v>2022</v>
      </c>
      <c r="F408" s="12" t="n">
        <f aca="false">MONTH(A408)</f>
        <v>2</v>
      </c>
      <c r="G408" s="12" t="n">
        <v>20.3</v>
      </c>
      <c r="H408" s="12" t="n">
        <v>43.2</v>
      </c>
      <c r="I408" s="12" t="n">
        <v>96</v>
      </c>
      <c r="J408" s="12" t="n">
        <v>0.4</v>
      </c>
      <c r="K408" s="12" t="n">
        <v>0</v>
      </c>
      <c r="L408" s="12" t="s">
        <v>36</v>
      </c>
    </row>
    <row r="409" customFormat="false" ht="15" hidden="false" customHeight="false" outlineLevel="0" collapsed="false">
      <c r="A409" s="11" t="n">
        <v>44604</v>
      </c>
      <c r="B409" s="12" t="n">
        <v>20</v>
      </c>
      <c r="C409" s="12" t="n">
        <f aca="false">IF(NOT(ISNUMBER(B409)),"",ROUND((INDEX(BP!$D$5:$D$9,MATCH(B409,BP!$A$5:$A$9,1))-INDEX(BP!$C$5:$C$9,MATCH(B409,BP!$A$5:$A$9,1)))/(INDEX(BP!$B$5:$B$9,MATCH(B409,BP!$A$5:$A$9,1))-INDEX(BP!$A$5:$A$9,MATCH(B409,BP!$A$5:$A$9,1)))*(B409-INDEX(BP!$A$5:$A$9,MATCH(B409,BP!$A$5:$A$9,1)))+INDEX(BP!$C$5:$C$9,MATCH(B409,BP!$A$5:$A$9,1)),0))</f>
        <v>38</v>
      </c>
      <c r="D409" s="12" t="str">
        <f aca="false">IF(NOT(ISNUMBER(C409)),"",INDEX(BP!$F$5:$F$9,MATCH(C409,BP!$E$5:$E$9,1)))</f>
        <v>ดี</v>
      </c>
      <c r="E409" s="12" t="n">
        <f aca="false">YEAR(A409)</f>
        <v>2022</v>
      </c>
      <c r="F409" s="12" t="n">
        <f aca="false">MONTH(A409)</f>
        <v>2</v>
      </c>
      <c r="G409" s="12" t="n">
        <v>20.5</v>
      </c>
      <c r="H409" s="12" t="n">
        <v>42.8</v>
      </c>
      <c r="I409" s="12" t="n">
        <v>71</v>
      </c>
      <c r="J409" s="12" t="n">
        <v>1</v>
      </c>
      <c r="K409" s="12" t="n">
        <v>0.4</v>
      </c>
      <c r="L409" s="12" t="s">
        <v>35</v>
      </c>
    </row>
    <row r="410" customFormat="false" ht="15" hidden="false" customHeight="false" outlineLevel="0" collapsed="false">
      <c r="A410" s="11" t="n">
        <v>44605</v>
      </c>
      <c r="B410" s="12" t="n">
        <v>15</v>
      </c>
      <c r="C410" s="12" t="n">
        <f aca="false">IF(NOT(ISNUMBER(B410)),"",ROUND((INDEX(BP!$D$5:$D$9,MATCH(B410,BP!$A$5:$A$9,1))-INDEX(BP!$C$5:$C$9,MATCH(B410,BP!$A$5:$A$9,1)))/(INDEX(BP!$B$5:$B$9,MATCH(B410,BP!$A$5:$A$9,1))-INDEX(BP!$A$5:$A$9,MATCH(B410,BP!$A$5:$A$9,1)))*(B410-INDEX(BP!$A$5:$A$9,MATCH(B410,BP!$A$5:$A$9,1)))+INDEX(BP!$C$5:$C$9,MATCH(B410,BP!$A$5:$A$9,1)),0))</f>
        <v>25</v>
      </c>
      <c r="D410" s="12" t="str">
        <f aca="false">IF(NOT(ISNUMBER(C410)),"",INDEX(BP!$F$5:$F$9,MATCH(C410,BP!$E$5:$E$9,1)))</f>
        <v>ดีมาก</v>
      </c>
      <c r="E410" s="12" t="n">
        <f aca="false">YEAR(A410)</f>
        <v>2022</v>
      </c>
      <c r="F410" s="12" t="n">
        <f aca="false">MONTH(A410)</f>
        <v>2</v>
      </c>
      <c r="G410" s="12" t="n">
        <v>21.7</v>
      </c>
      <c r="H410" s="12" t="n">
        <v>46.1</v>
      </c>
      <c r="I410" s="12" t="n">
        <v>82</v>
      </c>
      <c r="J410" s="12" t="n">
        <v>1.3</v>
      </c>
      <c r="K410" s="12" t="n">
        <v>0</v>
      </c>
      <c r="L410" s="12" t="s">
        <v>35</v>
      </c>
    </row>
    <row r="411" customFormat="false" ht="15" hidden="false" customHeight="false" outlineLevel="0" collapsed="false">
      <c r="A411" s="11" t="n">
        <v>44606</v>
      </c>
      <c r="B411" s="12" t="n">
        <v>8</v>
      </c>
      <c r="C411" s="12" t="n">
        <f aca="false">IF(NOT(ISNUMBER(B411)),"",ROUND((INDEX(BP!$D$5:$D$9,MATCH(B411,BP!$A$5:$A$9,1))-INDEX(BP!$C$5:$C$9,MATCH(B411,BP!$A$5:$A$9,1)))/(INDEX(BP!$B$5:$B$9,MATCH(B411,BP!$A$5:$A$9,1))-INDEX(BP!$A$5:$A$9,MATCH(B411,BP!$A$5:$A$9,1)))*(B411-INDEX(BP!$A$5:$A$9,MATCH(B411,BP!$A$5:$A$9,1)))+INDEX(BP!$C$5:$C$9,MATCH(B411,BP!$A$5:$A$9,1)),0))</f>
        <v>13</v>
      </c>
      <c r="D411" s="12" t="str">
        <f aca="false">IF(NOT(ISNUMBER(C411)),"",INDEX(BP!$F$5:$F$9,MATCH(C411,BP!$E$5:$E$9,1)))</f>
        <v>ดีมาก</v>
      </c>
      <c r="E411" s="12" t="n">
        <f aca="false">YEAR(A411)</f>
        <v>2022</v>
      </c>
      <c r="F411" s="12" t="n">
        <f aca="false">MONTH(A411)</f>
        <v>2</v>
      </c>
      <c r="G411" s="12" t="n">
        <v>22</v>
      </c>
      <c r="H411" s="12" t="n">
        <v>45.7</v>
      </c>
      <c r="I411" s="12" t="n">
        <v>101</v>
      </c>
      <c r="J411" s="12" t="n">
        <v>4.6</v>
      </c>
      <c r="K411" s="12" t="n">
        <v>3.4</v>
      </c>
      <c r="L411" s="12" t="s">
        <v>36</v>
      </c>
    </row>
    <row r="412" customFormat="false" ht="15" hidden="false" customHeight="false" outlineLevel="0" collapsed="false">
      <c r="A412" s="11" t="n">
        <v>44607</v>
      </c>
      <c r="B412" s="12" t="n">
        <v>10</v>
      </c>
      <c r="C412" s="12" t="n">
        <f aca="false">IF(NOT(ISNUMBER(B412)),"",ROUND((INDEX(BP!$D$5:$D$9,MATCH(B412,BP!$A$5:$A$9,1))-INDEX(BP!$C$5:$C$9,MATCH(B412,BP!$A$5:$A$9,1)))/(INDEX(BP!$B$5:$B$9,MATCH(B412,BP!$A$5:$A$9,1))-INDEX(BP!$A$5:$A$9,MATCH(B412,BP!$A$5:$A$9,1)))*(B412-INDEX(BP!$A$5:$A$9,MATCH(B412,BP!$A$5:$A$9,1)))+INDEX(BP!$C$5:$C$9,MATCH(B412,BP!$A$5:$A$9,1)),0))</f>
        <v>17</v>
      </c>
      <c r="D412" s="12" t="str">
        <f aca="false">IF(NOT(ISNUMBER(C412)),"",INDEX(BP!$F$5:$F$9,MATCH(C412,BP!$E$5:$E$9,1)))</f>
        <v>ดีมาก</v>
      </c>
      <c r="E412" s="12" t="n">
        <f aca="false">YEAR(A412)</f>
        <v>2022</v>
      </c>
      <c r="F412" s="12" t="n">
        <f aca="false">MONTH(A412)</f>
        <v>2</v>
      </c>
      <c r="G412" s="12" t="n">
        <v>20.9</v>
      </c>
      <c r="H412" s="12" t="n">
        <v>42.1</v>
      </c>
      <c r="I412" s="12" t="n">
        <v>106</v>
      </c>
      <c r="J412" s="12" t="n">
        <v>23</v>
      </c>
      <c r="K412" s="12" t="n">
        <v>0.4</v>
      </c>
      <c r="L412" s="12" t="s">
        <v>36</v>
      </c>
    </row>
    <row r="413" customFormat="false" ht="15" hidden="false" customHeight="false" outlineLevel="0" collapsed="false">
      <c r="A413" s="11" t="n">
        <v>44608</v>
      </c>
      <c r="B413" s="12" t="n">
        <v>12</v>
      </c>
      <c r="C413" s="12" t="n">
        <f aca="false">IF(NOT(ISNUMBER(B413)),"",ROUND((INDEX(BP!$D$5:$D$9,MATCH(B413,BP!$A$5:$A$9,1))-INDEX(BP!$C$5:$C$9,MATCH(B413,BP!$A$5:$A$9,1)))/(INDEX(BP!$B$5:$B$9,MATCH(B413,BP!$A$5:$A$9,1))-INDEX(BP!$A$5:$A$9,MATCH(B413,BP!$A$5:$A$9,1)))*(B413-INDEX(BP!$A$5:$A$9,MATCH(B413,BP!$A$5:$A$9,1)))+INDEX(BP!$C$5:$C$9,MATCH(B413,BP!$A$5:$A$9,1)),0))</f>
        <v>20</v>
      </c>
      <c r="D413" s="12" t="str">
        <f aca="false">IF(NOT(ISNUMBER(C413)),"",INDEX(BP!$F$5:$F$9,MATCH(C413,BP!$E$5:$E$9,1)))</f>
        <v>ดีมาก</v>
      </c>
      <c r="E413" s="12" t="n">
        <f aca="false">YEAR(A413)</f>
        <v>2022</v>
      </c>
      <c r="F413" s="12" t="n">
        <f aca="false">MONTH(A413)</f>
        <v>2</v>
      </c>
      <c r="G413" s="12" t="n">
        <v>17.3</v>
      </c>
      <c r="H413" s="12" t="n">
        <v>37.4</v>
      </c>
      <c r="I413" s="12" t="n">
        <v>104</v>
      </c>
      <c r="J413" s="12" t="n">
        <v>19.7</v>
      </c>
      <c r="K413" s="12" t="n">
        <v>19.6</v>
      </c>
      <c r="L413" s="12" t="s">
        <v>34</v>
      </c>
    </row>
    <row r="414" customFormat="false" ht="15" hidden="false" customHeight="false" outlineLevel="0" collapsed="false">
      <c r="A414" s="11" t="n">
        <v>44609</v>
      </c>
      <c r="B414" s="12" t="n">
        <v>12</v>
      </c>
      <c r="C414" s="12" t="n">
        <f aca="false">IF(NOT(ISNUMBER(B414)),"",ROUND((INDEX(BP!$D$5:$D$9,MATCH(B414,BP!$A$5:$A$9,1))-INDEX(BP!$C$5:$C$9,MATCH(B414,BP!$A$5:$A$9,1)))/(INDEX(BP!$B$5:$B$9,MATCH(B414,BP!$A$5:$A$9,1))-INDEX(BP!$A$5:$A$9,MATCH(B414,BP!$A$5:$A$9,1)))*(B414-INDEX(BP!$A$5:$A$9,MATCH(B414,BP!$A$5:$A$9,1)))+INDEX(BP!$C$5:$C$9,MATCH(B414,BP!$A$5:$A$9,1)),0))</f>
        <v>20</v>
      </c>
      <c r="D414" s="12" t="str">
        <f aca="false">IF(NOT(ISNUMBER(C414)),"",INDEX(BP!$F$5:$F$9,MATCH(C414,BP!$E$5:$E$9,1)))</f>
        <v>ดีมาก</v>
      </c>
      <c r="E414" s="12" t="n">
        <f aca="false">YEAR(A414)</f>
        <v>2022</v>
      </c>
      <c r="F414" s="12" t="n">
        <f aca="false">MONTH(A414)</f>
        <v>2</v>
      </c>
      <c r="G414" s="12" t="n">
        <v>17.8</v>
      </c>
      <c r="H414" s="12" t="n">
        <v>33.1</v>
      </c>
      <c r="I414" s="12" t="n">
        <v>106</v>
      </c>
      <c r="J414" s="12" t="n">
        <v>0.2</v>
      </c>
      <c r="K414" s="12" t="n">
        <v>0.2</v>
      </c>
      <c r="L414" s="12" t="s">
        <v>36</v>
      </c>
    </row>
    <row r="415" customFormat="false" ht="15" hidden="false" customHeight="false" outlineLevel="0" collapsed="false">
      <c r="A415" s="11" t="n">
        <v>44610</v>
      </c>
      <c r="B415" s="12" t="n">
        <v>11</v>
      </c>
      <c r="C415" s="12" t="n">
        <f aca="false">IF(NOT(ISNUMBER(B415)),"",ROUND((INDEX(BP!$D$5:$D$9,MATCH(B415,BP!$A$5:$A$9,1))-INDEX(BP!$C$5:$C$9,MATCH(B415,BP!$A$5:$A$9,1)))/(INDEX(BP!$B$5:$B$9,MATCH(B415,BP!$A$5:$A$9,1))-INDEX(BP!$A$5:$A$9,MATCH(B415,BP!$A$5:$A$9,1)))*(B415-INDEX(BP!$A$5:$A$9,MATCH(B415,BP!$A$5:$A$9,1)))+INDEX(BP!$C$5:$C$9,MATCH(B415,BP!$A$5:$A$9,1)),0))</f>
        <v>18</v>
      </c>
      <c r="D415" s="12" t="str">
        <f aca="false">IF(NOT(ISNUMBER(C415)),"",INDEX(BP!$F$5:$F$9,MATCH(C415,BP!$E$5:$E$9,1)))</f>
        <v>ดีมาก</v>
      </c>
      <c r="E415" s="12" t="n">
        <f aca="false">YEAR(A415)</f>
        <v>2022</v>
      </c>
      <c r="F415" s="12" t="n">
        <f aca="false">MONTH(A415)</f>
        <v>2</v>
      </c>
      <c r="G415" s="12" t="n">
        <v>18.1</v>
      </c>
      <c r="H415" s="12" t="n">
        <v>37.4</v>
      </c>
      <c r="I415" s="12" t="n">
        <v>102</v>
      </c>
      <c r="J415" s="12" t="n">
        <v>5.7</v>
      </c>
      <c r="K415" s="12" t="n">
        <v>0</v>
      </c>
      <c r="L415" s="12" t="s">
        <v>36</v>
      </c>
    </row>
    <row r="416" customFormat="false" ht="15" hidden="false" customHeight="false" outlineLevel="0" collapsed="false">
      <c r="A416" s="11" t="n">
        <v>44611</v>
      </c>
      <c r="B416" s="12" t="n">
        <v>13</v>
      </c>
      <c r="C416" s="12" t="n">
        <f aca="false">IF(NOT(ISNUMBER(B416)),"",ROUND((INDEX(BP!$D$5:$D$9,MATCH(B416,BP!$A$5:$A$9,1))-INDEX(BP!$C$5:$C$9,MATCH(B416,BP!$A$5:$A$9,1)))/(INDEX(BP!$B$5:$B$9,MATCH(B416,BP!$A$5:$A$9,1))-INDEX(BP!$A$5:$A$9,MATCH(B416,BP!$A$5:$A$9,1)))*(B416-INDEX(BP!$A$5:$A$9,MATCH(B416,BP!$A$5:$A$9,1)))+INDEX(BP!$C$5:$C$9,MATCH(B416,BP!$A$5:$A$9,1)),0))</f>
        <v>22</v>
      </c>
      <c r="D416" s="12" t="str">
        <f aca="false">IF(NOT(ISNUMBER(C416)),"",INDEX(BP!$F$5:$F$9,MATCH(C416,BP!$E$5:$E$9,1)))</f>
        <v>ดีมาก</v>
      </c>
      <c r="E416" s="12" t="n">
        <f aca="false">YEAR(A416)</f>
        <v>2022</v>
      </c>
      <c r="F416" s="12" t="n">
        <f aca="false">MONTH(A416)</f>
        <v>2</v>
      </c>
      <c r="G416" s="12" t="n">
        <v>13.6</v>
      </c>
      <c r="H416" s="12" t="n">
        <v>25.6</v>
      </c>
      <c r="I416" s="12" t="n">
        <v>95</v>
      </c>
      <c r="J416" s="12" t="n">
        <v>0.9</v>
      </c>
      <c r="K416" s="12" t="n">
        <v>0</v>
      </c>
      <c r="L416" s="12" t="s">
        <v>35</v>
      </c>
    </row>
    <row r="417" customFormat="false" ht="15" hidden="false" customHeight="false" outlineLevel="0" collapsed="false">
      <c r="A417" s="11" t="n">
        <v>44612</v>
      </c>
      <c r="B417" s="12" t="n">
        <v>16</v>
      </c>
      <c r="C417" s="12" t="n">
        <f aca="false">IF(NOT(ISNUMBER(B417)),"",ROUND((INDEX(BP!$D$5:$D$9,MATCH(B417,BP!$A$5:$A$9,1))-INDEX(BP!$C$5:$C$9,MATCH(B417,BP!$A$5:$A$9,1)))/(INDEX(BP!$B$5:$B$9,MATCH(B417,BP!$A$5:$A$9,1))-INDEX(BP!$A$5:$A$9,MATCH(B417,BP!$A$5:$A$9,1)))*(B417-INDEX(BP!$A$5:$A$9,MATCH(B417,BP!$A$5:$A$9,1)))+INDEX(BP!$C$5:$C$9,MATCH(B417,BP!$A$5:$A$9,1)),0))</f>
        <v>28</v>
      </c>
      <c r="D417" s="12" t="str">
        <f aca="false">IF(NOT(ISNUMBER(C417)),"",INDEX(BP!$F$5:$F$9,MATCH(C417,BP!$E$5:$E$9,1)))</f>
        <v>ดี</v>
      </c>
      <c r="E417" s="12" t="n">
        <f aca="false">YEAR(A417)</f>
        <v>2022</v>
      </c>
      <c r="F417" s="12" t="n">
        <f aca="false">MONTH(A417)</f>
        <v>2</v>
      </c>
      <c r="G417" s="12" t="n">
        <v>9.7</v>
      </c>
      <c r="H417" s="12" t="n">
        <v>24.5</v>
      </c>
      <c r="I417" s="12" t="n">
        <v>81</v>
      </c>
      <c r="J417" s="12" t="n">
        <v>1</v>
      </c>
      <c r="K417" s="12" t="n">
        <v>27.4</v>
      </c>
      <c r="L417" s="12" t="s">
        <v>35</v>
      </c>
    </row>
    <row r="418" customFormat="false" ht="15" hidden="false" customHeight="false" outlineLevel="0" collapsed="false">
      <c r="A418" s="11" t="n">
        <v>44613</v>
      </c>
      <c r="B418" s="12" t="n">
        <v>16</v>
      </c>
      <c r="C418" s="12" t="n">
        <f aca="false">IF(NOT(ISNUMBER(B418)),"",ROUND((INDEX(BP!$D$5:$D$9,MATCH(B418,BP!$A$5:$A$9,1))-INDEX(BP!$C$5:$C$9,MATCH(B418,BP!$A$5:$A$9,1)))/(INDEX(BP!$B$5:$B$9,MATCH(B418,BP!$A$5:$A$9,1))-INDEX(BP!$A$5:$A$9,MATCH(B418,BP!$A$5:$A$9,1)))*(B418-INDEX(BP!$A$5:$A$9,MATCH(B418,BP!$A$5:$A$9,1)))+INDEX(BP!$C$5:$C$9,MATCH(B418,BP!$A$5:$A$9,1)),0))</f>
        <v>28</v>
      </c>
      <c r="D418" s="12" t="str">
        <f aca="false">IF(NOT(ISNUMBER(C418)),"",INDEX(BP!$F$5:$F$9,MATCH(C418,BP!$E$5:$E$9,1)))</f>
        <v>ดี</v>
      </c>
      <c r="E418" s="12" t="n">
        <f aca="false">YEAR(A418)</f>
        <v>2022</v>
      </c>
      <c r="F418" s="12" t="n">
        <f aca="false">MONTH(A418)</f>
        <v>2</v>
      </c>
      <c r="G418" s="12" t="n">
        <v>15.5</v>
      </c>
      <c r="H418" s="12" t="n">
        <v>31.7</v>
      </c>
      <c r="I418" s="12" t="n">
        <v>79</v>
      </c>
      <c r="J418" s="12" t="n">
        <v>0.8</v>
      </c>
      <c r="K418" s="12" t="n">
        <v>0</v>
      </c>
      <c r="L418" s="12" t="s">
        <v>36</v>
      </c>
    </row>
    <row r="419" customFormat="false" ht="15" hidden="false" customHeight="false" outlineLevel="0" collapsed="false">
      <c r="A419" s="11" t="n">
        <v>44614</v>
      </c>
      <c r="B419" s="12" t="n">
        <v>12</v>
      </c>
      <c r="C419" s="12" t="n">
        <f aca="false">IF(NOT(ISNUMBER(B419)),"",ROUND((INDEX(BP!$D$5:$D$9,MATCH(B419,BP!$A$5:$A$9,1))-INDEX(BP!$C$5:$C$9,MATCH(B419,BP!$A$5:$A$9,1)))/(INDEX(BP!$B$5:$B$9,MATCH(B419,BP!$A$5:$A$9,1))-INDEX(BP!$A$5:$A$9,MATCH(B419,BP!$A$5:$A$9,1)))*(B419-INDEX(BP!$A$5:$A$9,MATCH(B419,BP!$A$5:$A$9,1)))+INDEX(BP!$C$5:$C$9,MATCH(B419,BP!$A$5:$A$9,1)),0))</f>
        <v>20</v>
      </c>
      <c r="D419" s="12" t="str">
        <f aca="false">IF(NOT(ISNUMBER(C419)),"",INDEX(BP!$F$5:$F$9,MATCH(C419,BP!$E$5:$E$9,1)))</f>
        <v>ดีมาก</v>
      </c>
      <c r="E419" s="12" t="n">
        <f aca="false">YEAR(A419)</f>
        <v>2022</v>
      </c>
      <c r="F419" s="12" t="n">
        <f aca="false">MONTH(A419)</f>
        <v>2</v>
      </c>
      <c r="G419" s="12" t="n">
        <v>21.1</v>
      </c>
      <c r="H419" s="12" t="n">
        <v>43.2</v>
      </c>
      <c r="I419" s="12" t="n">
        <v>90</v>
      </c>
      <c r="J419" s="12" t="n">
        <v>1.1</v>
      </c>
      <c r="K419" s="12" t="n">
        <v>0</v>
      </c>
      <c r="L419" s="12" t="s">
        <v>36</v>
      </c>
    </row>
    <row r="420" customFormat="false" ht="15" hidden="false" customHeight="false" outlineLevel="0" collapsed="false">
      <c r="A420" s="11" t="n">
        <v>44615</v>
      </c>
      <c r="B420" s="12" t="n">
        <v>11</v>
      </c>
      <c r="C420" s="12" t="n">
        <f aca="false">IF(NOT(ISNUMBER(B420)),"",ROUND((INDEX(BP!$D$5:$D$9,MATCH(B420,BP!$A$5:$A$9,1))-INDEX(BP!$C$5:$C$9,MATCH(B420,BP!$A$5:$A$9,1)))/(INDEX(BP!$B$5:$B$9,MATCH(B420,BP!$A$5:$A$9,1))-INDEX(BP!$A$5:$A$9,MATCH(B420,BP!$A$5:$A$9,1)))*(B420-INDEX(BP!$A$5:$A$9,MATCH(B420,BP!$A$5:$A$9,1)))+INDEX(BP!$C$5:$C$9,MATCH(B420,BP!$A$5:$A$9,1)),0))</f>
        <v>18</v>
      </c>
      <c r="D420" s="12" t="str">
        <f aca="false">IF(NOT(ISNUMBER(C420)),"",INDEX(BP!$F$5:$F$9,MATCH(C420,BP!$E$5:$E$9,1)))</f>
        <v>ดีมาก</v>
      </c>
      <c r="E420" s="12" t="n">
        <f aca="false">YEAR(A420)</f>
        <v>2022</v>
      </c>
      <c r="F420" s="12" t="n">
        <f aca="false">MONTH(A420)</f>
        <v>2</v>
      </c>
      <c r="G420" s="12" t="n">
        <v>25</v>
      </c>
      <c r="H420" s="12" t="n">
        <v>50.4</v>
      </c>
      <c r="I420" s="12" t="n">
        <v>89</v>
      </c>
      <c r="J420" s="12" t="n">
        <v>2.4</v>
      </c>
      <c r="K420" s="12" t="n">
        <v>12.8</v>
      </c>
      <c r="L420" s="12" t="s">
        <v>36</v>
      </c>
    </row>
    <row r="421" customFormat="false" ht="15" hidden="false" customHeight="false" outlineLevel="0" collapsed="false">
      <c r="A421" s="11" t="n">
        <v>44616</v>
      </c>
      <c r="B421" s="12" t="n">
        <v>12</v>
      </c>
      <c r="C421" s="12" t="n">
        <f aca="false">IF(NOT(ISNUMBER(B421)),"",ROUND((INDEX(BP!$D$5:$D$9,MATCH(B421,BP!$A$5:$A$9,1))-INDEX(BP!$C$5:$C$9,MATCH(B421,BP!$A$5:$A$9,1)))/(INDEX(BP!$B$5:$B$9,MATCH(B421,BP!$A$5:$A$9,1))-INDEX(BP!$A$5:$A$9,MATCH(B421,BP!$A$5:$A$9,1)))*(B421-INDEX(BP!$A$5:$A$9,MATCH(B421,BP!$A$5:$A$9,1)))+INDEX(BP!$C$5:$C$9,MATCH(B421,BP!$A$5:$A$9,1)),0))</f>
        <v>20</v>
      </c>
      <c r="D421" s="12" t="str">
        <f aca="false">IF(NOT(ISNUMBER(C421)),"",INDEX(BP!$F$5:$F$9,MATCH(C421,BP!$E$5:$E$9,1)))</f>
        <v>ดีมาก</v>
      </c>
      <c r="E421" s="12" t="n">
        <f aca="false">YEAR(A421)</f>
        <v>2022</v>
      </c>
      <c r="F421" s="12" t="n">
        <f aca="false">MONTH(A421)</f>
        <v>2</v>
      </c>
      <c r="G421" s="12" t="n">
        <v>16.6</v>
      </c>
      <c r="H421" s="12" t="n">
        <v>35.6</v>
      </c>
      <c r="I421" s="12" t="n">
        <v>64</v>
      </c>
      <c r="J421" s="12" t="n">
        <v>12.3</v>
      </c>
      <c r="K421" s="12" t="n">
        <v>33.2</v>
      </c>
      <c r="L421" s="12" t="s">
        <v>36</v>
      </c>
    </row>
    <row r="422" customFormat="false" ht="15" hidden="false" customHeight="false" outlineLevel="0" collapsed="false">
      <c r="A422" s="11" t="n">
        <v>44617</v>
      </c>
      <c r="B422" s="12" t="n">
        <v>11</v>
      </c>
      <c r="C422" s="12" t="n">
        <f aca="false">IF(NOT(ISNUMBER(B422)),"",ROUND((INDEX(BP!$D$5:$D$9,MATCH(B422,BP!$A$5:$A$9,1))-INDEX(BP!$C$5:$C$9,MATCH(B422,BP!$A$5:$A$9,1)))/(INDEX(BP!$B$5:$B$9,MATCH(B422,BP!$A$5:$A$9,1))-INDEX(BP!$A$5:$A$9,MATCH(B422,BP!$A$5:$A$9,1)))*(B422-INDEX(BP!$A$5:$A$9,MATCH(B422,BP!$A$5:$A$9,1)))+INDEX(BP!$C$5:$C$9,MATCH(B422,BP!$A$5:$A$9,1)),0))</f>
        <v>18</v>
      </c>
      <c r="D422" s="12" t="str">
        <f aca="false">IF(NOT(ISNUMBER(C422)),"",INDEX(BP!$F$5:$F$9,MATCH(C422,BP!$E$5:$E$9,1)))</f>
        <v>ดีมาก</v>
      </c>
      <c r="E422" s="12" t="n">
        <f aca="false">YEAR(A422)</f>
        <v>2022</v>
      </c>
      <c r="F422" s="12" t="n">
        <f aca="false">MONTH(A422)</f>
        <v>2</v>
      </c>
      <c r="G422" s="12" t="n">
        <v>23.2</v>
      </c>
      <c r="H422" s="12" t="n">
        <v>46.8</v>
      </c>
      <c r="I422" s="12" t="n">
        <v>69</v>
      </c>
      <c r="J422" s="12" t="n">
        <v>51.1</v>
      </c>
      <c r="K422" s="12" t="n">
        <v>77.8</v>
      </c>
      <c r="L422" s="12" t="s">
        <v>36</v>
      </c>
    </row>
    <row r="423" customFormat="false" ht="15" hidden="false" customHeight="false" outlineLevel="0" collapsed="false">
      <c r="A423" s="11" t="n">
        <v>44618</v>
      </c>
      <c r="B423" s="12" t="n">
        <v>12</v>
      </c>
      <c r="C423" s="12" t="n">
        <f aca="false">IF(NOT(ISNUMBER(B423)),"",ROUND((INDEX(BP!$D$5:$D$9,MATCH(B423,BP!$A$5:$A$9,1))-INDEX(BP!$C$5:$C$9,MATCH(B423,BP!$A$5:$A$9,1)))/(INDEX(BP!$B$5:$B$9,MATCH(B423,BP!$A$5:$A$9,1))-INDEX(BP!$A$5:$A$9,MATCH(B423,BP!$A$5:$A$9,1)))*(B423-INDEX(BP!$A$5:$A$9,MATCH(B423,BP!$A$5:$A$9,1)))+INDEX(BP!$C$5:$C$9,MATCH(B423,BP!$A$5:$A$9,1)),0))</f>
        <v>20</v>
      </c>
      <c r="D423" s="12" t="str">
        <f aca="false">IF(NOT(ISNUMBER(C423)),"",INDEX(BP!$F$5:$F$9,MATCH(C423,BP!$E$5:$E$9,1)))</f>
        <v>ดีมาก</v>
      </c>
      <c r="E423" s="12" t="n">
        <f aca="false">YEAR(A423)</f>
        <v>2022</v>
      </c>
      <c r="F423" s="12" t="n">
        <f aca="false">MONTH(A423)</f>
        <v>2</v>
      </c>
      <c r="G423" s="12" t="n">
        <v>30.1</v>
      </c>
      <c r="H423" s="12" t="n">
        <v>56.5</v>
      </c>
      <c r="I423" s="12" t="n">
        <v>71</v>
      </c>
      <c r="J423" s="12" t="n">
        <v>51.8</v>
      </c>
      <c r="K423" s="12" t="n">
        <v>48.2</v>
      </c>
      <c r="L423" s="12" t="s">
        <v>35</v>
      </c>
    </row>
    <row r="424" customFormat="false" ht="15" hidden="false" customHeight="false" outlineLevel="0" collapsed="false">
      <c r="A424" s="11" t="n">
        <v>44619</v>
      </c>
      <c r="B424" s="12" t="n">
        <v>13</v>
      </c>
      <c r="C424" s="12" t="n">
        <f aca="false">IF(NOT(ISNUMBER(B424)),"",ROUND((INDEX(BP!$D$5:$D$9,MATCH(B424,BP!$A$5:$A$9,1))-INDEX(BP!$C$5:$C$9,MATCH(B424,BP!$A$5:$A$9,1)))/(INDEX(BP!$B$5:$B$9,MATCH(B424,BP!$A$5:$A$9,1))-INDEX(BP!$A$5:$A$9,MATCH(B424,BP!$A$5:$A$9,1)))*(B424-INDEX(BP!$A$5:$A$9,MATCH(B424,BP!$A$5:$A$9,1)))+INDEX(BP!$C$5:$C$9,MATCH(B424,BP!$A$5:$A$9,1)),0))</f>
        <v>22</v>
      </c>
      <c r="D424" s="12" t="str">
        <f aca="false">IF(NOT(ISNUMBER(C424)),"",INDEX(BP!$F$5:$F$9,MATCH(C424,BP!$E$5:$E$9,1)))</f>
        <v>ดีมาก</v>
      </c>
      <c r="E424" s="12" t="n">
        <f aca="false">YEAR(A424)</f>
        <v>2022</v>
      </c>
      <c r="F424" s="12" t="n">
        <f aca="false">MONTH(A424)</f>
        <v>2</v>
      </c>
      <c r="G424" s="12" t="n">
        <v>30.2</v>
      </c>
      <c r="H424" s="12" t="n">
        <v>60.1</v>
      </c>
      <c r="I424" s="12" t="n">
        <v>97</v>
      </c>
      <c r="J424" s="12" t="n">
        <v>24.6</v>
      </c>
      <c r="K424" s="12" t="n">
        <v>2.4</v>
      </c>
      <c r="L424" s="12" t="s">
        <v>35</v>
      </c>
    </row>
    <row r="425" customFormat="false" ht="15" hidden="false" customHeight="false" outlineLevel="0" collapsed="false">
      <c r="A425" s="11" t="n">
        <v>44620</v>
      </c>
      <c r="B425" s="12" t="n">
        <v>12</v>
      </c>
      <c r="C425" s="12" t="n">
        <f aca="false">IF(NOT(ISNUMBER(B425)),"",ROUND((INDEX(BP!$D$5:$D$9,MATCH(B425,BP!$A$5:$A$9,1))-INDEX(BP!$C$5:$C$9,MATCH(B425,BP!$A$5:$A$9,1)))/(INDEX(BP!$B$5:$B$9,MATCH(B425,BP!$A$5:$A$9,1))-INDEX(BP!$A$5:$A$9,MATCH(B425,BP!$A$5:$A$9,1)))*(B425-INDEX(BP!$A$5:$A$9,MATCH(B425,BP!$A$5:$A$9,1)))+INDEX(BP!$C$5:$C$9,MATCH(B425,BP!$A$5:$A$9,1)),0))</f>
        <v>20</v>
      </c>
      <c r="D425" s="12" t="str">
        <f aca="false">IF(NOT(ISNUMBER(C425)),"",INDEX(BP!$F$5:$F$9,MATCH(C425,BP!$E$5:$E$9,1)))</f>
        <v>ดีมาก</v>
      </c>
      <c r="E425" s="12" t="n">
        <f aca="false">YEAR(A425)</f>
        <v>2022</v>
      </c>
      <c r="F425" s="12" t="n">
        <f aca="false">MONTH(A425)</f>
        <v>2</v>
      </c>
      <c r="G425" s="12" t="n">
        <v>24.9</v>
      </c>
      <c r="H425" s="12" t="n">
        <v>49</v>
      </c>
      <c r="I425" s="12" t="n">
        <v>96</v>
      </c>
      <c r="J425" s="12" t="n">
        <v>0.4</v>
      </c>
      <c r="K425" s="12" t="n">
        <v>0</v>
      </c>
      <c r="L425" s="12" t="s">
        <v>36</v>
      </c>
    </row>
    <row r="426" customFormat="false" ht="15" hidden="false" customHeight="false" outlineLevel="0" collapsed="false">
      <c r="A426" s="11" t="n">
        <v>44621</v>
      </c>
      <c r="B426" s="12" t="n">
        <v>13</v>
      </c>
      <c r="C426" s="12" t="n">
        <f aca="false">IF(NOT(ISNUMBER(B426)),"",ROUND((INDEX(BP!$D$5:$D$9,MATCH(B426,BP!$A$5:$A$9,1))-INDEX(BP!$C$5:$C$9,MATCH(B426,BP!$A$5:$A$9,1)))/(INDEX(BP!$B$5:$B$9,MATCH(B426,BP!$A$5:$A$9,1))-INDEX(BP!$A$5:$A$9,MATCH(B426,BP!$A$5:$A$9,1)))*(B426-INDEX(BP!$A$5:$A$9,MATCH(B426,BP!$A$5:$A$9,1)))+INDEX(BP!$C$5:$C$9,MATCH(B426,BP!$A$5:$A$9,1)),0))</f>
        <v>22</v>
      </c>
      <c r="D426" s="12" t="str">
        <f aca="false">IF(NOT(ISNUMBER(C426)),"",INDEX(BP!$F$5:$F$9,MATCH(C426,BP!$E$5:$E$9,1)))</f>
        <v>ดีมาก</v>
      </c>
      <c r="E426" s="12" t="n">
        <f aca="false">YEAR(A426)</f>
        <v>2022</v>
      </c>
      <c r="F426" s="12" t="n">
        <f aca="false">MONTH(A426)</f>
        <v>3</v>
      </c>
      <c r="G426" s="12" t="n">
        <v>20.5</v>
      </c>
      <c r="H426" s="12" t="n">
        <v>42.1</v>
      </c>
      <c r="I426" s="12" t="n">
        <v>100</v>
      </c>
      <c r="J426" s="12" t="n">
        <v>1.2</v>
      </c>
      <c r="K426" s="12" t="n">
        <v>0</v>
      </c>
      <c r="L426" s="12" t="s">
        <v>36</v>
      </c>
    </row>
    <row r="427" customFormat="false" ht="15" hidden="false" customHeight="false" outlineLevel="0" collapsed="false">
      <c r="A427" s="11" t="n">
        <v>44622</v>
      </c>
      <c r="B427" s="12" t="n">
        <v>13</v>
      </c>
      <c r="C427" s="12" t="n">
        <f aca="false">IF(NOT(ISNUMBER(B427)),"",ROUND((INDEX(BP!$D$5:$D$9,MATCH(B427,BP!$A$5:$A$9,1))-INDEX(BP!$C$5:$C$9,MATCH(B427,BP!$A$5:$A$9,1)))/(INDEX(BP!$B$5:$B$9,MATCH(B427,BP!$A$5:$A$9,1))-INDEX(BP!$A$5:$A$9,MATCH(B427,BP!$A$5:$A$9,1)))*(B427-INDEX(BP!$A$5:$A$9,MATCH(B427,BP!$A$5:$A$9,1)))+INDEX(BP!$C$5:$C$9,MATCH(B427,BP!$A$5:$A$9,1)),0))</f>
        <v>22</v>
      </c>
      <c r="D427" s="12" t="str">
        <f aca="false">IF(NOT(ISNUMBER(C427)),"",INDEX(BP!$F$5:$F$9,MATCH(C427,BP!$E$5:$E$9,1)))</f>
        <v>ดีมาก</v>
      </c>
      <c r="E427" s="12" t="n">
        <f aca="false">YEAR(A427)</f>
        <v>2022</v>
      </c>
      <c r="F427" s="12" t="n">
        <f aca="false">MONTH(A427)</f>
        <v>3</v>
      </c>
      <c r="G427" s="12" t="n">
        <v>17.2</v>
      </c>
      <c r="H427" s="12" t="n">
        <v>37.4</v>
      </c>
      <c r="I427" s="12" t="n">
        <v>91</v>
      </c>
      <c r="J427" s="12" t="n">
        <v>0.3</v>
      </c>
      <c r="K427" s="12" t="n">
        <v>0</v>
      </c>
      <c r="L427" s="12" t="s">
        <v>36</v>
      </c>
    </row>
    <row r="428" customFormat="false" ht="15" hidden="false" customHeight="false" outlineLevel="0" collapsed="false">
      <c r="A428" s="11" t="n">
        <v>44623</v>
      </c>
      <c r="B428" s="12" t="n">
        <v>13</v>
      </c>
      <c r="C428" s="12" t="n">
        <f aca="false">IF(NOT(ISNUMBER(B428)),"",ROUND((INDEX(BP!$D$5:$D$9,MATCH(B428,BP!$A$5:$A$9,1))-INDEX(BP!$C$5:$C$9,MATCH(B428,BP!$A$5:$A$9,1)))/(INDEX(BP!$B$5:$B$9,MATCH(B428,BP!$A$5:$A$9,1))-INDEX(BP!$A$5:$A$9,MATCH(B428,BP!$A$5:$A$9,1)))*(B428-INDEX(BP!$A$5:$A$9,MATCH(B428,BP!$A$5:$A$9,1)))+INDEX(BP!$C$5:$C$9,MATCH(B428,BP!$A$5:$A$9,1)),0))</f>
        <v>22</v>
      </c>
      <c r="D428" s="12" t="str">
        <f aca="false">IF(NOT(ISNUMBER(C428)),"",INDEX(BP!$F$5:$F$9,MATCH(C428,BP!$E$5:$E$9,1)))</f>
        <v>ดีมาก</v>
      </c>
      <c r="E428" s="12" t="n">
        <f aca="false">YEAR(A428)</f>
        <v>2022</v>
      </c>
      <c r="F428" s="12" t="n">
        <f aca="false">MONTH(A428)</f>
        <v>3</v>
      </c>
      <c r="G428" s="12" t="n">
        <v>15.1</v>
      </c>
      <c r="H428" s="12" t="n">
        <v>32</v>
      </c>
      <c r="I428" s="12" t="n">
        <v>91</v>
      </c>
      <c r="J428" s="12" t="n">
        <v>0</v>
      </c>
      <c r="K428" s="12" t="n">
        <v>0</v>
      </c>
      <c r="L428" s="12" t="s">
        <v>36</v>
      </c>
    </row>
    <row r="429" customFormat="false" ht="15" hidden="false" customHeight="false" outlineLevel="0" collapsed="false">
      <c r="A429" s="11" t="n">
        <v>44624</v>
      </c>
      <c r="B429" s="12" t="n">
        <v>13</v>
      </c>
      <c r="C429" s="12" t="n">
        <f aca="false">IF(NOT(ISNUMBER(B429)),"",ROUND((INDEX(BP!$D$5:$D$9,MATCH(B429,BP!$A$5:$A$9,1))-INDEX(BP!$C$5:$C$9,MATCH(B429,BP!$A$5:$A$9,1)))/(INDEX(BP!$B$5:$B$9,MATCH(B429,BP!$A$5:$A$9,1))-INDEX(BP!$A$5:$A$9,MATCH(B429,BP!$A$5:$A$9,1)))*(B429-INDEX(BP!$A$5:$A$9,MATCH(B429,BP!$A$5:$A$9,1)))+INDEX(BP!$C$5:$C$9,MATCH(B429,BP!$A$5:$A$9,1)),0))</f>
        <v>22</v>
      </c>
      <c r="D429" s="12" t="str">
        <f aca="false">IF(NOT(ISNUMBER(C429)),"",INDEX(BP!$F$5:$F$9,MATCH(C429,BP!$E$5:$E$9,1)))</f>
        <v>ดีมาก</v>
      </c>
      <c r="E429" s="12" t="n">
        <f aca="false">YEAR(A429)</f>
        <v>2022</v>
      </c>
      <c r="F429" s="12" t="n">
        <f aca="false">MONTH(A429)</f>
        <v>3</v>
      </c>
      <c r="G429" s="12" t="n">
        <v>18.1</v>
      </c>
      <c r="H429" s="12" t="n">
        <v>41</v>
      </c>
      <c r="I429" s="12" t="n">
        <v>94</v>
      </c>
      <c r="J429" s="12" t="n">
        <v>0.2</v>
      </c>
      <c r="K429" s="12" t="n">
        <v>0</v>
      </c>
      <c r="L429" s="12" t="s">
        <v>36</v>
      </c>
    </row>
    <row r="430" customFormat="false" ht="15" hidden="false" customHeight="false" outlineLevel="0" collapsed="false">
      <c r="A430" s="11" t="n">
        <v>44625</v>
      </c>
      <c r="B430" s="12" t="n">
        <v>14</v>
      </c>
      <c r="C430" s="12" t="n">
        <f aca="false">IF(NOT(ISNUMBER(B430)),"",ROUND((INDEX(BP!$D$5:$D$9,MATCH(B430,BP!$A$5:$A$9,1))-INDEX(BP!$C$5:$C$9,MATCH(B430,BP!$A$5:$A$9,1)))/(INDEX(BP!$B$5:$B$9,MATCH(B430,BP!$A$5:$A$9,1))-INDEX(BP!$A$5:$A$9,MATCH(B430,BP!$A$5:$A$9,1)))*(B430-INDEX(BP!$A$5:$A$9,MATCH(B430,BP!$A$5:$A$9,1)))+INDEX(BP!$C$5:$C$9,MATCH(B430,BP!$A$5:$A$9,1)),0))</f>
        <v>23</v>
      </c>
      <c r="D430" s="12" t="str">
        <f aca="false">IF(NOT(ISNUMBER(C430)),"",INDEX(BP!$F$5:$F$9,MATCH(C430,BP!$E$5:$E$9,1)))</f>
        <v>ดีมาก</v>
      </c>
      <c r="E430" s="12" t="n">
        <f aca="false">YEAR(A430)</f>
        <v>2022</v>
      </c>
      <c r="F430" s="12" t="n">
        <f aca="false">MONTH(A430)</f>
        <v>3</v>
      </c>
      <c r="G430" s="12" t="n">
        <v>11.1</v>
      </c>
      <c r="H430" s="12" t="n">
        <v>31.7</v>
      </c>
      <c r="I430" s="12" t="n">
        <v>60</v>
      </c>
      <c r="J430" s="12" t="n">
        <v>8.2</v>
      </c>
      <c r="K430" s="12" t="n">
        <v>2.6</v>
      </c>
      <c r="L430" s="12" t="s">
        <v>35</v>
      </c>
    </row>
    <row r="431" customFormat="false" ht="15" hidden="false" customHeight="false" outlineLevel="0" collapsed="false">
      <c r="A431" s="11" t="n">
        <v>44626</v>
      </c>
      <c r="B431" s="12" t="n">
        <v>14</v>
      </c>
      <c r="C431" s="12" t="n">
        <f aca="false">IF(NOT(ISNUMBER(B431)),"",ROUND((INDEX(BP!$D$5:$D$9,MATCH(B431,BP!$A$5:$A$9,1))-INDEX(BP!$C$5:$C$9,MATCH(B431,BP!$A$5:$A$9,1)))/(INDEX(BP!$B$5:$B$9,MATCH(B431,BP!$A$5:$A$9,1))-INDEX(BP!$A$5:$A$9,MATCH(B431,BP!$A$5:$A$9,1)))*(B431-INDEX(BP!$A$5:$A$9,MATCH(B431,BP!$A$5:$A$9,1)))+INDEX(BP!$C$5:$C$9,MATCH(B431,BP!$A$5:$A$9,1)),0))</f>
        <v>23</v>
      </c>
      <c r="D431" s="12" t="str">
        <f aca="false">IF(NOT(ISNUMBER(C431)),"",INDEX(BP!$F$5:$F$9,MATCH(C431,BP!$E$5:$E$9,1)))</f>
        <v>ดีมาก</v>
      </c>
      <c r="E431" s="12" t="n">
        <f aca="false">YEAR(A431)</f>
        <v>2022</v>
      </c>
      <c r="F431" s="12" t="n">
        <f aca="false">MONTH(A431)</f>
        <v>3</v>
      </c>
      <c r="G431" s="12" t="n">
        <v>18.1</v>
      </c>
      <c r="H431" s="12" t="n">
        <v>37.8</v>
      </c>
      <c r="I431" s="12" t="n">
        <v>94</v>
      </c>
      <c r="J431" s="12" t="n">
        <v>23.5</v>
      </c>
      <c r="K431" s="12" t="n">
        <v>2.2</v>
      </c>
      <c r="L431" s="12" t="s">
        <v>35</v>
      </c>
    </row>
    <row r="432" customFormat="false" ht="15" hidden="false" customHeight="false" outlineLevel="0" collapsed="false">
      <c r="A432" s="11" t="n">
        <v>44627</v>
      </c>
      <c r="B432" s="12" t="n">
        <v>17</v>
      </c>
      <c r="C432" s="12" t="n">
        <f aca="false">IF(NOT(ISNUMBER(B432)),"",ROUND((INDEX(BP!$D$5:$D$9,MATCH(B432,BP!$A$5:$A$9,1))-INDEX(BP!$C$5:$C$9,MATCH(B432,BP!$A$5:$A$9,1)))/(INDEX(BP!$B$5:$B$9,MATCH(B432,BP!$A$5:$A$9,1))-INDEX(BP!$A$5:$A$9,MATCH(B432,BP!$A$5:$A$9,1)))*(B432-INDEX(BP!$A$5:$A$9,MATCH(B432,BP!$A$5:$A$9,1)))+INDEX(BP!$C$5:$C$9,MATCH(B432,BP!$A$5:$A$9,1)),0))</f>
        <v>31</v>
      </c>
      <c r="D432" s="12" t="str">
        <f aca="false">IF(NOT(ISNUMBER(C432)),"",INDEX(BP!$F$5:$F$9,MATCH(C432,BP!$E$5:$E$9,1)))</f>
        <v>ดี</v>
      </c>
      <c r="E432" s="12" t="n">
        <f aca="false">YEAR(A432)</f>
        <v>2022</v>
      </c>
      <c r="F432" s="12" t="n">
        <f aca="false">MONTH(A432)</f>
        <v>3</v>
      </c>
      <c r="G432" s="12" t="n">
        <v>18</v>
      </c>
      <c r="H432" s="12" t="n">
        <v>38.5</v>
      </c>
      <c r="I432" s="12" t="n">
        <v>80</v>
      </c>
      <c r="J432" s="12" t="n">
        <v>4.3</v>
      </c>
      <c r="K432" s="12" t="n">
        <v>0</v>
      </c>
      <c r="L432" s="12" t="s">
        <v>36</v>
      </c>
    </row>
    <row r="433" customFormat="false" ht="15" hidden="false" customHeight="false" outlineLevel="0" collapsed="false">
      <c r="A433" s="11" t="n">
        <v>44628</v>
      </c>
      <c r="B433" s="12" t="n">
        <v>13</v>
      </c>
      <c r="C433" s="12" t="n">
        <f aca="false">IF(NOT(ISNUMBER(B433)),"",ROUND((INDEX(BP!$D$5:$D$9,MATCH(B433,BP!$A$5:$A$9,1))-INDEX(BP!$C$5:$C$9,MATCH(B433,BP!$A$5:$A$9,1)))/(INDEX(BP!$B$5:$B$9,MATCH(B433,BP!$A$5:$A$9,1))-INDEX(BP!$A$5:$A$9,MATCH(B433,BP!$A$5:$A$9,1)))*(B433-INDEX(BP!$A$5:$A$9,MATCH(B433,BP!$A$5:$A$9,1)))+INDEX(BP!$C$5:$C$9,MATCH(B433,BP!$A$5:$A$9,1)),0))</f>
        <v>22</v>
      </c>
      <c r="D433" s="12" t="str">
        <f aca="false">IF(NOT(ISNUMBER(C433)),"",INDEX(BP!$F$5:$F$9,MATCH(C433,BP!$E$5:$E$9,1)))</f>
        <v>ดีมาก</v>
      </c>
      <c r="E433" s="12" t="n">
        <f aca="false">YEAR(A433)</f>
        <v>2022</v>
      </c>
      <c r="F433" s="12" t="n">
        <f aca="false">MONTH(A433)</f>
        <v>3</v>
      </c>
      <c r="G433" s="12" t="n">
        <v>20.5</v>
      </c>
      <c r="H433" s="12" t="n">
        <v>41.8</v>
      </c>
      <c r="I433" s="12" t="n">
        <v>96</v>
      </c>
      <c r="J433" s="12" t="n">
        <v>5.3</v>
      </c>
      <c r="K433" s="12" t="n">
        <v>13</v>
      </c>
      <c r="L433" s="12" t="s">
        <v>36</v>
      </c>
    </row>
    <row r="434" customFormat="false" ht="15" hidden="false" customHeight="false" outlineLevel="0" collapsed="false">
      <c r="A434" s="11" t="n">
        <v>44629</v>
      </c>
      <c r="B434" s="12" t="n">
        <v>13</v>
      </c>
      <c r="C434" s="12" t="n">
        <f aca="false">IF(NOT(ISNUMBER(B434)),"",ROUND((INDEX(BP!$D$5:$D$9,MATCH(B434,BP!$A$5:$A$9,1))-INDEX(BP!$C$5:$C$9,MATCH(B434,BP!$A$5:$A$9,1)))/(INDEX(BP!$B$5:$B$9,MATCH(B434,BP!$A$5:$A$9,1))-INDEX(BP!$A$5:$A$9,MATCH(B434,BP!$A$5:$A$9,1)))*(B434-INDEX(BP!$A$5:$A$9,MATCH(B434,BP!$A$5:$A$9,1)))+INDEX(BP!$C$5:$C$9,MATCH(B434,BP!$A$5:$A$9,1)),0))</f>
        <v>22</v>
      </c>
      <c r="D434" s="12" t="str">
        <f aca="false">IF(NOT(ISNUMBER(C434)),"",INDEX(BP!$F$5:$F$9,MATCH(C434,BP!$E$5:$E$9,1)))</f>
        <v>ดีมาก</v>
      </c>
      <c r="E434" s="12" t="n">
        <f aca="false">YEAR(A434)</f>
        <v>2022</v>
      </c>
      <c r="F434" s="12" t="n">
        <f aca="false">MONTH(A434)</f>
        <v>3</v>
      </c>
      <c r="G434" s="12" t="n">
        <v>24.1</v>
      </c>
      <c r="H434" s="12" t="n">
        <v>48.6</v>
      </c>
      <c r="I434" s="12" t="n">
        <v>94</v>
      </c>
      <c r="J434" s="12" t="n">
        <v>2</v>
      </c>
      <c r="K434" s="12" t="n">
        <v>0.2</v>
      </c>
      <c r="L434" s="12" t="s">
        <v>36</v>
      </c>
    </row>
    <row r="435" customFormat="false" ht="15" hidden="false" customHeight="false" outlineLevel="0" collapsed="false">
      <c r="A435" s="11" t="n">
        <v>44630</v>
      </c>
      <c r="B435" s="12" t="n">
        <v>19</v>
      </c>
      <c r="C435" s="12" t="n">
        <f aca="false">IF(NOT(ISNUMBER(B435)),"",ROUND((INDEX(BP!$D$5:$D$9,MATCH(B435,BP!$A$5:$A$9,1))-INDEX(BP!$C$5:$C$9,MATCH(B435,BP!$A$5:$A$9,1)))/(INDEX(BP!$B$5:$B$9,MATCH(B435,BP!$A$5:$A$9,1))-INDEX(BP!$A$5:$A$9,MATCH(B435,BP!$A$5:$A$9,1)))*(B435-INDEX(BP!$A$5:$A$9,MATCH(B435,BP!$A$5:$A$9,1)))+INDEX(BP!$C$5:$C$9,MATCH(B435,BP!$A$5:$A$9,1)),0))</f>
        <v>35</v>
      </c>
      <c r="D435" s="12" t="str">
        <f aca="false">IF(NOT(ISNUMBER(C435)),"",INDEX(BP!$F$5:$F$9,MATCH(C435,BP!$E$5:$E$9,1)))</f>
        <v>ดี</v>
      </c>
      <c r="E435" s="12" t="n">
        <f aca="false">YEAR(A435)</f>
        <v>2022</v>
      </c>
      <c r="F435" s="12" t="n">
        <f aca="false">MONTH(A435)</f>
        <v>3</v>
      </c>
      <c r="G435" s="12" t="n">
        <v>17.1</v>
      </c>
      <c r="H435" s="12" t="n">
        <v>35.6</v>
      </c>
      <c r="I435" s="12" t="n">
        <v>91</v>
      </c>
      <c r="J435" s="12" t="n">
        <v>0</v>
      </c>
      <c r="K435" s="12" t="n">
        <v>0</v>
      </c>
      <c r="L435" s="12" t="s">
        <v>36</v>
      </c>
    </row>
    <row r="436" customFormat="false" ht="15" hidden="false" customHeight="false" outlineLevel="0" collapsed="false">
      <c r="A436" s="11" t="n">
        <v>44631</v>
      </c>
      <c r="B436" s="12" t="n">
        <v>26</v>
      </c>
      <c r="C436" s="12" t="n">
        <f aca="false">IF(NOT(ISNUMBER(B436)),"",ROUND((INDEX(BP!$D$5:$D$9,MATCH(B436,BP!$A$5:$A$9,1))-INDEX(BP!$C$5:$C$9,MATCH(B436,BP!$A$5:$A$9,1)))/(INDEX(BP!$B$5:$B$9,MATCH(B436,BP!$A$5:$A$9,1))-INDEX(BP!$A$5:$A$9,MATCH(B436,BP!$A$5:$A$9,1)))*(B436-INDEX(BP!$A$5:$A$9,MATCH(B436,BP!$A$5:$A$9,1)))+INDEX(BP!$C$5:$C$9,MATCH(B436,BP!$A$5:$A$9,1)),0))</f>
        <v>55</v>
      </c>
      <c r="D436" s="12" t="str">
        <f aca="false">IF(NOT(ISNUMBER(C436)),"",INDEX(BP!$F$5:$F$9,MATCH(C436,BP!$E$5:$E$9,1)))</f>
        <v>ปานกลาง</v>
      </c>
      <c r="E436" s="12" t="n">
        <f aca="false">YEAR(A436)</f>
        <v>2022</v>
      </c>
      <c r="F436" s="12" t="n">
        <f aca="false">MONTH(A436)</f>
        <v>3</v>
      </c>
      <c r="G436" s="12" t="n">
        <v>14.1</v>
      </c>
      <c r="H436" s="12" t="n">
        <v>31.7</v>
      </c>
      <c r="I436" s="12" t="n">
        <v>88</v>
      </c>
      <c r="J436" s="12" t="n">
        <v>0.6</v>
      </c>
      <c r="K436" s="12" t="n">
        <v>0</v>
      </c>
      <c r="L436" s="12" t="s">
        <v>36</v>
      </c>
    </row>
    <row r="437" customFormat="false" ht="15" hidden="false" customHeight="false" outlineLevel="0" collapsed="false">
      <c r="A437" s="11" t="n">
        <v>44632</v>
      </c>
      <c r="B437" s="12" t="n">
        <v>32</v>
      </c>
      <c r="C437" s="12" t="n">
        <f aca="false">IF(NOT(ISNUMBER(B437)),"",ROUND((INDEX(BP!$D$5:$D$9,MATCH(B437,BP!$A$5:$A$9,1))-INDEX(BP!$C$5:$C$9,MATCH(B437,BP!$A$5:$A$9,1)))/(INDEX(BP!$B$5:$B$9,MATCH(B437,BP!$A$5:$A$9,1))-INDEX(BP!$A$5:$A$9,MATCH(B437,BP!$A$5:$A$9,1)))*(B437-INDEX(BP!$A$5:$A$9,MATCH(B437,BP!$A$5:$A$9,1)))+INDEX(BP!$C$5:$C$9,MATCH(B437,BP!$A$5:$A$9,1)),0))</f>
        <v>78</v>
      </c>
      <c r="D437" s="12" t="str">
        <f aca="false">IF(NOT(ISNUMBER(C437)),"",INDEX(BP!$F$5:$F$9,MATCH(C437,BP!$E$5:$E$9,1)))</f>
        <v>ปานกลาง</v>
      </c>
      <c r="E437" s="12" t="n">
        <f aca="false">YEAR(A437)</f>
        <v>2022</v>
      </c>
      <c r="F437" s="12" t="n">
        <f aca="false">MONTH(A437)</f>
        <v>3</v>
      </c>
      <c r="G437" s="12" t="n">
        <v>13.9</v>
      </c>
      <c r="H437" s="12" t="n">
        <v>32.4</v>
      </c>
      <c r="I437" s="12" t="n">
        <v>87</v>
      </c>
      <c r="J437" s="12" t="n">
        <v>0</v>
      </c>
      <c r="K437" s="12" t="n">
        <v>0</v>
      </c>
      <c r="L437" s="12" t="s">
        <v>35</v>
      </c>
    </row>
    <row r="438" customFormat="false" ht="15" hidden="false" customHeight="false" outlineLevel="0" collapsed="false">
      <c r="A438" s="11" t="n">
        <v>44633</v>
      </c>
      <c r="B438" s="12" t="n">
        <v>24</v>
      </c>
      <c r="C438" s="12" t="n">
        <f aca="false">IF(NOT(ISNUMBER(B438)),"",ROUND((INDEX(BP!$D$5:$D$9,MATCH(B438,BP!$A$5:$A$9,1))-INDEX(BP!$C$5:$C$9,MATCH(B438,BP!$A$5:$A$9,1)))/(INDEX(BP!$B$5:$B$9,MATCH(B438,BP!$A$5:$A$9,1))-INDEX(BP!$A$5:$A$9,MATCH(B438,BP!$A$5:$A$9,1)))*(B438-INDEX(BP!$A$5:$A$9,MATCH(B438,BP!$A$5:$A$9,1)))+INDEX(BP!$C$5:$C$9,MATCH(B438,BP!$A$5:$A$9,1)),0))</f>
        <v>48</v>
      </c>
      <c r="D438" s="12" t="str">
        <f aca="false">IF(NOT(ISNUMBER(C438)),"",INDEX(BP!$F$5:$F$9,MATCH(C438,BP!$E$5:$E$9,1)))</f>
        <v>ดี</v>
      </c>
      <c r="E438" s="12" t="n">
        <f aca="false">YEAR(A438)</f>
        <v>2022</v>
      </c>
      <c r="F438" s="12" t="n">
        <f aca="false">MONTH(A438)</f>
        <v>3</v>
      </c>
      <c r="G438" s="12" t="n">
        <v>14.8</v>
      </c>
      <c r="H438" s="12" t="n">
        <v>37.8</v>
      </c>
      <c r="I438" s="12" t="n">
        <v>89</v>
      </c>
      <c r="J438" s="12" t="n">
        <v>8.7</v>
      </c>
      <c r="K438" s="12" t="n">
        <v>0.2</v>
      </c>
      <c r="L438" s="12" t="s">
        <v>35</v>
      </c>
    </row>
    <row r="439" customFormat="false" ht="15" hidden="false" customHeight="false" outlineLevel="0" collapsed="false">
      <c r="A439" s="11" t="n">
        <v>44634</v>
      </c>
      <c r="B439" s="12" t="n">
        <v>13</v>
      </c>
      <c r="C439" s="12" t="n">
        <f aca="false">IF(NOT(ISNUMBER(B439)),"",ROUND((INDEX(BP!$D$5:$D$9,MATCH(B439,BP!$A$5:$A$9,1))-INDEX(BP!$C$5:$C$9,MATCH(B439,BP!$A$5:$A$9,1)))/(INDEX(BP!$B$5:$B$9,MATCH(B439,BP!$A$5:$A$9,1))-INDEX(BP!$A$5:$A$9,MATCH(B439,BP!$A$5:$A$9,1)))*(B439-INDEX(BP!$A$5:$A$9,MATCH(B439,BP!$A$5:$A$9,1)))+INDEX(BP!$C$5:$C$9,MATCH(B439,BP!$A$5:$A$9,1)),0))</f>
        <v>22</v>
      </c>
      <c r="D439" s="12" t="str">
        <f aca="false">IF(NOT(ISNUMBER(C439)),"",INDEX(BP!$F$5:$F$9,MATCH(C439,BP!$E$5:$E$9,1)))</f>
        <v>ดีมาก</v>
      </c>
      <c r="E439" s="12" t="n">
        <f aca="false">YEAR(A439)</f>
        <v>2022</v>
      </c>
      <c r="F439" s="12" t="n">
        <f aca="false">MONTH(A439)</f>
        <v>3</v>
      </c>
      <c r="G439" s="12" t="n">
        <v>21.1</v>
      </c>
      <c r="H439" s="12" t="n">
        <v>44.3</v>
      </c>
      <c r="I439" s="12" t="n">
        <v>91</v>
      </c>
      <c r="J439" s="12" t="n">
        <v>24.5</v>
      </c>
      <c r="K439" s="12" t="n">
        <v>21.6</v>
      </c>
      <c r="L439" s="12" t="s">
        <v>36</v>
      </c>
    </row>
    <row r="440" customFormat="false" ht="15" hidden="false" customHeight="false" outlineLevel="0" collapsed="false">
      <c r="A440" s="11" t="n">
        <v>44635</v>
      </c>
      <c r="B440" s="12"/>
      <c r="C440" s="12" t="str">
        <f aca="false">IF(NOT(ISNUMBER(B440)),"",ROUND((INDEX(BP!$D$5:$D$9,MATCH(B440,BP!$A$5:$A$9,1))-INDEX(BP!$C$5:$C$9,MATCH(B440,BP!$A$5:$A$9,1)))/(INDEX(BP!$B$5:$B$9,MATCH(B440,BP!$A$5:$A$9,1))-INDEX(BP!$A$5:$A$9,MATCH(B440,BP!$A$5:$A$9,1)))*(B440-INDEX(BP!$A$5:$A$9,MATCH(B440,BP!$A$5:$A$9,1)))+INDEX(BP!$C$5:$C$9,MATCH(B440,BP!$A$5:$A$9,1)),0))</f>
        <v/>
      </c>
      <c r="D440" s="12" t="str">
        <f aca="false">IF(NOT(ISNUMBER(C440)),"",INDEX(BP!$F$5:$F$9,MATCH(C440,BP!$E$5:$E$9,1)))</f>
        <v/>
      </c>
      <c r="E440" s="12" t="n">
        <f aca="false">YEAR(A440)</f>
        <v>2022</v>
      </c>
      <c r="F440" s="12" t="n">
        <f aca="false">MONTH(A440)</f>
        <v>3</v>
      </c>
      <c r="G440" s="12" t="n">
        <v>15.8</v>
      </c>
      <c r="H440" s="12" t="n">
        <v>34.6</v>
      </c>
      <c r="I440" s="12" t="n">
        <v>90</v>
      </c>
      <c r="J440" s="12" t="n">
        <v>0.3</v>
      </c>
      <c r="K440" s="12" t="n">
        <v>0</v>
      </c>
      <c r="L440" s="12" t="s">
        <v>36</v>
      </c>
    </row>
    <row r="441" customFormat="false" ht="15" hidden="false" customHeight="false" outlineLevel="0" collapsed="false">
      <c r="A441" s="11" t="n">
        <v>44636</v>
      </c>
      <c r="B441" s="12" t="n">
        <v>14</v>
      </c>
      <c r="C441" s="12" t="n">
        <f aca="false">IF(NOT(ISNUMBER(B441)),"",ROUND((INDEX(BP!$D$5:$D$9,MATCH(B441,BP!$A$5:$A$9,1))-INDEX(BP!$C$5:$C$9,MATCH(B441,BP!$A$5:$A$9,1)))/(INDEX(BP!$B$5:$B$9,MATCH(B441,BP!$A$5:$A$9,1))-INDEX(BP!$A$5:$A$9,MATCH(B441,BP!$A$5:$A$9,1)))*(B441-INDEX(BP!$A$5:$A$9,MATCH(B441,BP!$A$5:$A$9,1)))+INDEX(BP!$C$5:$C$9,MATCH(B441,BP!$A$5:$A$9,1)),0))</f>
        <v>23</v>
      </c>
      <c r="D441" s="12" t="str">
        <f aca="false">IF(NOT(ISNUMBER(C441)),"",INDEX(BP!$F$5:$F$9,MATCH(C441,BP!$E$5:$E$9,1)))</f>
        <v>ดีมาก</v>
      </c>
      <c r="E441" s="12" t="n">
        <f aca="false">YEAR(A441)</f>
        <v>2022</v>
      </c>
      <c r="F441" s="12" t="n">
        <f aca="false">MONTH(A441)</f>
        <v>3</v>
      </c>
      <c r="G441" s="12" t="n">
        <v>12.7</v>
      </c>
      <c r="H441" s="12" t="n">
        <v>29.9</v>
      </c>
      <c r="I441" s="12" t="n">
        <v>90</v>
      </c>
      <c r="J441" s="12" t="n">
        <v>0.2</v>
      </c>
      <c r="K441" s="12" t="n">
        <v>0</v>
      </c>
      <c r="L441" s="12" t="s">
        <v>36</v>
      </c>
    </row>
    <row r="442" customFormat="false" ht="15" hidden="false" customHeight="false" outlineLevel="0" collapsed="false">
      <c r="A442" s="11" t="n">
        <v>44637</v>
      </c>
      <c r="B442" s="12" t="n">
        <v>12</v>
      </c>
      <c r="C442" s="12" t="n">
        <f aca="false">IF(NOT(ISNUMBER(B442)),"",ROUND((INDEX(BP!$D$5:$D$9,MATCH(B442,BP!$A$5:$A$9,1))-INDEX(BP!$C$5:$C$9,MATCH(B442,BP!$A$5:$A$9,1)))/(INDEX(BP!$B$5:$B$9,MATCH(B442,BP!$A$5:$A$9,1))-INDEX(BP!$A$5:$A$9,MATCH(B442,BP!$A$5:$A$9,1)))*(B442-INDEX(BP!$A$5:$A$9,MATCH(B442,BP!$A$5:$A$9,1)))+INDEX(BP!$C$5:$C$9,MATCH(B442,BP!$A$5:$A$9,1)),0))</f>
        <v>20</v>
      </c>
      <c r="D442" s="12" t="str">
        <f aca="false">IF(NOT(ISNUMBER(C442)),"",INDEX(BP!$F$5:$F$9,MATCH(C442,BP!$E$5:$E$9,1)))</f>
        <v>ดีมาก</v>
      </c>
      <c r="E442" s="12" t="n">
        <f aca="false">YEAR(A442)</f>
        <v>2022</v>
      </c>
      <c r="F442" s="12" t="n">
        <f aca="false">MONTH(A442)</f>
        <v>3</v>
      </c>
      <c r="G442" s="12" t="n">
        <v>15.9</v>
      </c>
      <c r="H442" s="12" t="n">
        <v>34.6</v>
      </c>
      <c r="I442" s="12" t="n">
        <v>100</v>
      </c>
      <c r="J442" s="12" t="n">
        <v>2.2</v>
      </c>
      <c r="K442" s="12" t="n">
        <v>2.4</v>
      </c>
      <c r="L442" s="12" t="s">
        <v>36</v>
      </c>
    </row>
    <row r="443" customFormat="false" ht="15" hidden="false" customHeight="false" outlineLevel="0" collapsed="false">
      <c r="A443" s="11" t="n">
        <v>44638</v>
      </c>
      <c r="B443" s="12" t="n">
        <v>14</v>
      </c>
      <c r="C443" s="12" t="n">
        <f aca="false">IF(NOT(ISNUMBER(B443)),"",ROUND((INDEX(BP!$D$5:$D$9,MATCH(B443,BP!$A$5:$A$9,1))-INDEX(BP!$C$5:$C$9,MATCH(B443,BP!$A$5:$A$9,1)))/(INDEX(BP!$B$5:$B$9,MATCH(B443,BP!$A$5:$A$9,1))-INDEX(BP!$A$5:$A$9,MATCH(B443,BP!$A$5:$A$9,1)))*(B443-INDEX(BP!$A$5:$A$9,MATCH(B443,BP!$A$5:$A$9,1)))+INDEX(BP!$C$5:$C$9,MATCH(B443,BP!$A$5:$A$9,1)),0))</f>
        <v>23</v>
      </c>
      <c r="D443" s="12" t="str">
        <f aca="false">IF(NOT(ISNUMBER(C443)),"",INDEX(BP!$F$5:$F$9,MATCH(C443,BP!$E$5:$E$9,1)))</f>
        <v>ดีมาก</v>
      </c>
      <c r="E443" s="12" t="n">
        <f aca="false">YEAR(A443)</f>
        <v>2022</v>
      </c>
      <c r="F443" s="12" t="n">
        <f aca="false">MONTH(A443)</f>
        <v>3</v>
      </c>
      <c r="G443" s="12" t="n">
        <v>11.6</v>
      </c>
      <c r="H443" s="12" t="n">
        <v>28.8</v>
      </c>
      <c r="I443" s="12" t="n">
        <v>109</v>
      </c>
      <c r="J443" s="12" t="n">
        <v>0.8</v>
      </c>
      <c r="K443" s="12" t="n">
        <v>2.2</v>
      </c>
      <c r="L443" s="12" t="s">
        <v>36</v>
      </c>
    </row>
    <row r="444" customFormat="false" ht="15" hidden="false" customHeight="false" outlineLevel="0" collapsed="false">
      <c r="A444" s="11" t="n">
        <v>44639</v>
      </c>
      <c r="B444" s="12" t="n">
        <v>14</v>
      </c>
      <c r="C444" s="12" t="n">
        <f aca="false">IF(NOT(ISNUMBER(B444)),"",ROUND((INDEX(BP!$D$5:$D$9,MATCH(B444,BP!$A$5:$A$9,1))-INDEX(BP!$C$5:$C$9,MATCH(B444,BP!$A$5:$A$9,1)))/(INDEX(BP!$B$5:$B$9,MATCH(B444,BP!$A$5:$A$9,1))-INDEX(BP!$A$5:$A$9,MATCH(B444,BP!$A$5:$A$9,1)))*(B444-INDEX(BP!$A$5:$A$9,MATCH(B444,BP!$A$5:$A$9,1)))+INDEX(BP!$C$5:$C$9,MATCH(B444,BP!$A$5:$A$9,1)),0))</f>
        <v>23</v>
      </c>
      <c r="D444" s="12" t="str">
        <f aca="false">IF(NOT(ISNUMBER(C444)),"",INDEX(BP!$F$5:$F$9,MATCH(C444,BP!$E$5:$E$9,1)))</f>
        <v>ดีมาก</v>
      </c>
      <c r="E444" s="12" t="n">
        <f aca="false">YEAR(A444)</f>
        <v>2022</v>
      </c>
      <c r="F444" s="12" t="n">
        <f aca="false">MONTH(A444)</f>
        <v>3</v>
      </c>
      <c r="G444" s="12" t="n">
        <v>13.2</v>
      </c>
      <c r="H444" s="12" t="n">
        <v>30.2</v>
      </c>
      <c r="I444" s="12" t="n">
        <v>115</v>
      </c>
      <c r="J444" s="12" t="n">
        <v>22.2</v>
      </c>
      <c r="K444" s="12" t="n">
        <v>0.2</v>
      </c>
      <c r="L444" s="12" t="s">
        <v>35</v>
      </c>
    </row>
    <row r="445" customFormat="false" ht="15" hidden="false" customHeight="false" outlineLevel="0" collapsed="false">
      <c r="A445" s="11" t="n">
        <v>44640</v>
      </c>
      <c r="B445" s="12" t="n">
        <v>13</v>
      </c>
      <c r="C445" s="12" t="n">
        <f aca="false">IF(NOT(ISNUMBER(B445)),"",ROUND((INDEX(BP!$D$5:$D$9,MATCH(B445,BP!$A$5:$A$9,1))-INDEX(BP!$C$5:$C$9,MATCH(B445,BP!$A$5:$A$9,1)))/(INDEX(BP!$B$5:$B$9,MATCH(B445,BP!$A$5:$A$9,1))-INDEX(BP!$A$5:$A$9,MATCH(B445,BP!$A$5:$A$9,1)))*(B445-INDEX(BP!$A$5:$A$9,MATCH(B445,BP!$A$5:$A$9,1)))+INDEX(BP!$C$5:$C$9,MATCH(B445,BP!$A$5:$A$9,1)),0))</f>
        <v>22</v>
      </c>
      <c r="D445" s="12" t="str">
        <f aca="false">IF(NOT(ISNUMBER(C445)),"",INDEX(BP!$F$5:$F$9,MATCH(C445,BP!$E$5:$E$9,1)))</f>
        <v>ดีมาก</v>
      </c>
      <c r="E445" s="12" t="n">
        <f aca="false">YEAR(A445)</f>
        <v>2022</v>
      </c>
      <c r="F445" s="12" t="n">
        <f aca="false">MONTH(A445)</f>
        <v>3</v>
      </c>
      <c r="G445" s="12" t="n">
        <v>10.7</v>
      </c>
      <c r="H445" s="12" t="n">
        <v>29.5</v>
      </c>
      <c r="I445" s="12" t="n">
        <v>118</v>
      </c>
      <c r="J445" s="12" t="n">
        <v>19.2</v>
      </c>
      <c r="K445" s="12" t="n">
        <v>8.4</v>
      </c>
      <c r="L445" s="12" t="s">
        <v>35</v>
      </c>
    </row>
    <row r="446" customFormat="false" ht="15" hidden="false" customHeight="false" outlineLevel="0" collapsed="false">
      <c r="A446" s="11" t="n">
        <v>44641</v>
      </c>
      <c r="B446" s="12" t="n">
        <v>14</v>
      </c>
      <c r="C446" s="12" t="n">
        <f aca="false">IF(NOT(ISNUMBER(B446)),"",ROUND((INDEX(BP!$D$5:$D$9,MATCH(B446,BP!$A$5:$A$9,1))-INDEX(BP!$C$5:$C$9,MATCH(B446,BP!$A$5:$A$9,1)))/(INDEX(BP!$B$5:$B$9,MATCH(B446,BP!$A$5:$A$9,1))-INDEX(BP!$A$5:$A$9,MATCH(B446,BP!$A$5:$A$9,1)))*(B446-INDEX(BP!$A$5:$A$9,MATCH(B446,BP!$A$5:$A$9,1)))+INDEX(BP!$C$5:$C$9,MATCH(B446,BP!$A$5:$A$9,1)),0))</f>
        <v>23</v>
      </c>
      <c r="D446" s="12" t="str">
        <f aca="false">IF(NOT(ISNUMBER(C446)),"",INDEX(BP!$F$5:$F$9,MATCH(C446,BP!$E$5:$E$9,1)))</f>
        <v>ดีมาก</v>
      </c>
      <c r="E446" s="12" t="n">
        <f aca="false">YEAR(A446)</f>
        <v>2022</v>
      </c>
      <c r="F446" s="12" t="n">
        <f aca="false">MONTH(A446)</f>
        <v>3</v>
      </c>
      <c r="G446" s="12" t="n">
        <v>8.9</v>
      </c>
      <c r="H446" s="12" t="n">
        <v>24.1</v>
      </c>
      <c r="I446" s="12" t="n">
        <v>164</v>
      </c>
      <c r="J446" s="12" t="n">
        <v>14.7</v>
      </c>
      <c r="K446" s="12" t="n">
        <v>0</v>
      </c>
      <c r="L446" s="12" t="s">
        <v>36</v>
      </c>
    </row>
    <row r="447" customFormat="false" ht="15" hidden="false" customHeight="false" outlineLevel="0" collapsed="false">
      <c r="A447" s="11" t="n">
        <v>44642</v>
      </c>
      <c r="B447" s="12" t="n">
        <v>12</v>
      </c>
      <c r="C447" s="12" t="n">
        <f aca="false">IF(NOT(ISNUMBER(B447)),"",ROUND((INDEX(BP!$D$5:$D$9,MATCH(B447,BP!$A$5:$A$9,1))-INDEX(BP!$C$5:$C$9,MATCH(B447,BP!$A$5:$A$9,1)))/(INDEX(BP!$B$5:$B$9,MATCH(B447,BP!$A$5:$A$9,1))-INDEX(BP!$A$5:$A$9,MATCH(B447,BP!$A$5:$A$9,1)))*(B447-INDEX(BP!$A$5:$A$9,MATCH(B447,BP!$A$5:$A$9,1)))+INDEX(BP!$C$5:$C$9,MATCH(B447,BP!$A$5:$A$9,1)),0))</f>
        <v>20</v>
      </c>
      <c r="D447" s="12" t="str">
        <f aca="false">IF(NOT(ISNUMBER(C447)),"",INDEX(BP!$F$5:$F$9,MATCH(C447,BP!$E$5:$E$9,1)))</f>
        <v>ดีมาก</v>
      </c>
      <c r="E447" s="12" t="n">
        <f aca="false">YEAR(A447)</f>
        <v>2022</v>
      </c>
      <c r="F447" s="12" t="n">
        <f aca="false">MONTH(A447)</f>
        <v>3</v>
      </c>
      <c r="G447" s="12" t="n">
        <v>11.2</v>
      </c>
      <c r="H447" s="12" t="n">
        <v>25.9</v>
      </c>
      <c r="I447" s="12" t="n">
        <v>105</v>
      </c>
      <c r="J447" s="12" t="n">
        <v>4.9</v>
      </c>
      <c r="K447" s="12" t="n">
        <v>11.2</v>
      </c>
      <c r="L447" s="12" t="s">
        <v>36</v>
      </c>
    </row>
    <row r="448" customFormat="false" ht="15" hidden="false" customHeight="false" outlineLevel="0" collapsed="false">
      <c r="A448" s="11" t="n">
        <v>44643</v>
      </c>
      <c r="B448" s="12" t="n">
        <v>14</v>
      </c>
      <c r="C448" s="12" t="n">
        <f aca="false">IF(NOT(ISNUMBER(B448)),"",ROUND((INDEX(BP!$D$5:$D$9,MATCH(B448,BP!$A$5:$A$9,1))-INDEX(BP!$C$5:$C$9,MATCH(B448,BP!$A$5:$A$9,1)))/(INDEX(BP!$B$5:$B$9,MATCH(B448,BP!$A$5:$A$9,1))-INDEX(BP!$A$5:$A$9,MATCH(B448,BP!$A$5:$A$9,1)))*(B448-INDEX(BP!$A$5:$A$9,MATCH(B448,BP!$A$5:$A$9,1)))+INDEX(BP!$C$5:$C$9,MATCH(B448,BP!$A$5:$A$9,1)),0))</f>
        <v>23</v>
      </c>
      <c r="D448" s="12" t="str">
        <f aca="false">IF(NOT(ISNUMBER(C448)),"",INDEX(BP!$F$5:$F$9,MATCH(C448,BP!$E$5:$E$9,1)))</f>
        <v>ดีมาก</v>
      </c>
      <c r="E448" s="12" t="n">
        <f aca="false">YEAR(A448)</f>
        <v>2022</v>
      </c>
      <c r="F448" s="12" t="n">
        <f aca="false">MONTH(A448)</f>
        <v>3</v>
      </c>
      <c r="G448" s="12" t="n">
        <v>10.7</v>
      </c>
      <c r="H448" s="12" t="n">
        <v>23</v>
      </c>
      <c r="I448" s="12" t="n">
        <v>102</v>
      </c>
      <c r="J448" s="12" t="n">
        <v>4.3</v>
      </c>
      <c r="K448" s="12" t="n">
        <v>0</v>
      </c>
      <c r="L448" s="12" t="s">
        <v>36</v>
      </c>
    </row>
    <row r="449" customFormat="false" ht="15" hidden="false" customHeight="false" outlineLevel="0" collapsed="false">
      <c r="A449" s="11" t="n">
        <v>44644</v>
      </c>
      <c r="B449" s="12" t="n">
        <v>15</v>
      </c>
      <c r="C449" s="12" t="n">
        <f aca="false">IF(NOT(ISNUMBER(B449)),"",ROUND((INDEX(BP!$D$5:$D$9,MATCH(B449,BP!$A$5:$A$9,1))-INDEX(BP!$C$5:$C$9,MATCH(B449,BP!$A$5:$A$9,1)))/(INDEX(BP!$B$5:$B$9,MATCH(B449,BP!$A$5:$A$9,1))-INDEX(BP!$A$5:$A$9,MATCH(B449,BP!$A$5:$A$9,1)))*(B449-INDEX(BP!$A$5:$A$9,MATCH(B449,BP!$A$5:$A$9,1)))+INDEX(BP!$C$5:$C$9,MATCH(B449,BP!$A$5:$A$9,1)),0))</f>
        <v>25</v>
      </c>
      <c r="D449" s="12" t="str">
        <f aca="false">IF(NOT(ISNUMBER(C449)),"",INDEX(BP!$F$5:$F$9,MATCH(C449,BP!$E$5:$E$9,1)))</f>
        <v>ดีมาก</v>
      </c>
      <c r="E449" s="12" t="n">
        <f aca="false">YEAR(A449)</f>
        <v>2022</v>
      </c>
      <c r="F449" s="12" t="n">
        <f aca="false">MONTH(A449)</f>
        <v>3</v>
      </c>
      <c r="G449" s="12" t="n">
        <v>12.5</v>
      </c>
      <c r="H449" s="12" t="n">
        <v>29.9</v>
      </c>
      <c r="I449" s="12" t="n">
        <v>81</v>
      </c>
      <c r="J449" s="12" t="n">
        <v>0.5</v>
      </c>
      <c r="K449" s="12" t="n">
        <v>0</v>
      </c>
      <c r="L449" s="12" t="s">
        <v>36</v>
      </c>
    </row>
    <row r="450" customFormat="false" ht="15" hidden="false" customHeight="false" outlineLevel="0" collapsed="false">
      <c r="A450" s="11" t="n">
        <v>44645</v>
      </c>
      <c r="B450" s="12" t="n">
        <v>15</v>
      </c>
      <c r="C450" s="12" t="n">
        <f aca="false">IF(NOT(ISNUMBER(B450)),"",ROUND((INDEX(BP!$D$5:$D$9,MATCH(B450,BP!$A$5:$A$9,1))-INDEX(BP!$C$5:$C$9,MATCH(B450,BP!$A$5:$A$9,1)))/(INDEX(BP!$B$5:$B$9,MATCH(B450,BP!$A$5:$A$9,1))-INDEX(BP!$A$5:$A$9,MATCH(B450,BP!$A$5:$A$9,1)))*(B450-INDEX(BP!$A$5:$A$9,MATCH(B450,BP!$A$5:$A$9,1)))+INDEX(BP!$C$5:$C$9,MATCH(B450,BP!$A$5:$A$9,1)),0))</f>
        <v>25</v>
      </c>
      <c r="D450" s="12" t="str">
        <f aca="false">IF(NOT(ISNUMBER(C450)),"",INDEX(BP!$F$5:$F$9,MATCH(C450,BP!$E$5:$E$9,1)))</f>
        <v>ดีมาก</v>
      </c>
      <c r="E450" s="12" t="n">
        <f aca="false">YEAR(A450)</f>
        <v>2022</v>
      </c>
      <c r="F450" s="12" t="n">
        <f aca="false">MONTH(A450)</f>
        <v>3</v>
      </c>
      <c r="G450" s="12" t="n">
        <v>10.2</v>
      </c>
      <c r="H450" s="12" t="n">
        <v>27.4</v>
      </c>
      <c r="I450" s="12" t="n">
        <v>93</v>
      </c>
      <c r="J450" s="12" t="n">
        <v>3.7</v>
      </c>
      <c r="K450" s="12" t="n">
        <v>0</v>
      </c>
      <c r="L450" s="12" t="s">
        <v>36</v>
      </c>
    </row>
    <row r="451" customFormat="false" ht="15" hidden="false" customHeight="false" outlineLevel="0" collapsed="false">
      <c r="A451" s="11" t="n">
        <v>44646</v>
      </c>
      <c r="B451" s="12" t="n">
        <v>17</v>
      </c>
      <c r="C451" s="12" t="n">
        <f aca="false">IF(NOT(ISNUMBER(B451)),"",ROUND((INDEX(BP!$D$5:$D$9,MATCH(B451,BP!$A$5:$A$9,1))-INDEX(BP!$C$5:$C$9,MATCH(B451,BP!$A$5:$A$9,1)))/(INDEX(BP!$B$5:$B$9,MATCH(B451,BP!$A$5:$A$9,1))-INDEX(BP!$A$5:$A$9,MATCH(B451,BP!$A$5:$A$9,1)))*(B451-INDEX(BP!$A$5:$A$9,MATCH(B451,BP!$A$5:$A$9,1)))+INDEX(BP!$C$5:$C$9,MATCH(B451,BP!$A$5:$A$9,1)),0))</f>
        <v>31</v>
      </c>
      <c r="D451" s="12" t="str">
        <f aca="false">IF(NOT(ISNUMBER(C451)),"",INDEX(BP!$F$5:$F$9,MATCH(C451,BP!$E$5:$E$9,1)))</f>
        <v>ดี</v>
      </c>
      <c r="E451" s="12" t="n">
        <f aca="false">YEAR(A451)</f>
        <v>2022</v>
      </c>
      <c r="F451" s="12" t="n">
        <f aca="false">MONTH(A451)</f>
        <v>3</v>
      </c>
      <c r="G451" s="12" t="n">
        <v>11.5</v>
      </c>
      <c r="H451" s="12" t="n">
        <v>28.4</v>
      </c>
      <c r="I451" s="12" t="n">
        <v>75</v>
      </c>
      <c r="J451" s="12" t="n">
        <v>1</v>
      </c>
      <c r="K451" s="12" t="n">
        <v>0</v>
      </c>
      <c r="L451" s="12" t="s">
        <v>35</v>
      </c>
    </row>
    <row r="452" customFormat="false" ht="15" hidden="false" customHeight="false" outlineLevel="0" collapsed="false">
      <c r="A452" s="11" t="n">
        <v>44647</v>
      </c>
      <c r="B452" s="12" t="n">
        <v>20</v>
      </c>
      <c r="C452" s="12" t="n">
        <f aca="false">IF(NOT(ISNUMBER(B452)),"",ROUND((INDEX(BP!$D$5:$D$9,MATCH(B452,BP!$A$5:$A$9,1))-INDEX(BP!$C$5:$C$9,MATCH(B452,BP!$A$5:$A$9,1)))/(INDEX(BP!$B$5:$B$9,MATCH(B452,BP!$A$5:$A$9,1))-INDEX(BP!$A$5:$A$9,MATCH(B452,BP!$A$5:$A$9,1)))*(B452-INDEX(BP!$A$5:$A$9,MATCH(B452,BP!$A$5:$A$9,1)))+INDEX(BP!$C$5:$C$9,MATCH(B452,BP!$A$5:$A$9,1)),0))</f>
        <v>38</v>
      </c>
      <c r="D452" s="12" t="str">
        <f aca="false">IF(NOT(ISNUMBER(C452)),"",INDEX(BP!$F$5:$F$9,MATCH(C452,BP!$E$5:$E$9,1)))</f>
        <v>ดี</v>
      </c>
      <c r="E452" s="12" t="n">
        <f aca="false">YEAR(A452)</f>
        <v>2022</v>
      </c>
      <c r="F452" s="12" t="n">
        <f aca="false">MONTH(A452)</f>
        <v>3</v>
      </c>
      <c r="G452" s="12" t="n">
        <v>10.4</v>
      </c>
      <c r="H452" s="12" t="n">
        <v>23</v>
      </c>
      <c r="I452" s="12" t="n">
        <v>242</v>
      </c>
      <c r="J452" s="12" t="n">
        <v>0.4</v>
      </c>
      <c r="K452" s="12" t="n">
        <v>4.2</v>
      </c>
      <c r="L452" s="12" t="s">
        <v>35</v>
      </c>
    </row>
    <row r="453" customFormat="false" ht="15" hidden="false" customHeight="false" outlineLevel="0" collapsed="false">
      <c r="A453" s="11" t="n">
        <v>44648</v>
      </c>
      <c r="B453" s="12" t="n">
        <v>22</v>
      </c>
      <c r="C453" s="12" t="n">
        <f aca="false">IF(NOT(ISNUMBER(B453)),"",ROUND((INDEX(BP!$D$5:$D$9,MATCH(B453,BP!$A$5:$A$9,1))-INDEX(BP!$C$5:$C$9,MATCH(B453,BP!$A$5:$A$9,1)))/(INDEX(BP!$B$5:$B$9,MATCH(B453,BP!$A$5:$A$9,1))-INDEX(BP!$A$5:$A$9,MATCH(B453,BP!$A$5:$A$9,1)))*(B453-INDEX(BP!$A$5:$A$9,MATCH(B453,BP!$A$5:$A$9,1)))+INDEX(BP!$C$5:$C$9,MATCH(B453,BP!$A$5:$A$9,1)),0))</f>
        <v>43</v>
      </c>
      <c r="D453" s="12" t="str">
        <f aca="false">IF(NOT(ISNUMBER(C453)),"",INDEX(BP!$F$5:$F$9,MATCH(C453,BP!$E$5:$E$9,1)))</f>
        <v>ดี</v>
      </c>
      <c r="E453" s="12" t="n">
        <f aca="false">YEAR(A453)</f>
        <v>2022</v>
      </c>
      <c r="F453" s="12" t="n">
        <f aca="false">MONTH(A453)</f>
        <v>3</v>
      </c>
      <c r="G453" s="12" t="n">
        <v>10.3</v>
      </c>
      <c r="H453" s="12" t="n">
        <v>22.3</v>
      </c>
      <c r="I453" s="12" t="n">
        <v>220</v>
      </c>
      <c r="J453" s="12" t="n">
        <v>0</v>
      </c>
      <c r="K453" s="12" t="n">
        <v>0</v>
      </c>
      <c r="L453" s="12" t="s">
        <v>36</v>
      </c>
    </row>
    <row r="454" customFormat="false" ht="15" hidden="false" customHeight="false" outlineLevel="0" collapsed="false">
      <c r="A454" s="11" t="n">
        <v>44649</v>
      </c>
      <c r="B454" s="12"/>
      <c r="C454" s="12" t="str">
        <f aca="false">IF(NOT(ISNUMBER(B454)),"",ROUND((INDEX(BP!$D$5:$D$9,MATCH(B454,BP!$A$5:$A$9,1))-INDEX(BP!$C$5:$C$9,MATCH(B454,BP!$A$5:$A$9,1)))/(INDEX(BP!$B$5:$B$9,MATCH(B454,BP!$A$5:$A$9,1))-INDEX(BP!$A$5:$A$9,MATCH(B454,BP!$A$5:$A$9,1)))*(B454-INDEX(BP!$A$5:$A$9,MATCH(B454,BP!$A$5:$A$9,1)))+INDEX(BP!$C$5:$C$9,MATCH(B454,BP!$A$5:$A$9,1)),0))</f>
        <v/>
      </c>
      <c r="D454" s="12" t="str">
        <f aca="false">IF(NOT(ISNUMBER(C454)),"",INDEX(BP!$F$5:$F$9,MATCH(C454,BP!$E$5:$E$9,1)))</f>
        <v/>
      </c>
      <c r="E454" s="12" t="n">
        <f aca="false">YEAR(A454)</f>
        <v>2022</v>
      </c>
      <c r="F454" s="12" t="n">
        <f aca="false">MONTH(A454)</f>
        <v>3</v>
      </c>
      <c r="G454" s="12" t="n">
        <v>12</v>
      </c>
      <c r="H454" s="12" t="n">
        <v>27.7</v>
      </c>
      <c r="I454" s="12" t="n">
        <v>94</v>
      </c>
      <c r="J454" s="12" t="n">
        <v>0</v>
      </c>
      <c r="K454" s="12" t="n">
        <v>0</v>
      </c>
      <c r="L454" s="12" t="s">
        <v>36</v>
      </c>
    </row>
    <row r="455" customFormat="false" ht="15" hidden="false" customHeight="false" outlineLevel="0" collapsed="false">
      <c r="A455" s="11" t="n">
        <v>44650</v>
      </c>
      <c r="B455" s="12" t="n">
        <v>14</v>
      </c>
      <c r="C455" s="12" t="n">
        <f aca="false">IF(NOT(ISNUMBER(B455)),"",ROUND((INDEX(BP!$D$5:$D$9,MATCH(B455,BP!$A$5:$A$9,1))-INDEX(BP!$C$5:$C$9,MATCH(B455,BP!$A$5:$A$9,1)))/(INDEX(BP!$B$5:$B$9,MATCH(B455,BP!$A$5:$A$9,1))-INDEX(BP!$A$5:$A$9,MATCH(B455,BP!$A$5:$A$9,1)))*(B455-INDEX(BP!$A$5:$A$9,MATCH(B455,BP!$A$5:$A$9,1)))+INDEX(BP!$C$5:$C$9,MATCH(B455,BP!$A$5:$A$9,1)),0))</f>
        <v>23</v>
      </c>
      <c r="D455" s="12" t="str">
        <f aca="false">IF(NOT(ISNUMBER(C455)),"",INDEX(BP!$F$5:$F$9,MATCH(C455,BP!$E$5:$E$9,1)))</f>
        <v>ดีมาก</v>
      </c>
      <c r="E455" s="12" t="n">
        <f aca="false">YEAR(A455)</f>
        <v>2022</v>
      </c>
      <c r="F455" s="12" t="n">
        <f aca="false">MONTH(A455)</f>
        <v>3</v>
      </c>
      <c r="G455" s="12" t="n">
        <v>10.6</v>
      </c>
      <c r="H455" s="12" t="n">
        <v>27</v>
      </c>
      <c r="I455" s="12" t="n">
        <v>46</v>
      </c>
      <c r="J455" s="12" t="n">
        <v>1</v>
      </c>
      <c r="K455" s="12" t="n">
        <v>0.8</v>
      </c>
      <c r="L455" s="12" t="s">
        <v>36</v>
      </c>
    </row>
    <row r="456" customFormat="false" ht="15" hidden="false" customHeight="false" outlineLevel="0" collapsed="false">
      <c r="A456" s="11" t="n">
        <v>44651</v>
      </c>
      <c r="B456" s="12" t="n">
        <v>20</v>
      </c>
      <c r="C456" s="12" t="n">
        <f aca="false">IF(NOT(ISNUMBER(B456)),"",ROUND((INDEX(BP!$D$5:$D$9,MATCH(B456,BP!$A$5:$A$9,1))-INDEX(BP!$C$5:$C$9,MATCH(B456,BP!$A$5:$A$9,1)))/(INDEX(BP!$B$5:$B$9,MATCH(B456,BP!$A$5:$A$9,1))-INDEX(BP!$A$5:$A$9,MATCH(B456,BP!$A$5:$A$9,1)))*(B456-INDEX(BP!$A$5:$A$9,MATCH(B456,BP!$A$5:$A$9,1)))+INDEX(BP!$C$5:$C$9,MATCH(B456,BP!$A$5:$A$9,1)),0))</f>
        <v>38</v>
      </c>
      <c r="D456" s="12" t="str">
        <f aca="false">IF(NOT(ISNUMBER(C456)),"",INDEX(BP!$F$5:$F$9,MATCH(C456,BP!$E$5:$E$9,1)))</f>
        <v>ดี</v>
      </c>
      <c r="E456" s="12" t="n">
        <f aca="false">YEAR(A456)</f>
        <v>2022</v>
      </c>
      <c r="F456" s="12" t="n">
        <f aca="false">MONTH(A456)</f>
        <v>3</v>
      </c>
      <c r="G456" s="12" t="n">
        <v>11.7</v>
      </c>
      <c r="H456" s="12" t="n">
        <v>26.6</v>
      </c>
      <c r="I456" s="12" t="n">
        <v>245</v>
      </c>
      <c r="J456" s="12" t="n">
        <v>2.5</v>
      </c>
      <c r="K456" s="12" t="n">
        <v>15.2</v>
      </c>
      <c r="L456" s="12" t="s">
        <v>36</v>
      </c>
    </row>
    <row r="457" customFormat="false" ht="15" hidden="false" customHeight="false" outlineLevel="0" collapsed="false">
      <c r="A457" s="11" t="n">
        <v>44652</v>
      </c>
      <c r="B457" s="12" t="n">
        <v>18</v>
      </c>
      <c r="C457" s="12" t="n">
        <f aca="false">IF(NOT(ISNUMBER(B457)),"",ROUND((INDEX(BP!$D$5:$D$9,MATCH(B457,BP!$A$5:$A$9,1))-INDEX(BP!$C$5:$C$9,MATCH(B457,BP!$A$5:$A$9,1)))/(INDEX(BP!$B$5:$B$9,MATCH(B457,BP!$A$5:$A$9,1))-INDEX(BP!$A$5:$A$9,MATCH(B457,BP!$A$5:$A$9,1)))*(B457-INDEX(BP!$A$5:$A$9,MATCH(B457,BP!$A$5:$A$9,1)))+INDEX(BP!$C$5:$C$9,MATCH(B457,BP!$A$5:$A$9,1)),0))</f>
        <v>33</v>
      </c>
      <c r="D457" s="12" t="str">
        <f aca="false">IF(NOT(ISNUMBER(C457)),"",INDEX(BP!$F$5:$F$9,MATCH(C457,BP!$E$5:$E$9,1)))</f>
        <v>ดี</v>
      </c>
      <c r="E457" s="12" t="n">
        <f aca="false">YEAR(A457)</f>
        <v>2022</v>
      </c>
      <c r="F457" s="12" t="n">
        <f aca="false">MONTH(A457)</f>
        <v>4</v>
      </c>
      <c r="G457" s="12" t="n">
        <v>10.2</v>
      </c>
      <c r="H457" s="12" t="n">
        <v>27.7</v>
      </c>
      <c r="I457" s="12" t="n">
        <v>242</v>
      </c>
      <c r="J457" s="12" t="n">
        <v>5.1</v>
      </c>
      <c r="K457" s="12" t="n">
        <v>0</v>
      </c>
      <c r="L457" s="12" t="s">
        <v>36</v>
      </c>
    </row>
    <row r="458" customFormat="false" ht="15" hidden="false" customHeight="false" outlineLevel="0" collapsed="false">
      <c r="A458" s="11" t="n">
        <v>44653</v>
      </c>
      <c r="B458" s="12" t="n">
        <v>20</v>
      </c>
      <c r="C458" s="12" t="n">
        <f aca="false">IF(NOT(ISNUMBER(B458)),"",ROUND((INDEX(BP!$D$5:$D$9,MATCH(B458,BP!$A$5:$A$9,1))-INDEX(BP!$C$5:$C$9,MATCH(B458,BP!$A$5:$A$9,1)))/(INDEX(BP!$B$5:$B$9,MATCH(B458,BP!$A$5:$A$9,1))-INDEX(BP!$A$5:$A$9,MATCH(B458,BP!$A$5:$A$9,1)))*(B458-INDEX(BP!$A$5:$A$9,MATCH(B458,BP!$A$5:$A$9,1)))+INDEX(BP!$C$5:$C$9,MATCH(B458,BP!$A$5:$A$9,1)),0))</f>
        <v>38</v>
      </c>
      <c r="D458" s="12" t="str">
        <f aca="false">IF(NOT(ISNUMBER(C458)),"",INDEX(BP!$F$5:$F$9,MATCH(C458,BP!$E$5:$E$9,1)))</f>
        <v>ดี</v>
      </c>
      <c r="E458" s="12" t="n">
        <f aca="false">YEAR(A458)</f>
        <v>2022</v>
      </c>
      <c r="F458" s="12" t="n">
        <f aca="false">MONTH(A458)</f>
        <v>4</v>
      </c>
      <c r="G458" s="12" t="n">
        <v>15.5</v>
      </c>
      <c r="H458" s="12" t="n">
        <v>34.9</v>
      </c>
      <c r="I458" s="12" t="n">
        <v>353</v>
      </c>
      <c r="J458" s="12" t="n">
        <v>23.6</v>
      </c>
      <c r="K458" s="12" t="n">
        <v>16.6</v>
      </c>
      <c r="L458" s="12" t="s">
        <v>35</v>
      </c>
    </row>
    <row r="459" customFormat="false" ht="15" hidden="false" customHeight="false" outlineLevel="0" collapsed="false">
      <c r="A459" s="11" t="n">
        <v>44654</v>
      </c>
      <c r="B459" s="12" t="n">
        <v>15</v>
      </c>
      <c r="C459" s="12" t="n">
        <f aca="false">IF(NOT(ISNUMBER(B459)),"",ROUND((INDEX(BP!$D$5:$D$9,MATCH(B459,BP!$A$5:$A$9,1))-INDEX(BP!$C$5:$C$9,MATCH(B459,BP!$A$5:$A$9,1)))/(INDEX(BP!$B$5:$B$9,MATCH(B459,BP!$A$5:$A$9,1))-INDEX(BP!$A$5:$A$9,MATCH(B459,BP!$A$5:$A$9,1)))*(B459-INDEX(BP!$A$5:$A$9,MATCH(B459,BP!$A$5:$A$9,1)))+INDEX(BP!$C$5:$C$9,MATCH(B459,BP!$A$5:$A$9,1)),0))</f>
        <v>25</v>
      </c>
      <c r="D459" s="12" t="str">
        <f aca="false">IF(NOT(ISNUMBER(C459)),"",INDEX(BP!$F$5:$F$9,MATCH(C459,BP!$E$5:$E$9,1)))</f>
        <v>ดีมาก</v>
      </c>
      <c r="E459" s="12" t="n">
        <f aca="false">YEAR(A459)</f>
        <v>2022</v>
      </c>
      <c r="F459" s="12" t="n">
        <f aca="false">MONTH(A459)</f>
        <v>4</v>
      </c>
      <c r="G459" s="12" t="n">
        <v>12.8</v>
      </c>
      <c r="H459" s="12" t="n">
        <v>29.2</v>
      </c>
      <c r="I459" s="12" t="n">
        <v>8</v>
      </c>
      <c r="J459" s="12" t="n">
        <v>28.3</v>
      </c>
      <c r="K459" s="12" t="n">
        <v>0</v>
      </c>
      <c r="L459" s="12" t="s">
        <v>35</v>
      </c>
    </row>
    <row r="460" customFormat="false" ht="15" hidden="false" customHeight="false" outlineLevel="0" collapsed="false">
      <c r="A460" s="11" t="n">
        <v>44655</v>
      </c>
      <c r="B460" s="12" t="n">
        <v>9</v>
      </c>
      <c r="C460" s="12" t="n">
        <f aca="false">IF(NOT(ISNUMBER(B460)),"",ROUND((INDEX(BP!$D$5:$D$9,MATCH(B460,BP!$A$5:$A$9,1))-INDEX(BP!$C$5:$C$9,MATCH(B460,BP!$A$5:$A$9,1)))/(INDEX(BP!$B$5:$B$9,MATCH(B460,BP!$A$5:$A$9,1))-INDEX(BP!$A$5:$A$9,MATCH(B460,BP!$A$5:$A$9,1)))*(B460-INDEX(BP!$A$5:$A$9,MATCH(B460,BP!$A$5:$A$9,1)))+INDEX(BP!$C$5:$C$9,MATCH(B460,BP!$A$5:$A$9,1)),0))</f>
        <v>15</v>
      </c>
      <c r="D460" s="12" t="str">
        <f aca="false">IF(NOT(ISNUMBER(C460)),"",INDEX(BP!$F$5:$F$9,MATCH(C460,BP!$E$5:$E$9,1)))</f>
        <v>ดีมาก</v>
      </c>
      <c r="E460" s="12" t="n">
        <f aca="false">YEAR(A460)</f>
        <v>2022</v>
      </c>
      <c r="F460" s="12" t="n">
        <f aca="false">MONTH(A460)</f>
        <v>4</v>
      </c>
      <c r="G460" s="12" t="n">
        <v>16.1</v>
      </c>
      <c r="H460" s="12" t="n">
        <v>34.2</v>
      </c>
      <c r="I460" s="12" t="n">
        <v>88</v>
      </c>
      <c r="J460" s="12" t="n">
        <v>24.6</v>
      </c>
      <c r="K460" s="12" t="n">
        <v>6.2</v>
      </c>
      <c r="L460" s="12" t="s">
        <v>36</v>
      </c>
    </row>
    <row r="461" customFormat="false" ht="15" hidden="false" customHeight="false" outlineLevel="0" collapsed="false">
      <c r="A461" s="11" t="n">
        <v>44656</v>
      </c>
      <c r="B461" s="12" t="n">
        <v>10</v>
      </c>
      <c r="C461" s="12" t="n">
        <f aca="false">IF(NOT(ISNUMBER(B461)),"",ROUND((INDEX(BP!$D$5:$D$9,MATCH(B461,BP!$A$5:$A$9,1))-INDEX(BP!$C$5:$C$9,MATCH(B461,BP!$A$5:$A$9,1)))/(INDEX(BP!$B$5:$B$9,MATCH(B461,BP!$A$5:$A$9,1))-INDEX(BP!$A$5:$A$9,MATCH(B461,BP!$A$5:$A$9,1)))*(B461-INDEX(BP!$A$5:$A$9,MATCH(B461,BP!$A$5:$A$9,1)))+INDEX(BP!$C$5:$C$9,MATCH(B461,BP!$A$5:$A$9,1)),0))</f>
        <v>17</v>
      </c>
      <c r="D461" s="12" t="str">
        <f aca="false">IF(NOT(ISNUMBER(C461)),"",INDEX(BP!$F$5:$F$9,MATCH(C461,BP!$E$5:$E$9,1)))</f>
        <v>ดีมาก</v>
      </c>
      <c r="E461" s="12" t="n">
        <f aca="false">YEAR(A461)</f>
        <v>2022</v>
      </c>
      <c r="F461" s="12" t="n">
        <f aca="false">MONTH(A461)</f>
        <v>4</v>
      </c>
      <c r="G461" s="12" t="n">
        <v>19.1</v>
      </c>
      <c r="H461" s="12" t="n">
        <v>41</v>
      </c>
      <c r="I461" s="12" t="n">
        <v>91</v>
      </c>
      <c r="J461" s="12" t="n">
        <v>23.4</v>
      </c>
      <c r="K461" s="12" t="n">
        <v>5.2</v>
      </c>
      <c r="L461" s="12" t="s">
        <v>36</v>
      </c>
    </row>
    <row r="462" customFormat="false" ht="15" hidden="false" customHeight="false" outlineLevel="0" collapsed="false">
      <c r="A462" s="11" t="n">
        <v>44657</v>
      </c>
      <c r="B462" s="12" t="n">
        <v>11</v>
      </c>
      <c r="C462" s="12" t="n">
        <f aca="false">IF(NOT(ISNUMBER(B462)),"",ROUND((INDEX(BP!$D$5:$D$9,MATCH(B462,BP!$A$5:$A$9,1))-INDEX(BP!$C$5:$C$9,MATCH(B462,BP!$A$5:$A$9,1)))/(INDEX(BP!$B$5:$B$9,MATCH(B462,BP!$A$5:$A$9,1))-INDEX(BP!$A$5:$A$9,MATCH(B462,BP!$A$5:$A$9,1)))*(B462-INDEX(BP!$A$5:$A$9,MATCH(B462,BP!$A$5:$A$9,1)))+INDEX(BP!$C$5:$C$9,MATCH(B462,BP!$A$5:$A$9,1)),0))</f>
        <v>18</v>
      </c>
      <c r="D462" s="12" t="str">
        <f aca="false">IF(NOT(ISNUMBER(C462)),"",INDEX(BP!$F$5:$F$9,MATCH(C462,BP!$E$5:$E$9,1)))</f>
        <v>ดีมาก</v>
      </c>
      <c r="E462" s="12" t="n">
        <f aca="false">YEAR(A462)</f>
        <v>2022</v>
      </c>
      <c r="F462" s="12" t="n">
        <f aca="false">MONTH(A462)</f>
        <v>4</v>
      </c>
      <c r="G462" s="12" t="n">
        <v>16.3</v>
      </c>
      <c r="H462" s="12" t="n">
        <v>34.6</v>
      </c>
      <c r="I462" s="12" t="n">
        <v>80</v>
      </c>
      <c r="J462" s="12" t="n">
        <v>9.7</v>
      </c>
      <c r="K462" s="12" t="n">
        <v>13.8</v>
      </c>
      <c r="L462" s="12" t="s">
        <v>34</v>
      </c>
    </row>
    <row r="463" customFormat="false" ht="15" hidden="false" customHeight="false" outlineLevel="0" collapsed="false">
      <c r="A463" s="11" t="n">
        <v>44658</v>
      </c>
      <c r="B463" s="12" t="n">
        <v>13</v>
      </c>
      <c r="C463" s="12" t="n">
        <f aca="false">IF(NOT(ISNUMBER(B463)),"",ROUND((INDEX(BP!$D$5:$D$9,MATCH(B463,BP!$A$5:$A$9,1))-INDEX(BP!$C$5:$C$9,MATCH(B463,BP!$A$5:$A$9,1)))/(INDEX(BP!$B$5:$B$9,MATCH(B463,BP!$A$5:$A$9,1))-INDEX(BP!$A$5:$A$9,MATCH(B463,BP!$A$5:$A$9,1)))*(B463-INDEX(BP!$A$5:$A$9,MATCH(B463,BP!$A$5:$A$9,1)))+INDEX(BP!$C$5:$C$9,MATCH(B463,BP!$A$5:$A$9,1)),0))</f>
        <v>22</v>
      </c>
      <c r="D463" s="12" t="str">
        <f aca="false">IF(NOT(ISNUMBER(C463)),"",INDEX(BP!$F$5:$F$9,MATCH(C463,BP!$E$5:$E$9,1)))</f>
        <v>ดีมาก</v>
      </c>
      <c r="E463" s="12" t="n">
        <f aca="false">YEAR(A463)</f>
        <v>2022</v>
      </c>
      <c r="F463" s="12" t="n">
        <f aca="false">MONTH(A463)</f>
        <v>4</v>
      </c>
      <c r="G463" s="12" t="n">
        <v>14.4</v>
      </c>
      <c r="H463" s="12" t="n">
        <v>32</v>
      </c>
      <c r="I463" s="12" t="n">
        <v>98</v>
      </c>
      <c r="J463" s="12" t="n">
        <v>6.4</v>
      </c>
      <c r="K463" s="12" t="n">
        <v>0</v>
      </c>
      <c r="L463" s="12" t="s">
        <v>36</v>
      </c>
    </row>
    <row r="464" customFormat="false" ht="15" hidden="false" customHeight="false" outlineLevel="0" collapsed="false">
      <c r="A464" s="11" t="n">
        <v>44659</v>
      </c>
      <c r="B464" s="12" t="n">
        <v>18</v>
      </c>
      <c r="C464" s="12" t="n">
        <f aca="false">IF(NOT(ISNUMBER(B464)),"",ROUND((INDEX(BP!$D$5:$D$9,MATCH(B464,BP!$A$5:$A$9,1))-INDEX(BP!$C$5:$C$9,MATCH(B464,BP!$A$5:$A$9,1)))/(INDEX(BP!$B$5:$B$9,MATCH(B464,BP!$A$5:$A$9,1))-INDEX(BP!$A$5:$A$9,MATCH(B464,BP!$A$5:$A$9,1)))*(B464-INDEX(BP!$A$5:$A$9,MATCH(B464,BP!$A$5:$A$9,1)))+INDEX(BP!$C$5:$C$9,MATCH(B464,BP!$A$5:$A$9,1)),0))</f>
        <v>33</v>
      </c>
      <c r="D464" s="12" t="str">
        <f aca="false">IF(NOT(ISNUMBER(C464)),"",INDEX(BP!$F$5:$F$9,MATCH(C464,BP!$E$5:$E$9,1)))</f>
        <v>ดี</v>
      </c>
      <c r="E464" s="12" t="n">
        <f aca="false">YEAR(A464)</f>
        <v>2022</v>
      </c>
      <c r="F464" s="12" t="n">
        <f aca="false">MONTH(A464)</f>
        <v>4</v>
      </c>
      <c r="G464" s="12" t="n">
        <v>10.9</v>
      </c>
      <c r="H464" s="12" t="n">
        <v>25.6</v>
      </c>
      <c r="I464" s="12" t="n">
        <v>84</v>
      </c>
      <c r="J464" s="12" t="n">
        <v>4.5</v>
      </c>
      <c r="K464" s="12" t="n">
        <v>1.6</v>
      </c>
      <c r="L464" s="12" t="s">
        <v>36</v>
      </c>
    </row>
    <row r="465" customFormat="false" ht="15" hidden="false" customHeight="false" outlineLevel="0" collapsed="false">
      <c r="A465" s="11" t="n">
        <v>44660</v>
      </c>
      <c r="B465" s="12" t="n">
        <v>17</v>
      </c>
      <c r="C465" s="12" t="n">
        <f aca="false">IF(NOT(ISNUMBER(B465)),"",ROUND((INDEX(BP!$D$5:$D$9,MATCH(B465,BP!$A$5:$A$9,1))-INDEX(BP!$C$5:$C$9,MATCH(B465,BP!$A$5:$A$9,1)))/(INDEX(BP!$B$5:$B$9,MATCH(B465,BP!$A$5:$A$9,1))-INDEX(BP!$A$5:$A$9,MATCH(B465,BP!$A$5:$A$9,1)))*(B465-INDEX(BP!$A$5:$A$9,MATCH(B465,BP!$A$5:$A$9,1)))+INDEX(BP!$C$5:$C$9,MATCH(B465,BP!$A$5:$A$9,1)),0))</f>
        <v>31</v>
      </c>
      <c r="D465" s="12" t="str">
        <f aca="false">IF(NOT(ISNUMBER(C465)),"",INDEX(BP!$F$5:$F$9,MATCH(C465,BP!$E$5:$E$9,1)))</f>
        <v>ดี</v>
      </c>
      <c r="E465" s="12" t="n">
        <f aca="false">YEAR(A465)</f>
        <v>2022</v>
      </c>
      <c r="F465" s="12" t="n">
        <f aca="false">MONTH(A465)</f>
        <v>4</v>
      </c>
      <c r="G465" s="12" t="n">
        <v>11.4</v>
      </c>
      <c r="H465" s="12" t="n">
        <v>23.4</v>
      </c>
      <c r="I465" s="12" t="n">
        <v>91</v>
      </c>
      <c r="J465" s="12" t="n">
        <v>1.3</v>
      </c>
      <c r="K465" s="12" t="n">
        <v>0</v>
      </c>
      <c r="L465" s="12" t="s">
        <v>35</v>
      </c>
    </row>
    <row r="466" customFormat="false" ht="15" hidden="false" customHeight="false" outlineLevel="0" collapsed="false">
      <c r="A466" s="11" t="n">
        <v>44661</v>
      </c>
      <c r="B466" s="12" t="n">
        <v>22</v>
      </c>
      <c r="C466" s="12" t="n">
        <f aca="false">IF(NOT(ISNUMBER(B466)),"",ROUND((INDEX(BP!$D$5:$D$9,MATCH(B466,BP!$A$5:$A$9,1))-INDEX(BP!$C$5:$C$9,MATCH(B466,BP!$A$5:$A$9,1)))/(INDEX(BP!$B$5:$B$9,MATCH(B466,BP!$A$5:$A$9,1))-INDEX(BP!$A$5:$A$9,MATCH(B466,BP!$A$5:$A$9,1)))*(B466-INDEX(BP!$A$5:$A$9,MATCH(B466,BP!$A$5:$A$9,1)))+INDEX(BP!$C$5:$C$9,MATCH(B466,BP!$A$5:$A$9,1)),0))</f>
        <v>43</v>
      </c>
      <c r="D466" s="12" t="str">
        <f aca="false">IF(NOT(ISNUMBER(C466)),"",INDEX(BP!$F$5:$F$9,MATCH(C466,BP!$E$5:$E$9,1)))</f>
        <v>ดี</v>
      </c>
      <c r="E466" s="12" t="n">
        <f aca="false">YEAR(A466)</f>
        <v>2022</v>
      </c>
      <c r="F466" s="12" t="n">
        <f aca="false">MONTH(A466)</f>
        <v>4</v>
      </c>
      <c r="G466" s="12" t="n">
        <v>10.8</v>
      </c>
      <c r="H466" s="12" t="n">
        <v>23.8</v>
      </c>
      <c r="I466" s="12" t="n">
        <v>93</v>
      </c>
      <c r="J466" s="12" t="n">
        <v>0</v>
      </c>
      <c r="K466" s="12" t="n">
        <v>0</v>
      </c>
      <c r="L466" s="12" t="s">
        <v>35</v>
      </c>
    </row>
    <row r="467" customFormat="false" ht="15" hidden="false" customHeight="false" outlineLevel="0" collapsed="false">
      <c r="A467" s="11" t="n">
        <v>44662</v>
      </c>
      <c r="B467" s="12" t="n">
        <v>24</v>
      </c>
      <c r="C467" s="12" t="n">
        <f aca="false">IF(NOT(ISNUMBER(B467)),"",ROUND((INDEX(BP!$D$5:$D$9,MATCH(B467,BP!$A$5:$A$9,1))-INDEX(BP!$C$5:$C$9,MATCH(B467,BP!$A$5:$A$9,1)))/(INDEX(BP!$B$5:$B$9,MATCH(B467,BP!$A$5:$A$9,1))-INDEX(BP!$A$5:$A$9,MATCH(B467,BP!$A$5:$A$9,1)))*(B467-INDEX(BP!$A$5:$A$9,MATCH(B467,BP!$A$5:$A$9,1)))+INDEX(BP!$C$5:$C$9,MATCH(B467,BP!$A$5:$A$9,1)),0))</f>
        <v>48</v>
      </c>
      <c r="D467" s="12" t="str">
        <f aca="false">IF(NOT(ISNUMBER(C467)),"",INDEX(BP!$F$5:$F$9,MATCH(C467,BP!$E$5:$E$9,1)))</f>
        <v>ดี</v>
      </c>
      <c r="E467" s="12" t="n">
        <f aca="false">YEAR(A467)</f>
        <v>2022</v>
      </c>
      <c r="F467" s="12" t="n">
        <f aca="false">MONTH(A467)</f>
        <v>4</v>
      </c>
      <c r="G467" s="12" t="n">
        <v>10.5</v>
      </c>
      <c r="H467" s="12" t="n">
        <v>26.6</v>
      </c>
      <c r="I467" s="12" t="n">
        <v>131</v>
      </c>
      <c r="J467" s="12" t="n">
        <v>1.9</v>
      </c>
      <c r="K467" s="12" t="n">
        <v>0</v>
      </c>
      <c r="L467" s="12" t="s">
        <v>36</v>
      </c>
    </row>
    <row r="468" customFormat="false" ht="15" hidden="false" customHeight="false" outlineLevel="0" collapsed="false">
      <c r="A468" s="11" t="n">
        <v>44663</v>
      </c>
      <c r="B468" s="12" t="n">
        <v>29</v>
      </c>
      <c r="C468" s="12" t="n">
        <f aca="false">IF(NOT(ISNUMBER(B468)),"",ROUND((INDEX(BP!$D$5:$D$9,MATCH(B468,BP!$A$5:$A$9,1))-INDEX(BP!$C$5:$C$9,MATCH(B468,BP!$A$5:$A$9,1)))/(INDEX(BP!$B$5:$B$9,MATCH(B468,BP!$A$5:$A$9,1))-INDEX(BP!$A$5:$A$9,MATCH(B468,BP!$A$5:$A$9,1)))*(B468-INDEX(BP!$A$5:$A$9,MATCH(B468,BP!$A$5:$A$9,1)))+INDEX(BP!$C$5:$C$9,MATCH(B468,BP!$A$5:$A$9,1)),0))</f>
        <v>66</v>
      </c>
      <c r="D468" s="12" t="str">
        <f aca="false">IF(NOT(ISNUMBER(C468)),"",INDEX(BP!$F$5:$F$9,MATCH(C468,BP!$E$5:$E$9,1)))</f>
        <v>ปานกลาง</v>
      </c>
      <c r="E468" s="12" t="n">
        <f aca="false">YEAR(A468)</f>
        <v>2022</v>
      </c>
      <c r="F468" s="12" t="n">
        <f aca="false">MONTH(A468)</f>
        <v>4</v>
      </c>
      <c r="G468" s="12" t="n">
        <v>16.1</v>
      </c>
      <c r="H468" s="12" t="n">
        <v>33.8</v>
      </c>
      <c r="I468" s="12" t="n">
        <v>247</v>
      </c>
      <c r="J468" s="12" t="n">
        <v>0.5</v>
      </c>
      <c r="K468" s="12" t="n">
        <v>0</v>
      </c>
      <c r="L468" s="12" t="s">
        <v>36</v>
      </c>
    </row>
    <row r="469" customFormat="false" ht="15" hidden="false" customHeight="false" outlineLevel="0" collapsed="false">
      <c r="A469" s="11" t="n">
        <v>44664</v>
      </c>
      <c r="B469" s="12" t="n">
        <v>29</v>
      </c>
      <c r="C469" s="12" t="n">
        <f aca="false">IF(NOT(ISNUMBER(B469)),"",ROUND((INDEX(BP!$D$5:$D$9,MATCH(B469,BP!$A$5:$A$9,1))-INDEX(BP!$C$5:$C$9,MATCH(B469,BP!$A$5:$A$9,1)))/(INDEX(BP!$B$5:$B$9,MATCH(B469,BP!$A$5:$A$9,1))-INDEX(BP!$A$5:$A$9,MATCH(B469,BP!$A$5:$A$9,1)))*(B469-INDEX(BP!$A$5:$A$9,MATCH(B469,BP!$A$5:$A$9,1)))+INDEX(BP!$C$5:$C$9,MATCH(B469,BP!$A$5:$A$9,1)),0))</f>
        <v>66</v>
      </c>
      <c r="D469" s="12" t="str">
        <f aca="false">IF(NOT(ISNUMBER(C469)),"",INDEX(BP!$F$5:$F$9,MATCH(C469,BP!$E$5:$E$9,1)))</f>
        <v>ปานกลาง</v>
      </c>
      <c r="E469" s="12" t="n">
        <f aca="false">YEAR(A469)</f>
        <v>2022</v>
      </c>
      <c r="F469" s="12" t="n">
        <f aca="false">MONTH(A469)</f>
        <v>4</v>
      </c>
      <c r="G469" s="12" t="n">
        <v>15.6</v>
      </c>
      <c r="H469" s="12" t="n">
        <v>35.3</v>
      </c>
      <c r="I469" s="12" t="n">
        <v>223</v>
      </c>
      <c r="J469" s="12" t="n">
        <v>1.2</v>
      </c>
      <c r="K469" s="12" t="n">
        <v>0</v>
      </c>
      <c r="L469" s="12" t="s">
        <v>34</v>
      </c>
    </row>
    <row r="470" customFormat="false" ht="15" hidden="false" customHeight="false" outlineLevel="0" collapsed="false">
      <c r="A470" s="11" t="n">
        <v>44665</v>
      </c>
      <c r="B470" s="12" t="n">
        <v>21</v>
      </c>
      <c r="C470" s="12" t="n">
        <f aca="false">IF(NOT(ISNUMBER(B470)),"",ROUND((INDEX(BP!$D$5:$D$9,MATCH(B470,BP!$A$5:$A$9,1))-INDEX(BP!$C$5:$C$9,MATCH(B470,BP!$A$5:$A$9,1)))/(INDEX(BP!$B$5:$B$9,MATCH(B470,BP!$A$5:$A$9,1))-INDEX(BP!$A$5:$A$9,MATCH(B470,BP!$A$5:$A$9,1)))*(B470-INDEX(BP!$A$5:$A$9,MATCH(B470,BP!$A$5:$A$9,1)))+INDEX(BP!$C$5:$C$9,MATCH(B470,BP!$A$5:$A$9,1)),0))</f>
        <v>40</v>
      </c>
      <c r="D470" s="12" t="str">
        <f aca="false">IF(NOT(ISNUMBER(C470)),"",INDEX(BP!$F$5:$F$9,MATCH(C470,BP!$E$5:$E$9,1)))</f>
        <v>ดี</v>
      </c>
      <c r="E470" s="12" t="n">
        <f aca="false">YEAR(A470)</f>
        <v>2022</v>
      </c>
      <c r="F470" s="12" t="n">
        <f aca="false">MONTH(A470)</f>
        <v>4</v>
      </c>
      <c r="G470" s="12" t="n">
        <v>15.4</v>
      </c>
      <c r="H470" s="12" t="n">
        <v>34.2</v>
      </c>
      <c r="I470" s="12" t="n">
        <v>241</v>
      </c>
      <c r="J470" s="12" t="n">
        <v>2.9</v>
      </c>
      <c r="K470" s="12" t="n">
        <v>21.2</v>
      </c>
      <c r="L470" s="12" t="s">
        <v>34</v>
      </c>
    </row>
    <row r="471" customFormat="false" ht="15" hidden="false" customHeight="false" outlineLevel="0" collapsed="false">
      <c r="A471" s="11" t="n">
        <v>44666</v>
      </c>
      <c r="B471" s="12" t="n">
        <v>22</v>
      </c>
      <c r="C471" s="12" t="n">
        <f aca="false">IF(NOT(ISNUMBER(B471)),"",ROUND((INDEX(BP!$D$5:$D$9,MATCH(B471,BP!$A$5:$A$9,1))-INDEX(BP!$C$5:$C$9,MATCH(B471,BP!$A$5:$A$9,1)))/(INDEX(BP!$B$5:$B$9,MATCH(B471,BP!$A$5:$A$9,1))-INDEX(BP!$A$5:$A$9,MATCH(B471,BP!$A$5:$A$9,1)))*(B471-INDEX(BP!$A$5:$A$9,MATCH(B471,BP!$A$5:$A$9,1)))+INDEX(BP!$C$5:$C$9,MATCH(B471,BP!$A$5:$A$9,1)),0))</f>
        <v>43</v>
      </c>
      <c r="D471" s="12" t="str">
        <f aca="false">IF(NOT(ISNUMBER(C471)),"",INDEX(BP!$F$5:$F$9,MATCH(C471,BP!$E$5:$E$9,1)))</f>
        <v>ดี</v>
      </c>
      <c r="E471" s="12" t="n">
        <f aca="false">YEAR(A471)</f>
        <v>2022</v>
      </c>
      <c r="F471" s="12" t="n">
        <f aca="false">MONTH(A471)</f>
        <v>4</v>
      </c>
      <c r="G471" s="12" t="n">
        <v>14.2</v>
      </c>
      <c r="H471" s="12" t="n">
        <v>38.9</v>
      </c>
      <c r="I471" s="12" t="n">
        <v>229</v>
      </c>
      <c r="J471" s="12" t="n">
        <v>1</v>
      </c>
      <c r="K471" s="12" t="n">
        <v>2.2</v>
      </c>
      <c r="L471" s="12" t="s">
        <v>34</v>
      </c>
    </row>
    <row r="472" customFormat="false" ht="15" hidden="false" customHeight="false" outlineLevel="0" collapsed="false">
      <c r="A472" s="11" t="n">
        <v>44667</v>
      </c>
      <c r="B472" s="12" t="n">
        <v>22</v>
      </c>
      <c r="C472" s="12" t="n">
        <f aca="false">IF(NOT(ISNUMBER(B472)),"",ROUND((INDEX(BP!$D$5:$D$9,MATCH(B472,BP!$A$5:$A$9,1))-INDEX(BP!$C$5:$C$9,MATCH(B472,BP!$A$5:$A$9,1)))/(INDEX(BP!$B$5:$B$9,MATCH(B472,BP!$A$5:$A$9,1))-INDEX(BP!$A$5:$A$9,MATCH(B472,BP!$A$5:$A$9,1)))*(B472-INDEX(BP!$A$5:$A$9,MATCH(B472,BP!$A$5:$A$9,1)))+INDEX(BP!$C$5:$C$9,MATCH(B472,BP!$A$5:$A$9,1)),0))</f>
        <v>43</v>
      </c>
      <c r="D472" s="12" t="str">
        <f aca="false">IF(NOT(ISNUMBER(C472)),"",INDEX(BP!$F$5:$F$9,MATCH(C472,BP!$E$5:$E$9,1)))</f>
        <v>ดี</v>
      </c>
      <c r="E472" s="12" t="n">
        <f aca="false">YEAR(A472)</f>
        <v>2022</v>
      </c>
      <c r="F472" s="12" t="n">
        <f aca="false">MONTH(A472)</f>
        <v>4</v>
      </c>
      <c r="G472" s="12" t="n">
        <v>10.3</v>
      </c>
      <c r="H472" s="12" t="n">
        <v>24.1</v>
      </c>
      <c r="I472" s="12" t="n">
        <v>225</v>
      </c>
      <c r="J472" s="12" t="n">
        <v>2</v>
      </c>
      <c r="K472" s="12" t="n">
        <v>0</v>
      </c>
      <c r="L472" s="12" t="s">
        <v>35</v>
      </c>
    </row>
    <row r="473" customFormat="false" ht="15" hidden="false" customHeight="false" outlineLevel="0" collapsed="false">
      <c r="A473" s="11" t="n">
        <v>44668</v>
      </c>
      <c r="B473" s="12" t="n">
        <v>24</v>
      </c>
      <c r="C473" s="12" t="n">
        <f aca="false">IF(NOT(ISNUMBER(B473)),"",ROUND((INDEX(BP!$D$5:$D$9,MATCH(B473,BP!$A$5:$A$9,1))-INDEX(BP!$C$5:$C$9,MATCH(B473,BP!$A$5:$A$9,1)))/(INDEX(BP!$B$5:$B$9,MATCH(B473,BP!$A$5:$A$9,1))-INDEX(BP!$A$5:$A$9,MATCH(B473,BP!$A$5:$A$9,1)))*(B473-INDEX(BP!$A$5:$A$9,MATCH(B473,BP!$A$5:$A$9,1)))+INDEX(BP!$C$5:$C$9,MATCH(B473,BP!$A$5:$A$9,1)),0))</f>
        <v>48</v>
      </c>
      <c r="D473" s="12" t="str">
        <f aca="false">IF(NOT(ISNUMBER(C473)),"",INDEX(BP!$F$5:$F$9,MATCH(C473,BP!$E$5:$E$9,1)))</f>
        <v>ดี</v>
      </c>
      <c r="E473" s="12" t="n">
        <f aca="false">YEAR(A473)</f>
        <v>2022</v>
      </c>
      <c r="F473" s="12" t="n">
        <f aca="false">MONTH(A473)</f>
        <v>4</v>
      </c>
      <c r="G473" s="12" t="n">
        <v>9.8</v>
      </c>
      <c r="H473" s="12" t="n">
        <v>25.9</v>
      </c>
      <c r="I473" s="12" t="n">
        <v>102</v>
      </c>
      <c r="J473" s="12" t="n">
        <v>1.9</v>
      </c>
      <c r="K473" s="12" t="n">
        <v>0</v>
      </c>
      <c r="L473" s="12" t="s">
        <v>35</v>
      </c>
    </row>
    <row r="474" customFormat="false" ht="15" hidden="false" customHeight="false" outlineLevel="0" collapsed="false">
      <c r="A474" s="11" t="n">
        <v>44669</v>
      </c>
      <c r="B474" s="12" t="n">
        <v>19</v>
      </c>
      <c r="C474" s="12" t="n">
        <f aca="false">IF(NOT(ISNUMBER(B474)),"",ROUND((INDEX(BP!$D$5:$D$9,MATCH(B474,BP!$A$5:$A$9,1))-INDEX(BP!$C$5:$C$9,MATCH(B474,BP!$A$5:$A$9,1)))/(INDEX(BP!$B$5:$B$9,MATCH(B474,BP!$A$5:$A$9,1))-INDEX(BP!$A$5:$A$9,MATCH(B474,BP!$A$5:$A$9,1)))*(B474-INDEX(BP!$A$5:$A$9,MATCH(B474,BP!$A$5:$A$9,1)))+INDEX(BP!$C$5:$C$9,MATCH(B474,BP!$A$5:$A$9,1)),0))</f>
        <v>35</v>
      </c>
      <c r="D474" s="12" t="str">
        <f aca="false">IF(NOT(ISNUMBER(C474)),"",INDEX(BP!$F$5:$F$9,MATCH(C474,BP!$E$5:$E$9,1)))</f>
        <v>ดี</v>
      </c>
      <c r="E474" s="12" t="n">
        <f aca="false">YEAR(A474)</f>
        <v>2022</v>
      </c>
      <c r="F474" s="12" t="n">
        <f aca="false">MONTH(A474)</f>
        <v>4</v>
      </c>
      <c r="G474" s="12" t="n">
        <v>17.9</v>
      </c>
      <c r="H474" s="12" t="n">
        <v>38.2</v>
      </c>
      <c r="I474" s="12" t="n">
        <v>96</v>
      </c>
      <c r="J474" s="12" t="n">
        <v>2</v>
      </c>
      <c r="K474" s="12" t="n">
        <v>0</v>
      </c>
      <c r="L474" s="12" t="s">
        <v>36</v>
      </c>
    </row>
    <row r="475" customFormat="false" ht="15" hidden="false" customHeight="false" outlineLevel="0" collapsed="false">
      <c r="A475" s="11" t="n">
        <v>44670</v>
      </c>
      <c r="B475" s="12" t="n">
        <v>21</v>
      </c>
      <c r="C475" s="12" t="n">
        <f aca="false">IF(NOT(ISNUMBER(B475)),"",ROUND((INDEX(BP!$D$5:$D$9,MATCH(B475,BP!$A$5:$A$9,1))-INDEX(BP!$C$5:$C$9,MATCH(B475,BP!$A$5:$A$9,1)))/(INDEX(BP!$B$5:$B$9,MATCH(B475,BP!$A$5:$A$9,1))-INDEX(BP!$A$5:$A$9,MATCH(B475,BP!$A$5:$A$9,1)))*(B475-INDEX(BP!$A$5:$A$9,MATCH(B475,BP!$A$5:$A$9,1)))+INDEX(BP!$C$5:$C$9,MATCH(B475,BP!$A$5:$A$9,1)),0))</f>
        <v>40</v>
      </c>
      <c r="D475" s="12" t="str">
        <f aca="false">IF(NOT(ISNUMBER(C475)),"",INDEX(BP!$F$5:$F$9,MATCH(C475,BP!$E$5:$E$9,1)))</f>
        <v>ดี</v>
      </c>
      <c r="E475" s="12" t="n">
        <f aca="false">YEAR(A475)</f>
        <v>2022</v>
      </c>
      <c r="F475" s="12" t="n">
        <f aca="false">MONTH(A475)</f>
        <v>4</v>
      </c>
      <c r="G475" s="12" t="n">
        <v>15</v>
      </c>
      <c r="H475" s="12" t="n">
        <v>33.5</v>
      </c>
      <c r="I475" s="12" t="n">
        <v>76</v>
      </c>
      <c r="J475" s="12" t="n">
        <v>5</v>
      </c>
      <c r="K475" s="12" t="n">
        <v>9.6</v>
      </c>
      <c r="L475" s="12" t="s">
        <v>36</v>
      </c>
    </row>
    <row r="476" customFormat="false" ht="15" hidden="false" customHeight="false" outlineLevel="0" collapsed="false">
      <c r="A476" s="11" t="n">
        <v>44671</v>
      </c>
      <c r="B476" s="12" t="n">
        <v>16</v>
      </c>
      <c r="C476" s="12" t="n">
        <f aca="false">IF(NOT(ISNUMBER(B476)),"",ROUND((INDEX(BP!$D$5:$D$9,MATCH(B476,BP!$A$5:$A$9,1))-INDEX(BP!$C$5:$C$9,MATCH(B476,BP!$A$5:$A$9,1)))/(INDEX(BP!$B$5:$B$9,MATCH(B476,BP!$A$5:$A$9,1))-INDEX(BP!$A$5:$A$9,MATCH(B476,BP!$A$5:$A$9,1)))*(B476-INDEX(BP!$A$5:$A$9,MATCH(B476,BP!$A$5:$A$9,1)))+INDEX(BP!$C$5:$C$9,MATCH(B476,BP!$A$5:$A$9,1)),0))</f>
        <v>28</v>
      </c>
      <c r="D476" s="12" t="str">
        <f aca="false">IF(NOT(ISNUMBER(C476)),"",INDEX(BP!$F$5:$F$9,MATCH(C476,BP!$E$5:$E$9,1)))</f>
        <v>ดี</v>
      </c>
      <c r="E476" s="12" t="n">
        <f aca="false">YEAR(A476)</f>
        <v>2022</v>
      </c>
      <c r="F476" s="12" t="n">
        <f aca="false">MONTH(A476)</f>
        <v>4</v>
      </c>
      <c r="G476" s="12" t="n">
        <v>11.5</v>
      </c>
      <c r="H476" s="12" t="n">
        <v>30.6</v>
      </c>
      <c r="I476" s="12" t="n">
        <v>82</v>
      </c>
      <c r="J476" s="12" t="n">
        <v>10.7</v>
      </c>
      <c r="K476" s="12" t="n">
        <v>2.6</v>
      </c>
      <c r="L476" s="12" t="s">
        <v>36</v>
      </c>
    </row>
    <row r="477" customFormat="false" ht="15" hidden="false" customHeight="false" outlineLevel="0" collapsed="false">
      <c r="A477" s="11" t="n">
        <v>44672</v>
      </c>
      <c r="B477" s="12" t="n">
        <v>17</v>
      </c>
      <c r="C477" s="12" t="n">
        <f aca="false">IF(NOT(ISNUMBER(B477)),"",ROUND((INDEX(BP!$D$5:$D$9,MATCH(B477,BP!$A$5:$A$9,1))-INDEX(BP!$C$5:$C$9,MATCH(B477,BP!$A$5:$A$9,1)))/(INDEX(BP!$B$5:$B$9,MATCH(B477,BP!$A$5:$A$9,1))-INDEX(BP!$A$5:$A$9,MATCH(B477,BP!$A$5:$A$9,1)))*(B477-INDEX(BP!$A$5:$A$9,MATCH(B477,BP!$A$5:$A$9,1)))+INDEX(BP!$C$5:$C$9,MATCH(B477,BP!$A$5:$A$9,1)),0))</f>
        <v>31</v>
      </c>
      <c r="D477" s="12" t="str">
        <f aca="false">IF(NOT(ISNUMBER(C477)),"",INDEX(BP!$F$5:$F$9,MATCH(C477,BP!$E$5:$E$9,1)))</f>
        <v>ดี</v>
      </c>
      <c r="E477" s="12" t="n">
        <f aca="false">YEAR(A477)</f>
        <v>2022</v>
      </c>
      <c r="F477" s="12" t="n">
        <f aca="false">MONTH(A477)</f>
        <v>4</v>
      </c>
      <c r="G477" s="12" t="n">
        <v>16</v>
      </c>
      <c r="H477" s="12" t="n">
        <v>35.6</v>
      </c>
      <c r="I477" s="12" t="n">
        <v>84</v>
      </c>
      <c r="J477" s="12" t="n">
        <v>1.5</v>
      </c>
      <c r="K477" s="12" t="n">
        <v>0</v>
      </c>
      <c r="L477" s="12" t="s">
        <v>36</v>
      </c>
    </row>
    <row r="478" customFormat="false" ht="15" hidden="false" customHeight="false" outlineLevel="0" collapsed="false">
      <c r="A478" s="11" t="n">
        <v>44673</v>
      </c>
      <c r="B478" s="12" t="n">
        <v>13</v>
      </c>
      <c r="C478" s="12" t="n">
        <f aca="false">IF(NOT(ISNUMBER(B478)),"",ROUND((INDEX(BP!$D$5:$D$9,MATCH(B478,BP!$A$5:$A$9,1))-INDEX(BP!$C$5:$C$9,MATCH(B478,BP!$A$5:$A$9,1)))/(INDEX(BP!$B$5:$B$9,MATCH(B478,BP!$A$5:$A$9,1))-INDEX(BP!$A$5:$A$9,MATCH(B478,BP!$A$5:$A$9,1)))*(B478-INDEX(BP!$A$5:$A$9,MATCH(B478,BP!$A$5:$A$9,1)))+INDEX(BP!$C$5:$C$9,MATCH(B478,BP!$A$5:$A$9,1)),0))</f>
        <v>22</v>
      </c>
      <c r="D478" s="12" t="str">
        <f aca="false">IF(NOT(ISNUMBER(C478)),"",INDEX(BP!$F$5:$F$9,MATCH(C478,BP!$E$5:$E$9,1)))</f>
        <v>ดีมาก</v>
      </c>
      <c r="E478" s="12" t="n">
        <f aca="false">YEAR(A478)</f>
        <v>2022</v>
      </c>
      <c r="F478" s="12" t="n">
        <f aca="false">MONTH(A478)</f>
        <v>4</v>
      </c>
      <c r="G478" s="12" t="n">
        <v>17.4</v>
      </c>
      <c r="H478" s="12" t="n">
        <v>37.8</v>
      </c>
      <c r="I478" s="12" t="n">
        <v>90</v>
      </c>
      <c r="J478" s="12" t="n">
        <v>0.5</v>
      </c>
      <c r="K478" s="12" t="n">
        <v>0</v>
      </c>
      <c r="L478" s="12" t="s">
        <v>36</v>
      </c>
    </row>
    <row r="479" customFormat="false" ht="15" hidden="false" customHeight="false" outlineLevel="0" collapsed="false">
      <c r="A479" s="11" t="n">
        <v>44674</v>
      </c>
      <c r="B479" s="12" t="n">
        <v>14</v>
      </c>
      <c r="C479" s="12" t="n">
        <f aca="false">IF(NOT(ISNUMBER(B479)),"",ROUND((INDEX(BP!$D$5:$D$9,MATCH(B479,BP!$A$5:$A$9,1))-INDEX(BP!$C$5:$C$9,MATCH(B479,BP!$A$5:$A$9,1)))/(INDEX(BP!$B$5:$B$9,MATCH(B479,BP!$A$5:$A$9,1))-INDEX(BP!$A$5:$A$9,MATCH(B479,BP!$A$5:$A$9,1)))*(B479-INDEX(BP!$A$5:$A$9,MATCH(B479,BP!$A$5:$A$9,1)))+INDEX(BP!$C$5:$C$9,MATCH(B479,BP!$A$5:$A$9,1)),0))</f>
        <v>23</v>
      </c>
      <c r="D479" s="12" t="str">
        <f aca="false">IF(NOT(ISNUMBER(C479)),"",INDEX(BP!$F$5:$F$9,MATCH(C479,BP!$E$5:$E$9,1)))</f>
        <v>ดีมาก</v>
      </c>
      <c r="E479" s="12" t="n">
        <f aca="false">YEAR(A479)</f>
        <v>2022</v>
      </c>
      <c r="F479" s="12" t="n">
        <f aca="false">MONTH(A479)</f>
        <v>4</v>
      </c>
      <c r="G479" s="12" t="n">
        <v>12.8</v>
      </c>
      <c r="H479" s="12" t="n">
        <v>28.1</v>
      </c>
      <c r="I479" s="12" t="n">
        <v>96</v>
      </c>
      <c r="J479" s="12" t="n">
        <v>0.3</v>
      </c>
      <c r="K479" s="12" t="n">
        <v>0</v>
      </c>
      <c r="L479" s="12" t="s">
        <v>35</v>
      </c>
    </row>
    <row r="480" customFormat="false" ht="15" hidden="false" customHeight="false" outlineLevel="0" collapsed="false">
      <c r="A480" s="11" t="n">
        <v>44675</v>
      </c>
      <c r="B480" s="12" t="n">
        <v>14</v>
      </c>
      <c r="C480" s="12" t="n">
        <f aca="false">IF(NOT(ISNUMBER(B480)),"",ROUND((INDEX(BP!$D$5:$D$9,MATCH(B480,BP!$A$5:$A$9,1))-INDEX(BP!$C$5:$C$9,MATCH(B480,BP!$A$5:$A$9,1)))/(INDEX(BP!$B$5:$B$9,MATCH(B480,BP!$A$5:$A$9,1))-INDEX(BP!$A$5:$A$9,MATCH(B480,BP!$A$5:$A$9,1)))*(B480-INDEX(BP!$A$5:$A$9,MATCH(B480,BP!$A$5:$A$9,1)))+INDEX(BP!$C$5:$C$9,MATCH(B480,BP!$A$5:$A$9,1)),0))</f>
        <v>23</v>
      </c>
      <c r="D480" s="12" t="str">
        <f aca="false">IF(NOT(ISNUMBER(C480)),"",INDEX(BP!$F$5:$F$9,MATCH(C480,BP!$E$5:$E$9,1)))</f>
        <v>ดีมาก</v>
      </c>
      <c r="E480" s="12" t="n">
        <f aca="false">YEAR(A480)</f>
        <v>2022</v>
      </c>
      <c r="F480" s="12" t="n">
        <f aca="false">MONTH(A480)</f>
        <v>4</v>
      </c>
      <c r="G480" s="12" t="n">
        <v>12.7</v>
      </c>
      <c r="H480" s="12" t="n">
        <v>29.2</v>
      </c>
      <c r="I480" s="12" t="n">
        <v>106</v>
      </c>
      <c r="J480" s="12" t="n">
        <v>1.1</v>
      </c>
      <c r="K480" s="12" t="n">
        <v>0</v>
      </c>
      <c r="L480" s="12" t="s">
        <v>35</v>
      </c>
    </row>
    <row r="481" customFormat="false" ht="15" hidden="false" customHeight="false" outlineLevel="0" collapsed="false">
      <c r="A481" s="11" t="n">
        <v>44676</v>
      </c>
      <c r="B481" s="12" t="n">
        <v>14</v>
      </c>
      <c r="C481" s="12" t="n">
        <f aca="false">IF(NOT(ISNUMBER(B481)),"",ROUND((INDEX(BP!$D$5:$D$9,MATCH(B481,BP!$A$5:$A$9,1))-INDEX(BP!$C$5:$C$9,MATCH(B481,BP!$A$5:$A$9,1)))/(INDEX(BP!$B$5:$B$9,MATCH(B481,BP!$A$5:$A$9,1))-INDEX(BP!$A$5:$A$9,MATCH(B481,BP!$A$5:$A$9,1)))*(B481-INDEX(BP!$A$5:$A$9,MATCH(B481,BP!$A$5:$A$9,1)))+INDEX(BP!$C$5:$C$9,MATCH(B481,BP!$A$5:$A$9,1)),0))</f>
        <v>23</v>
      </c>
      <c r="D481" s="12" t="str">
        <f aca="false">IF(NOT(ISNUMBER(C481)),"",INDEX(BP!$F$5:$F$9,MATCH(C481,BP!$E$5:$E$9,1)))</f>
        <v>ดีมาก</v>
      </c>
      <c r="E481" s="12" t="n">
        <f aca="false">YEAR(A481)</f>
        <v>2022</v>
      </c>
      <c r="F481" s="12" t="n">
        <f aca="false">MONTH(A481)</f>
        <v>4</v>
      </c>
      <c r="G481" s="12" t="n">
        <v>12.7</v>
      </c>
      <c r="H481" s="12" t="n">
        <v>29.9</v>
      </c>
      <c r="I481" s="12" t="n">
        <v>117</v>
      </c>
      <c r="J481" s="12" t="n">
        <v>4.4</v>
      </c>
      <c r="K481" s="12" t="n">
        <v>0</v>
      </c>
      <c r="L481" s="12" t="s">
        <v>36</v>
      </c>
    </row>
    <row r="482" customFormat="false" ht="15" hidden="false" customHeight="false" outlineLevel="0" collapsed="false">
      <c r="A482" s="11" t="n">
        <v>44677</v>
      </c>
      <c r="B482" s="12" t="n">
        <v>20</v>
      </c>
      <c r="C482" s="12" t="n">
        <f aca="false">IF(NOT(ISNUMBER(B482)),"",ROUND((INDEX(BP!$D$5:$D$9,MATCH(B482,BP!$A$5:$A$9,1))-INDEX(BP!$C$5:$C$9,MATCH(B482,BP!$A$5:$A$9,1)))/(INDEX(BP!$B$5:$B$9,MATCH(B482,BP!$A$5:$A$9,1))-INDEX(BP!$A$5:$A$9,MATCH(B482,BP!$A$5:$A$9,1)))*(B482-INDEX(BP!$A$5:$A$9,MATCH(B482,BP!$A$5:$A$9,1)))+INDEX(BP!$C$5:$C$9,MATCH(B482,BP!$A$5:$A$9,1)),0))</f>
        <v>38</v>
      </c>
      <c r="D482" s="12" t="str">
        <f aca="false">IF(NOT(ISNUMBER(C482)),"",INDEX(BP!$F$5:$F$9,MATCH(C482,BP!$E$5:$E$9,1)))</f>
        <v>ดี</v>
      </c>
      <c r="E482" s="12" t="n">
        <f aca="false">YEAR(A482)</f>
        <v>2022</v>
      </c>
      <c r="F482" s="12" t="n">
        <f aca="false">MONTH(A482)</f>
        <v>4</v>
      </c>
      <c r="G482" s="12" t="n">
        <v>7.1</v>
      </c>
      <c r="H482" s="12" t="n">
        <v>27</v>
      </c>
      <c r="I482" s="12" t="n">
        <v>234</v>
      </c>
      <c r="J482" s="12" t="n">
        <v>4.3</v>
      </c>
      <c r="K482" s="12" t="n">
        <v>0.2</v>
      </c>
      <c r="L482" s="12" t="s">
        <v>36</v>
      </c>
    </row>
    <row r="483" customFormat="false" ht="15" hidden="false" customHeight="false" outlineLevel="0" collapsed="false">
      <c r="A483" s="11" t="n">
        <v>44678</v>
      </c>
      <c r="B483" s="12" t="n">
        <v>14</v>
      </c>
      <c r="C483" s="12" t="n">
        <f aca="false">IF(NOT(ISNUMBER(B483)),"",ROUND((INDEX(BP!$D$5:$D$9,MATCH(B483,BP!$A$5:$A$9,1))-INDEX(BP!$C$5:$C$9,MATCH(B483,BP!$A$5:$A$9,1)))/(INDEX(BP!$B$5:$B$9,MATCH(B483,BP!$A$5:$A$9,1))-INDEX(BP!$A$5:$A$9,MATCH(B483,BP!$A$5:$A$9,1)))*(B483-INDEX(BP!$A$5:$A$9,MATCH(B483,BP!$A$5:$A$9,1)))+INDEX(BP!$C$5:$C$9,MATCH(B483,BP!$A$5:$A$9,1)),0))</f>
        <v>23</v>
      </c>
      <c r="D483" s="12" t="str">
        <f aca="false">IF(NOT(ISNUMBER(C483)),"",INDEX(BP!$F$5:$F$9,MATCH(C483,BP!$E$5:$E$9,1)))</f>
        <v>ดีมาก</v>
      </c>
      <c r="E483" s="12" t="n">
        <f aca="false">YEAR(A483)</f>
        <v>2022</v>
      </c>
      <c r="F483" s="12" t="n">
        <f aca="false">MONTH(A483)</f>
        <v>4</v>
      </c>
      <c r="G483" s="12" t="n">
        <v>12</v>
      </c>
      <c r="H483" s="12" t="n">
        <v>29.2</v>
      </c>
      <c r="I483" s="12" t="n">
        <v>77</v>
      </c>
      <c r="J483" s="12" t="n">
        <v>0.8</v>
      </c>
      <c r="K483" s="12" t="n">
        <v>0</v>
      </c>
      <c r="L483" s="12" t="s">
        <v>36</v>
      </c>
    </row>
    <row r="484" customFormat="false" ht="15" hidden="false" customHeight="false" outlineLevel="0" collapsed="false">
      <c r="A484" s="11" t="n">
        <v>44679</v>
      </c>
      <c r="B484" s="12" t="n">
        <v>17</v>
      </c>
      <c r="C484" s="12" t="n">
        <f aca="false">IF(NOT(ISNUMBER(B484)),"",ROUND((INDEX(BP!$D$5:$D$9,MATCH(B484,BP!$A$5:$A$9,1))-INDEX(BP!$C$5:$C$9,MATCH(B484,BP!$A$5:$A$9,1)))/(INDEX(BP!$B$5:$B$9,MATCH(B484,BP!$A$5:$A$9,1))-INDEX(BP!$A$5:$A$9,MATCH(B484,BP!$A$5:$A$9,1)))*(B484-INDEX(BP!$A$5:$A$9,MATCH(B484,BP!$A$5:$A$9,1)))+INDEX(BP!$C$5:$C$9,MATCH(B484,BP!$A$5:$A$9,1)),0))</f>
        <v>31</v>
      </c>
      <c r="D484" s="12" t="str">
        <f aca="false">IF(NOT(ISNUMBER(C484)),"",INDEX(BP!$F$5:$F$9,MATCH(C484,BP!$E$5:$E$9,1)))</f>
        <v>ดี</v>
      </c>
      <c r="E484" s="12" t="n">
        <f aca="false">YEAR(A484)</f>
        <v>2022</v>
      </c>
      <c r="F484" s="12" t="n">
        <f aca="false">MONTH(A484)</f>
        <v>4</v>
      </c>
      <c r="G484" s="12" t="n">
        <v>10.4</v>
      </c>
      <c r="H484" s="12" t="n">
        <v>25.9</v>
      </c>
      <c r="I484" s="12" t="n">
        <v>123</v>
      </c>
      <c r="J484" s="12" t="n">
        <v>0</v>
      </c>
      <c r="K484" s="12" t="n">
        <v>0</v>
      </c>
      <c r="L484" s="12" t="s">
        <v>36</v>
      </c>
    </row>
    <row r="485" customFormat="false" ht="15" hidden="false" customHeight="false" outlineLevel="0" collapsed="false">
      <c r="A485" s="11" t="n">
        <v>44680</v>
      </c>
      <c r="B485" s="12" t="n">
        <v>20</v>
      </c>
      <c r="C485" s="12" t="n">
        <f aca="false">IF(NOT(ISNUMBER(B485)),"",ROUND((INDEX(BP!$D$5:$D$9,MATCH(B485,BP!$A$5:$A$9,1))-INDEX(BP!$C$5:$C$9,MATCH(B485,BP!$A$5:$A$9,1)))/(INDEX(BP!$B$5:$B$9,MATCH(B485,BP!$A$5:$A$9,1))-INDEX(BP!$A$5:$A$9,MATCH(B485,BP!$A$5:$A$9,1)))*(B485-INDEX(BP!$A$5:$A$9,MATCH(B485,BP!$A$5:$A$9,1)))+INDEX(BP!$C$5:$C$9,MATCH(B485,BP!$A$5:$A$9,1)),0))</f>
        <v>38</v>
      </c>
      <c r="D485" s="12" t="str">
        <f aca="false">IF(NOT(ISNUMBER(C485)),"",INDEX(BP!$F$5:$F$9,MATCH(C485,BP!$E$5:$E$9,1)))</f>
        <v>ดี</v>
      </c>
      <c r="E485" s="12" t="n">
        <f aca="false">YEAR(A485)</f>
        <v>2022</v>
      </c>
      <c r="F485" s="12" t="n">
        <f aca="false">MONTH(A485)</f>
        <v>4</v>
      </c>
      <c r="G485" s="12" t="n">
        <v>11.3</v>
      </c>
      <c r="H485" s="12" t="n">
        <v>31.7</v>
      </c>
      <c r="I485" s="12" t="n">
        <v>292</v>
      </c>
      <c r="J485" s="12" t="n">
        <v>10.7</v>
      </c>
      <c r="K485" s="12" t="n">
        <v>17.8</v>
      </c>
      <c r="L485" s="12" t="s">
        <v>36</v>
      </c>
    </row>
    <row r="486" customFormat="false" ht="15" hidden="false" customHeight="false" outlineLevel="0" collapsed="false">
      <c r="A486" s="11" t="n">
        <v>44681</v>
      </c>
      <c r="B486" s="12" t="n">
        <v>15</v>
      </c>
      <c r="C486" s="12" t="n">
        <f aca="false">IF(NOT(ISNUMBER(B486)),"",ROUND((INDEX(BP!$D$5:$D$9,MATCH(B486,BP!$A$5:$A$9,1))-INDEX(BP!$C$5:$C$9,MATCH(B486,BP!$A$5:$A$9,1)))/(INDEX(BP!$B$5:$B$9,MATCH(B486,BP!$A$5:$A$9,1))-INDEX(BP!$A$5:$A$9,MATCH(B486,BP!$A$5:$A$9,1)))*(B486-INDEX(BP!$A$5:$A$9,MATCH(B486,BP!$A$5:$A$9,1)))+INDEX(BP!$C$5:$C$9,MATCH(B486,BP!$A$5:$A$9,1)),0))</f>
        <v>25</v>
      </c>
      <c r="D486" s="12" t="str">
        <f aca="false">IF(NOT(ISNUMBER(C486)),"",INDEX(BP!$F$5:$F$9,MATCH(C486,BP!$E$5:$E$9,1)))</f>
        <v>ดีมาก</v>
      </c>
      <c r="E486" s="12" t="n">
        <f aca="false">YEAR(A486)</f>
        <v>2022</v>
      </c>
      <c r="F486" s="12" t="n">
        <f aca="false">MONTH(A486)</f>
        <v>4</v>
      </c>
      <c r="G486" s="12" t="n">
        <v>9.7</v>
      </c>
      <c r="H486" s="12" t="n">
        <v>24.5</v>
      </c>
      <c r="I486" s="12" t="n">
        <v>251</v>
      </c>
      <c r="J486" s="12" t="n">
        <v>2.7</v>
      </c>
      <c r="K486" s="12" t="n">
        <v>35.2</v>
      </c>
      <c r="L486" s="12" t="s">
        <v>35</v>
      </c>
    </row>
    <row r="487" customFormat="false" ht="15" hidden="false" customHeight="false" outlineLevel="0" collapsed="false">
      <c r="A487" s="11" t="n">
        <v>44682</v>
      </c>
      <c r="B487" s="12" t="n">
        <v>18</v>
      </c>
      <c r="C487" s="12" t="n">
        <f aca="false">IF(NOT(ISNUMBER(B487)),"",ROUND((INDEX(BP!$D$5:$D$9,MATCH(B487,BP!$A$5:$A$9,1))-INDEX(BP!$C$5:$C$9,MATCH(B487,BP!$A$5:$A$9,1)))/(INDEX(BP!$B$5:$B$9,MATCH(B487,BP!$A$5:$A$9,1))-INDEX(BP!$A$5:$A$9,MATCH(B487,BP!$A$5:$A$9,1)))*(B487-INDEX(BP!$A$5:$A$9,MATCH(B487,BP!$A$5:$A$9,1)))+INDEX(BP!$C$5:$C$9,MATCH(B487,BP!$A$5:$A$9,1)),0))</f>
        <v>33</v>
      </c>
      <c r="D487" s="12" t="str">
        <f aca="false">IF(NOT(ISNUMBER(C487)),"",INDEX(BP!$F$5:$F$9,MATCH(C487,BP!$E$5:$E$9,1)))</f>
        <v>ดี</v>
      </c>
      <c r="E487" s="12" t="n">
        <f aca="false">YEAR(A487)</f>
        <v>2022</v>
      </c>
      <c r="F487" s="12" t="n">
        <f aca="false">MONTH(A487)</f>
        <v>5</v>
      </c>
      <c r="G487" s="12" t="n">
        <v>17.3</v>
      </c>
      <c r="H487" s="12" t="n">
        <v>34.2</v>
      </c>
      <c r="I487" s="12" t="n">
        <v>202</v>
      </c>
      <c r="J487" s="12" t="n">
        <v>8.2</v>
      </c>
      <c r="K487" s="12" t="n">
        <v>14.8</v>
      </c>
      <c r="L487" s="12" t="s">
        <v>34</v>
      </c>
    </row>
    <row r="488" customFormat="false" ht="15" hidden="false" customHeight="false" outlineLevel="0" collapsed="false">
      <c r="A488" s="11" t="n">
        <v>44683</v>
      </c>
      <c r="B488" s="12" t="n">
        <v>14</v>
      </c>
      <c r="C488" s="12" t="n">
        <f aca="false">IF(NOT(ISNUMBER(B488)),"",ROUND((INDEX(BP!$D$5:$D$9,MATCH(B488,BP!$A$5:$A$9,1))-INDEX(BP!$C$5:$C$9,MATCH(B488,BP!$A$5:$A$9,1)))/(INDEX(BP!$B$5:$B$9,MATCH(B488,BP!$A$5:$A$9,1))-INDEX(BP!$A$5:$A$9,MATCH(B488,BP!$A$5:$A$9,1)))*(B488-INDEX(BP!$A$5:$A$9,MATCH(B488,BP!$A$5:$A$9,1)))+INDEX(BP!$C$5:$C$9,MATCH(B488,BP!$A$5:$A$9,1)),0))</f>
        <v>23</v>
      </c>
      <c r="D488" s="12" t="str">
        <f aca="false">IF(NOT(ISNUMBER(C488)),"",INDEX(BP!$F$5:$F$9,MATCH(C488,BP!$E$5:$E$9,1)))</f>
        <v>ดีมาก</v>
      </c>
      <c r="E488" s="12" t="n">
        <f aca="false">YEAR(A488)</f>
        <v>2022</v>
      </c>
      <c r="F488" s="12" t="n">
        <f aca="false">MONTH(A488)</f>
        <v>5</v>
      </c>
      <c r="G488" s="12" t="n">
        <v>15.3</v>
      </c>
      <c r="H488" s="12" t="n">
        <v>33.5</v>
      </c>
      <c r="I488" s="12" t="n">
        <v>216</v>
      </c>
      <c r="J488" s="12" t="n">
        <v>11.5</v>
      </c>
      <c r="K488" s="12" t="n">
        <v>11</v>
      </c>
      <c r="L488" s="12" t="s">
        <v>34</v>
      </c>
    </row>
    <row r="489" customFormat="false" ht="15" hidden="false" customHeight="false" outlineLevel="0" collapsed="false">
      <c r="A489" s="11" t="n">
        <v>44684</v>
      </c>
      <c r="B489" s="12" t="n">
        <v>14</v>
      </c>
      <c r="C489" s="12" t="n">
        <f aca="false">IF(NOT(ISNUMBER(B489)),"",ROUND((INDEX(BP!$D$5:$D$9,MATCH(B489,BP!$A$5:$A$9,1))-INDEX(BP!$C$5:$C$9,MATCH(B489,BP!$A$5:$A$9,1)))/(INDEX(BP!$B$5:$B$9,MATCH(B489,BP!$A$5:$A$9,1))-INDEX(BP!$A$5:$A$9,MATCH(B489,BP!$A$5:$A$9,1)))*(B489-INDEX(BP!$A$5:$A$9,MATCH(B489,BP!$A$5:$A$9,1)))+INDEX(BP!$C$5:$C$9,MATCH(B489,BP!$A$5:$A$9,1)),0))</f>
        <v>23</v>
      </c>
      <c r="D489" s="12" t="str">
        <f aca="false">IF(NOT(ISNUMBER(C489)),"",INDEX(BP!$F$5:$F$9,MATCH(C489,BP!$E$5:$E$9,1)))</f>
        <v>ดีมาก</v>
      </c>
      <c r="E489" s="12" t="n">
        <f aca="false">YEAR(A489)</f>
        <v>2022</v>
      </c>
      <c r="F489" s="12" t="n">
        <f aca="false">MONTH(A489)</f>
        <v>5</v>
      </c>
      <c r="G489" s="12" t="n">
        <v>10.7</v>
      </c>
      <c r="H489" s="12" t="n">
        <v>28.1</v>
      </c>
      <c r="I489" s="12" t="n">
        <v>227</v>
      </c>
      <c r="J489" s="12" t="n">
        <v>10.7</v>
      </c>
      <c r="K489" s="12" t="n">
        <v>14.2</v>
      </c>
      <c r="L489" s="12" t="s">
        <v>36</v>
      </c>
    </row>
    <row r="490" customFormat="false" ht="15" hidden="false" customHeight="false" outlineLevel="0" collapsed="false">
      <c r="A490" s="11" t="n">
        <v>44685</v>
      </c>
      <c r="B490" s="12" t="n">
        <v>15</v>
      </c>
      <c r="C490" s="12" t="n">
        <f aca="false">IF(NOT(ISNUMBER(B490)),"",ROUND((INDEX(BP!$D$5:$D$9,MATCH(B490,BP!$A$5:$A$9,1))-INDEX(BP!$C$5:$C$9,MATCH(B490,BP!$A$5:$A$9,1)))/(INDEX(BP!$B$5:$B$9,MATCH(B490,BP!$A$5:$A$9,1))-INDEX(BP!$A$5:$A$9,MATCH(B490,BP!$A$5:$A$9,1)))*(B490-INDEX(BP!$A$5:$A$9,MATCH(B490,BP!$A$5:$A$9,1)))+INDEX(BP!$C$5:$C$9,MATCH(B490,BP!$A$5:$A$9,1)),0))</f>
        <v>25</v>
      </c>
      <c r="D490" s="12" t="str">
        <f aca="false">IF(NOT(ISNUMBER(C490)),"",INDEX(BP!$F$5:$F$9,MATCH(C490,BP!$E$5:$E$9,1)))</f>
        <v>ดีมาก</v>
      </c>
      <c r="E490" s="12" t="n">
        <f aca="false">YEAR(A490)</f>
        <v>2022</v>
      </c>
      <c r="F490" s="12" t="n">
        <f aca="false">MONTH(A490)</f>
        <v>5</v>
      </c>
      <c r="G490" s="12" t="n">
        <v>6.6</v>
      </c>
      <c r="H490" s="12" t="n">
        <v>15.8</v>
      </c>
      <c r="I490" s="12" t="n">
        <v>136</v>
      </c>
      <c r="J490" s="12" t="n">
        <v>5.6</v>
      </c>
      <c r="K490" s="12" t="n">
        <v>22.2</v>
      </c>
      <c r="L490" s="12" t="s">
        <v>34</v>
      </c>
    </row>
    <row r="491" customFormat="false" ht="15" hidden="false" customHeight="false" outlineLevel="0" collapsed="false">
      <c r="A491" s="11" t="n">
        <v>44686</v>
      </c>
      <c r="B491" s="12" t="n">
        <v>13</v>
      </c>
      <c r="C491" s="12" t="n">
        <f aca="false">IF(NOT(ISNUMBER(B491)),"",ROUND((INDEX(BP!$D$5:$D$9,MATCH(B491,BP!$A$5:$A$9,1))-INDEX(BP!$C$5:$C$9,MATCH(B491,BP!$A$5:$A$9,1)))/(INDEX(BP!$B$5:$B$9,MATCH(B491,BP!$A$5:$A$9,1))-INDEX(BP!$A$5:$A$9,MATCH(B491,BP!$A$5:$A$9,1)))*(B491-INDEX(BP!$A$5:$A$9,MATCH(B491,BP!$A$5:$A$9,1)))+INDEX(BP!$C$5:$C$9,MATCH(B491,BP!$A$5:$A$9,1)),0))</f>
        <v>22</v>
      </c>
      <c r="D491" s="12" t="str">
        <f aca="false">IF(NOT(ISNUMBER(C491)),"",INDEX(BP!$F$5:$F$9,MATCH(C491,BP!$E$5:$E$9,1)))</f>
        <v>ดีมาก</v>
      </c>
      <c r="E491" s="12" t="n">
        <f aca="false">YEAR(A491)</f>
        <v>2022</v>
      </c>
      <c r="F491" s="12" t="n">
        <f aca="false">MONTH(A491)</f>
        <v>5</v>
      </c>
      <c r="G491" s="12" t="n">
        <v>12.3</v>
      </c>
      <c r="H491" s="12" t="n">
        <v>28.8</v>
      </c>
      <c r="I491" s="12" t="n">
        <v>136</v>
      </c>
      <c r="J491" s="12" t="n">
        <v>12.5</v>
      </c>
      <c r="K491" s="12" t="n">
        <v>38.8</v>
      </c>
      <c r="L491" s="12" t="s">
        <v>36</v>
      </c>
    </row>
    <row r="492" customFormat="false" ht="15" hidden="false" customHeight="false" outlineLevel="0" collapsed="false">
      <c r="A492" s="11" t="n">
        <v>44687</v>
      </c>
      <c r="B492" s="12" t="n">
        <v>16</v>
      </c>
      <c r="C492" s="12" t="n">
        <f aca="false">IF(NOT(ISNUMBER(B492)),"",ROUND((INDEX(BP!$D$5:$D$9,MATCH(B492,BP!$A$5:$A$9,1))-INDEX(BP!$C$5:$C$9,MATCH(B492,BP!$A$5:$A$9,1)))/(INDEX(BP!$B$5:$B$9,MATCH(B492,BP!$A$5:$A$9,1))-INDEX(BP!$A$5:$A$9,MATCH(B492,BP!$A$5:$A$9,1)))*(B492-INDEX(BP!$A$5:$A$9,MATCH(B492,BP!$A$5:$A$9,1)))+INDEX(BP!$C$5:$C$9,MATCH(B492,BP!$A$5:$A$9,1)),0))</f>
        <v>28</v>
      </c>
      <c r="D492" s="12" t="str">
        <f aca="false">IF(NOT(ISNUMBER(C492)),"",INDEX(BP!$F$5:$F$9,MATCH(C492,BP!$E$5:$E$9,1)))</f>
        <v>ดี</v>
      </c>
      <c r="E492" s="12" t="n">
        <f aca="false">YEAR(A492)</f>
        <v>2022</v>
      </c>
      <c r="F492" s="12" t="n">
        <f aca="false">MONTH(A492)</f>
        <v>5</v>
      </c>
      <c r="G492" s="12" t="n">
        <v>19.9</v>
      </c>
      <c r="H492" s="12" t="n">
        <v>41.4</v>
      </c>
      <c r="I492" s="12" t="n">
        <v>114</v>
      </c>
      <c r="J492" s="12" t="n">
        <v>9.6</v>
      </c>
      <c r="K492" s="12" t="n">
        <v>0.6</v>
      </c>
      <c r="L492" s="12" t="s">
        <v>36</v>
      </c>
    </row>
    <row r="493" customFormat="false" ht="15" hidden="false" customHeight="false" outlineLevel="0" collapsed="false">
      <c r="A493" s="11" t="n">
        <v>44688</v>
      </c>
      <c r="B493" s="12" t="n">
        <v>18</v>
      </c>
      <c r="C493" s="12" t="n">
        <f aca="false">IF(NOT(ISNUMBER(B493)),"",ROUND((INDEX(BP!$D$5:$D$9,MATCH(B493,BP!$A$5:$A$9,1))-INDEX(BP!$C$5:$C$9,MATCH(B493,BP!$A$5:$A$9,1)))/(INDEX(BP!$B$5:$B$9,MATCH(B493,BP!$A$5:$A$9,1))-INDEX(BP!$A$5:$A$9,MATCH(B493,BP!$A$5:$A$9,1)))*(B493-INDEX(BP!$A$5:$A$9,MATCH(B493,BP!$A$5:$A$9,1)))+INDEX(BP!$C$5:$C$9,MATCH(B493,BP!$A$5:$A$9,1)),0))</f>
        <v>33</v>
      </c>
      <c r="D493" s="12" t="str">
        <f aca="false">IF(NOT(ISNUMBER(C493)),"",INDEX(BP!$F$5:$F$9,MATCH(C493,BP!$E$5:$E$9,1)))</f>
        <v>ดี</v>
      </c>
      <c r="E493" s="12" t="n">
        <f aca="false">YEAR(A493)</f>
        <v>2022</v>
      </c>
      <c r="F493" s="12" t="n">
        <f aca="false">MONTH(A493)</f>
        <v>5</v>
      </c>
      <c r="G493" s="12" t="n">
        <v>14</v>
      </c>
      <c r="H493" s="12" t="n">
        <v>31.7</v>
      </c>
      <c r="I493" s="12" t="n">
        <v>120</v>
      </c>
      <c r="J493" s="12" t="n">
        <v>13.9</v>
      </c>
      <c r="K493" s="12" t="n">
        <v>15.6</v>
      </c>
      <c r="L493" s="12" t="s">
        <v>35</v>
      </c>
    </row>
    <row r="494" customFormat="false" ht="15" hidden="false" customHeight="false" outlineLevel="0" collapsed="false">
      <c r="A494" s="11" t="n">
        <v>44689</v>
      </c>
      <c r="B494" s="12" t="n">
        <v>15</v>
      </c>
      <c r="C494" s="12" t="n">
        <f aca="false">IF(NOT(ISNUMBER(B494)),"",ROUND((INDEX(BP!$D$5:$D$9,MATCH(B494,BP!$A$5:$A$9,1))-INDEX(BP!$C$5:$C$9,MATCH(B494,BP!$A$5:$A$9,1)))/(INDEX(BP!$B$5:$B$9,MATCH(B494,BP!$A$5:$A$9,1))-INDEX(BP!$A$5:$A$9,MATCH(B494,BP!$A$5:$A$9,1)))*(B494-INDEX(BP!$A$5:$A$9,MATCH(B494,BP!$A$5:$A$9,1)))+INDEX(BP!$C$5:$C$9,MATCH(B494,BP!$A$5:$A$9,1)),0))</f>
        <v>25</v>
      </c>
      <c r="D494" s="12" t="str">
        <f aca="false">IF(NOT(ISNUMBER(C494)),"",INDEX(BP!$F$5:$F$9,MATCH(C494,BP!$E$5:$E$9,1)))</f>
        <v>ดีมาก</v>
      </c>
      <c r="E494" s="12" t="n">
        <f aca="false">YEAR(A494)</f>
        <v>2022</v>
      </c>
      <c r="F494" s="12" t="n">
        <f aca="false">MONTH(A494)</f>
        <v>5</v>
      </c>
      <c r="G494" s="12" t="n">
        <v>14</v>
      </c>
      <c r="H494" s="12" t="n">
        <v>28.8</v>
      </c>
      <c r="I494" s="12" t="n">
        <v>121</v>
      </c>
      <c r="J494" s="12" t="n">
        <v>27.1</v>
      </c>
      <c r="K494" s="12" t="n">
        <v>9.2</v>
      </c>
      <c r="L494" s="12" t="s">
        <v>35</v>
      </c>
    </row>
    <row r="495" customFormat="false" ht="15" hidden="false" customHeight="false" outlineLevel="0" collapsed="false">
      <c r="A495" s="11" t="n">
        <v>44690</v>
      </c>
      <c r="B495" s="12" t="n">
        <v>12</v>
      </c>
      <c r="C495" s="12" t="n">
        <f aca="false">IF(NOT(ISNUMBER(B495)),"",ROUND((INDEX(BP!$D$5:$D$9,MATCH(B495,BP!$A$5:$A$9,1))-INDEX(BP!$C$5:$C$9,MATCH(B495,BP!$A$5:$A$9,1)))/(INDEX(BP!$B$5:$B$9,MATCH(B495,BP!$A$5:$A$9,1))-INDEX(BP!$A$5:$A$9,MATCH(B495,BP!$A$5:$A$9,1)))*(B495-INDEX(BP!$A$5:$A$9,MATCH(B495,BP!$A$5:$A$9,1)))+INDEX(BP!$C$5:$C$9,MATCH(B495,BP!$A$5:$A$9,1)),0))</f>
        <v>20</v>
      </c>
      <c r="D495" s="12" t="str">
        <f aca="false">IF(NOT(ISNUMBER(C495)),"",INDEX(BP!$F$5:$F$9,MATCH(C495,BP!$E$5:$E$9,1)))</f>
        <v>ดีมาก</v>
      </c>
      <c r="E495" s="12" t="n">
        <f aca="false">YEAR(A495)</f>
        <v>2022</v>
      </c>
      <c r="F495" s="12" t="n">
        <f aca="false">MONTH(A495)</f>
        <v>5</v>
      </c>
      <c r="G495" s="12" t="n">
        <v>9.5</v>
      </c>
      <c r="H495" s="12" t="n">
        <v>24.1</v>
      </c>
      <c r="I495" s="12" t="n">
        <v>124</v>
      </c>
      <c r="J495" s="12" t="n">
        <v>10.1</v>
      </c>
      <c r="K495" s="12" t="n">
        <v>0</v>
      </c>
      <c r="L495" s="12" t="s">
        <v>36</v>
      </c>
    </row>
    <row r="496" customFormat="false" ht="15" hidden="false" customHeight="false" outlineLevel="0" collapsed="false">
      <c r="A496" s="11" t="n">
        <v>44691</v>
      </c>
      <c r="B496" s="12" t="n">
        <v>15</v>
      </c>
      <c r="C496" s="12" t="n">
        <f aca="false">IF(NOT(ISNUMBER(B496)),"",ROUND((INDEX(BP!$D$5:$D$9,MATCH(B496,BP!$A$5:$A$9,1))-INDEX(BP!$C$5:$C$9,MATCH(B496,BP!$A$5:$A$9,1)))/(INDEX(BP!$B$5:$B$9,MATCH(B496,BP!$A$5:$A$9,1))-INDEX(BP!$A$5:$A$9,MATCH(B496,BP!$A$5:$A$9,1)))*(B496-INDEX(BP!$A$5:$A$9,MATCH(B496,BP!$A$5:$A$9,1)))+INDEX(BP!$C$5:$C$9,MATCH(B496,BP!$A$5:$A$9,1)),0))</f>
        <v>25</v>
      </c>
      <c r="D496" s="12" t="str">
        <f aca="false">IF(NOT(ISNUMBER(C496)),"",INDEX(BP!$F$5:$F$9,MATCH(C496,BP!$E$5:$E$9,1)))</f>
        <v>ดีมาก</v>
      </c>
      <c r="E496" s="12" t="n">
        <f aca="false">YEAR(A496)</f>
        <v>2022</v>
      </c>
      <c r="F496" s="12" t="n">
        <f aca="false">MONTH(A496)</f>
        <v>5</v>
      </c>
      <c r="G496" s="12" t="n">
        <v>6</v>
      </c>
      <c r="H496" s="12" t="n">
        <v>22.7</v>
      </c>
      <c r="I496" s="12" t="n">
        <v>339</v>
      </c>
      <c r="J496" s="12" t="n">
        <v>4.3</v>
      </c>
      <c r="K496" s="12" t="n">
        <v>0</v>
      </c>
      <c r="L496" s="12" t="s">
        <v>36</v>
      </c>
    </row>
    <row r="497" customFormat="false" ht="15" hidden="false" customHeight="false" outlineLevel="0" collapsed="false">
      <c r="A497" s="11" t="n">
        <v>44692</v>
      </c>
      <c r="B497" s="12" t="n">
        <v>15</v>
      </c>
      <c r="C497" s="12" t="n">
        <f aca="false">IF(NOT(ISNUMBER(B497)),"",ROUND((INDEX(BP!$D$5:$D$9,MATCH(B497,BP!$A$5:$A$9,1))-INDEX(BP!$C$5:$C$9,MATCH(B497,BP!$A$5:$A$9,1)))/(INDEX(BP!$B$5:$B$9,MATCH(B497,BP!$A$5:$A$9,1))-INDEX(BP!$A$5:$A$9,MATCH(B497,BP!$A$5:$A$9,1)))*(B497-INDEX(BP!$A$5:$A$9,MATCH(B497,BP!$A$5:$A$9,1)))+INDEX(BP!$C$5:$C$9,MATCH(B497,BP!$A$5:$A$9,1)),0))</f>
        <v>25</v>
      </c>
      <c r="D497" s="12" t="str">
        <f aca="false">IF(NOT(ISNUMBER(C497)),"",INDEX(BP!$F$5:$F$9,MATCH(C497,BP!$E$5:$E$9,1)))</f>
        <v>ดีมาก</v>
      </c>
      <c r="E497" s="12" t="n">
        <f aca="false">YEAR(A497)</f>
        <v>2022</v>
      </c>
      <c r="F497" s="12" t="n">
        <f aca="false">MONTH(A497)</f>
        <v>5</v>
      </c>
      <c r="G497" s="12" t="n">
        <v>13.7</v>
      </c>
      <c r="H497" s="12" t="n">
        <v>32</v>
      </c>
      <c r="I497" s="12" t="n">
        <v>234</v>
      </c>
      <c r="J497" s="12" t="n">
        <v>15.2</v>
      </c>
      <c r="K497" s="12" t="n">
        <v>1.4</v>
      </c>
      <c r="L497" s="12" t="s">
        <v>36</v>
      </c>
    </row>
    <row r="498" customFormat="false" ht="15" hidden="false" customHeight="false" outlineLevel="0" collapsed="false">
      <c r="A498" s="11" t="n">
        <v>44693</v>
      </c>
      <c r="B498" s="12" t="n">
        <v>20</v>
      </c>
      <c r="C498" s="12" t="n">
        <f aca="false">IF(NOT(ISNUMBER(B498)),"",ROUND((INDEX(BP!$D$5:$D$9,MATCH(B498,BP!$A$5:$A$9,1))-INDEX(BP!$C$5:$C$9,MATCH(B498,BP!$A$5:$A$9,1)))/(INDEX(BP!$B$5:$B$9,MATCH(B498,BP!$A$5:$A$9,1))-INDEX(BP!$A$5:$A$9,MATCH(B498,BP!$A$5:$A$9,1)))*(B498-INDEX(BP!$A$5:$A$9,MATCH(B498,BP!$A$5:$A$9,1)))+INDEX(BP!$C$5:$C$9,MATCH(B498,BP!$A$5:$A$9,1)),0))</f>
        <v>38</v>
      </c>
      <c r="D498" s="12" t="str">
        <f aca="false">IF(NOT(ISNUMBER(C498)),"",INDEX(BP!$F$5:$F$9,MATCH(C498,BP!$E$5:$E$9,1)))</f>
        <v>ดี</v>
      </c>
      <c r="E498" s="12" t="n">
        <f aca="false">YEAR(A498)</f>
        <v>2022</v>
      </c>
      <c r="F498" s="12" t="n">
        <f aca="false">MONTH(A498)</f>
        <v>5</v>
      </c>
      <c r="G498" s="12" t="n">
        <v>16.2</v>
      </c>
      <c r="H498" s="12" t="n">
        <v>34.2</v>
      </c>
      <c r="I498" s="12" t="n">
        <v>268</v>
      </c>
      <c r="J498" s="12" t="n">
        <v>0.9</v>
      </c>
      <c r="K498" s="12" t="n">
        <v>0</v>
      </c>
      <c r="L498" s="12" t="s">
        <v>36</v>
      </c>
    </row>
    <row r="499" customFormat="false" ht="15" hidden="false" customHeight="false" outlineLevel="0" collapsed="false">
      <c r="A499" s="11" t="n">
        <v>44694</v>
      </c>
      <c r="B499" s="12" t="n">
        <v>19</v>
      </c>
      <c r="C499" s="12" t="n">
        <f aca="false">IF(NOT(ISNUMBER(B499)),"",ROUND((INDEX(BP!$D$5:$D$9,MATCH(B499,BP!$A$5:$A$9,1))-INDEX(BP!$C$5:$C$9,MATCH(B499,BP!$A$5:$A$9,1)))/(INDEX(BP!$B$5:$B$9,MATCH(B499,BP!$A$5:$A$9,1))-INDEX(BP!$A$5:$A$9,MATCH(B499,BP!$A$5:$A$9,1)))*(B499-INDEX(BP!$A$5:$A$9,MATCH(B499,BP!$A$5:$A$9,1)))+INDEX(BP!$C$5:$C$9,MATCH(B499,BP!$A$5:$A$9,1)),0))</f>
        <v>35</v>
      </c>
      <c r="D499" s="12" t="str">
        <f aca="false">IF(NOT(ISNUMBER(C499)),"",INDEX(BP!$F$5:$F$9,MATCH(C499,BP!$E$5:$E$9,1)))</f>
        <v>ดี</v>
      </c>
      <c r="E499" s="12" t="n">
        <f aca="false">YEAR(A499)</f>
        <v>2022</v>
      </c>
      <c r="F499" s="12" t="n">
        <f aca="false">MONTH(A499)</f>
        <v>5</v>
      </c>
      <c r="G499" s="12" t="n">
        <v>12.7</v>
      </c>
      <c r="H499" s="12" t="n">
        <v>35.3</v>
      </c>
      <c r="I499" s="12" t="n">
        <v>231</v>
      </c>
      <c r="J499" s="12" t="n">
        <v>3.9</v>
      </c>
      <c r="K499" s="12" t="n">
        <v>0</v>
      </c>
      <c r="L499" s="12" t="s">
        <v>34</v>
      </c>
    </row>
    <row r="500" customFormat="false" ht="15" hidden="false" customHeight="false" outlineLevel="0" collapsed="false">
      <c r="A500" s="11" t="n">
        <v>44695</v>
      </c>
      <c r="B500" s="12" t="n">
        <v>17</v>
      </c>
      <c r="C500" s="12" t="n">
        <f aca="false">IF(NOT(ISNUMBER(B500)),"",ROUND((INDEX(BP!$D$5:$D$9,MATCH(B500,BP!$A$5:$A$9,1))-INDEX(BP!$C$5:$C$9,MATCH(B500,BP!$A$5:$A$9,1)))/(INDEX(BP!$B$5:$B$9,MATCH(B500,BP!$A$5:$A$9,1))-INDEX(BP!$A$5:$A$9,MATCH(B500,BP!$A$5:$A$9,1)))*(B500-INDEX(BP!$A$5:$A$9,MATCH(B500,BP!$A$5:$A$9,1)))+INDEX(BP!$C$5:$C$9,MATCH(B500,BP!$A$5:$A$9,1)),0))</f>
        <v>31</v>
      </c>
      <c r="D500" s="12" t="str">
        <f aca="false">IF(NOT(ISNUMBER(C500)),"",INDEX(BP!$F$5:$F$9,MATCH(C500,BP!$E$5:$E$9,1)))</f>
        <v>ดี</v>
      </c>
      <c r="E500" s="12" t="n">
        <f aca="false">YEAR(A500)</f>
        <v>2022</v>
      </c>
      <c r="F500" s="12" t="n">
        <f aca="false">MONTH(A500)</f>
        <v>5</v>
      </c>
      <c r="G500" s="12" t="n">
        <v>9.7</v>
      </c>
      <c r="H500" s="12" t="n">
        <v>22.3</v>
      </c>
      <c r="I500" s="12" t="n">
        <v>223</v>
      </c>
      <c r="J500" s="12" t="n">
        <v>4.1</v>
      </c>
      <c r="K500" s="12" t="n">
        <v>2.4</v>
      </c>
      <c r="L500" s="12" t="s">
        <v>35</v>
      </c>
    </row>
    <row r="501" customFormat="false" ht="15" hidden="false" customHeight="false" outlineLevel="0" collapsed="false">
      <c r="A501" s="11" t="n">
        <v>44696</v>
      </c>
      <c r="B501" s="12" t="n">
        <v>15</v>
      </c>
      <c r="C501" s="12" t="n">
        <f aca="false">IF(NOT(ISNUMBER(B501)),"",ROUND((INDEX(BP!$D$5:$D$9,MATCH(B501,BP!$A$5:$A$9,1))-INDEX(BP!$C$5:$C$9,MATCH(B501,BP!$A$5:$A$9,1)))/(INDEX(BP!$B$5:$B$9,MATCH(B501,BP!$A$5:$A$9,1))-INDEX(BP!$A$5:$A$9,MATCH(B501,BP!$A$5:$A$9,1)))*(B501-INDEX(BP!$A$5:$A$9,MATCH(B501,BP!$A$5:$A$9,1)))+INDEX(BP!$C$5:$C$9,MATCH(B501,BP!$A$5:$A$9,1)),0))</f>
        <v>25</v>
      </c>
      <c r="D501" s="12" t="str">
        <f aca="false">IF(NOT(ISNUMBER(C501)),"",INDEX(BP!$F$5:$F$9,MATCH(C501,BP!$E$5:$E$9,1)))</f>
        <v>ดีมาก</v>
      </c>
      <c r="E501" s="12" t="n">
        <f aca="false">YEAR(A501)</f>
        <v>2022</v>
      </c>
      <c r="F501" s="12" t="n">
        <f aca="false">MONTH(A501)</f>
        <v>5</v>
      </c>
      <c r="G501" s="12" t="n">
        <v>12.7</v>
      </c>
      <c r="H501" s="12" t="n">
        <v>28.1</v>
      </c>
      <c r="I501" s="12" t="n">
        <v>238</v>
      </c>
      <c r="J501" s="12" t="n">
        <v>3.9</v>
      </c>
      <c r="K501" s="12" t="n">
        <v>0</v>
      </c>
      <c r="L501" s="12" t="s">
        <v>34</v>
      </c>
    </row>
    <row r="502" customFormat="false" ht="15" hidden="false" customHeight="false" outlineLevel="0" collapsed="false">
      <c r="A502" s="11" t="n">
        <v>44697</v>
      </c>
      <c r="B502" s="12" t="n">
        <v>15</v>
      </c>
      <c r="C502" s="12" t="n">
        <f aca="false">IF(NOT(ISNUMBER(B502)),"",ROUND((INDEX(BP!$D$5:$D$9,MATCH(B502,BP!$A$5:$A$9,1))-INDEX(BP!$C$5:$C$9,MATCH(B502,BP!$A$5:$A$9,1)))/(INDEX(BP!$B$5:$B$9,MATCH(B502,BP!$A$5:$A$9,1))-INDEX(BP!$A$5:$A$9,MATCH(B502,BP!$A$5:$A$9,1)))*(B502-INDEX(BP!$A$5:$A$9,MATCH(B502,BP!$A$5:$A$9,1)))+INDEX(BP!$C$5:$C$9,MATCH(B502,BP!$A$5:$A$9,1)),0))</f>
        <v>25</v>
      </c>
      <c r="D502" s="12" t="str">
        <f aca="false">IF(NOT(ISNUMBER(C502)),"",INDEX(BP!$F$5:$F$9,MATCH(C502,BP!$E$5:$E$9,1)))</f>
        <v>ดีมาก</v>
      </c>
      <c r="E502" s="12" t="n">
        <f aca="false">YEAR(A502)</f>
        <v>2022</v>
      </c>
      <c r="F502" s="12" t="n">
        <f aca="false">MONTH(A502)</f>
        <v>5</v>
      </c>
      <c r="G502" s="12" t="n">
        <v>16.6</v>
      </c>
      <c r="H502" s="12" t="n">
        <v>37.4</v>
      </c>
      <c r="I502" s="12" t="n">
        <v>223</v>
      </c>
      <c r="J502" s="12" t="n">
        <v>16</v>
      </c>
      <c r="K502" s="12" t="n">
        <v>1</v>
      </c>
      <c r="L502" s="12" t="s">
        <v>34</v>
      </c>
    </row>
    <row r="503" customFormat="false" ht="15" hidden="false" customHeight="false" outlineLevel="0" collapsed="false">
      <c r="A503" s="11" t="n">
        <v>44698</v>
      </c>
      <c r="B503" s="12" t="n">
        <v>13</v>
      </c>
      <c r="C503" s="12" t="n">
        <f aca="false">IF(NOT(ISNUMBER(B503)),"",ROUND((INDEX(BP!$D$5:$D$9,MATCH(B503,BP!$A$5:$A$9,1))-INDEX(BP!$C$5:$C$9,MATCH(B503,BP!$A$5:$A$9,1)))/(INDEX(BP!$B$5:$B$9,MATCH(B503,BP!$A$5:$A$9,1))-INDEX(BP!$A$5:$A$9,MATCH(B503,BP!$A$5:$A$9,1)))*(B503-INDEX(BP!$A$5:$A$9,MATCH(B503,BP!$A$5:$A$9,1)))+INDEX(BP!$C$5:$C$9,MATCH(B503,BP!$A$5:$A$9,1)),0))</f>
        <v>22</v>
      </c>
      <c r="D503" s="12" t="str">
        <f aca="false">IF(NOT(ISNUMBER(C503)),"",INDEX(BP!$F$5:$F$9,MATCH(C503,BP!$E$5:$E$9,1)))</f>
        <v>ดีมาก</v>
      </c>
      <c r="E503" s="12" t="n">
        <f aca="false">YEAR(A503)</f>
        <v>2022</v>
      </c>
      <c r="F503" s="12" t="n">
        <f aca="false">MONTH(A503)</f>
        <v>5</v>
      </c>
      <c r="G503" s="12" t="n">
        <v>12.2</v>
      </c>
      <c r="H503" s="12" t="n">
        <v>36</v>
      </c>
      <c r="I503" s="12" t="n">
        <v>226</v>
      </c>
      <c r="J503" s="12" t="n">
        <v>9.2</v>
      </c>
      <c r="K503" s="12" t="n">
        <v>0</v>
      </c>
      <c r="L503" s="12" t="s">
        <v>36</v>
      </c>
    </row>
    <row r="504" customFormat="false" ht="15" hidden="false" customHeight="false" outlineLevel="0" collapsed="false">
      <c r="A504" s="11" t="n">
        <v>44699</v>
      </c>
      <c r="B504" s="12" t="n">
        <v>17</v>
      </c>
      <c r="C504" s="12" t="n">
        <f aca="false">IF(NOT(ISNUMBER(B504)),"",ROUND((INDEX(BP!$D$5:$D$9,MATCH(B504,BP!$A$5:$A$9,1))-INDEX(BP!$C$5:$C$9,MATCH(B504,BP!$A$5:$A$9,1)))/(INDEX(BP!$B$5:$B$9,MATCH(B504,BP!$A$5:$A$9,1))-INDEX(BP!$A$5:$A$9,MATCH(B504,BP!$A$5:$A$9,1)))*(B504-INDEX(BP!$A$5:$A$9,MATCH(B504,BP!$A$5:$A$9,1)))+INDEX(BP!$C$5:$C$9,MATCH(B504,BP!$A$5:$A$9,1)),0))</f>
        <v>31</v>
      </c>
      <c r="D504" s="12" t="str">
        <f aca="false">IF(NOT(ISNUMBER(C504)),"",INDEX(BP!$F$5:$F$9,MATCH(C504,BP!$E$5:$E$9,1)))</f>
        <v>ดี</v>
      </c>
      <c r="E504" s="12" t="n">
        <f aca="false">YEAR(A504)</f>
        <v>2022</v>
      </c>
      <c r="F504" s="12" t="n">
        <f aca="false">MONTH(A504)</f>
        <v>5</v>
      </c>
      <c r="G504" s="12" t="n">
        <v>8.4</v>
      </c>
      <c r="H504" s="12" t="n">
        <v>21.2</v>
      </c>
      <c r="I504" s="12" t="n">
        <v>150</v>
      </c>
      <c r="J504" s="12" t="n">
        <v>1.7</v>
      </c>
      <c r="K504" s="12" t="n">
        <v>0</v>
      </c>
      <c r="L504" s="12" t="s">
        <v>36</v>
      </c>
    </row>
    <row r="505" customFormat="false" ht="15" hidden="false" customHeight="false" outlineLevel="0" collapsed="false">
      <c r="A505" s="11" t="n">
        <v>44700</v>
      </c>
      <c r="B505" s="12" t="n">
        <v>17</v>
      </c>
      <c r="C505" s="12" t="n">
        <f aca="false">IF(NOT(ISNUMBER(B505)),"",ROUND((INDEX(BP!$D$5:$D$9,MATCH(B505,BP!$A$5:$A$9,1))-INDEX(BP!$C$5:$C$9,MATCH(B505,BP!$A$5:$A$9,1)))/(INDEX(BP!$B$5:$B$9,MATCH(B505,BP!$A$5:$A$9,1))-INDEX(BP!$A$5:$A$9,MATCH(B505,BP!$A$5:$A$9,1)))*(B505-INDEX(BP!$A$5:$A$9,MATCH(B505,BP!$A$5:$A$9,1)))+INDEX(BP!$C$5:$C$9,MATCH(B505,BP!$A$5:$A$9,1)),0))</f>
        <v>31</v>
      </c>
      <c r="D505" s="12" t="str">
        <f aca="false">IF(NOT(ISNUMBER(C505)),"",INDEX(BP!$F$5:$F$9,MATCH(C505,BP!$E$5:$E$9,1)))</f>
        <v>ดี</v>
      </c>
      <c r="E505" s="12" t="n">
        <f aca="false">YEAR(A505)</f>
        <v>2022</v>
      </c>
      <c r="F505" s="12" t="n">
        <f aca="false">MONTH(A505)</f>
        <v>5</v>
      </c>
      <c r="G505" s="12" t="n">
        <v>11.4</v>
      </c>
      <c r="H505" s="12" t="n">
        <v>25.6</v>
      </c>
      <c r="I505" s="12" t="n">
        <v>279</v>
      </c>
      <c r="J505" s="12" t="n">
        <v>0.3</v>
      </c>
      <c r="K505" s="12" t="n">
        <v>0</v>
      </c>
      <c r="L505" s="12" t="s">
        <v>36</v>
      </c>
    </row>
    <row r="506" customFormat="false" ht="15" hidden="false" customHeight="false" outlineLevel="0" collapsed="false">
      <c r="A506" s="11" t="n">
        <v>44701</v>
      </c>
      <c r="B506" s="12" t="n">
        <v>17</v>
      </c>
      <c r="C506" s="12" t="n">
        <f aca="false">IF(NOT(ISNUMBER(B506)),"",ROUND((INDEX(BP!$D$5:$D$9,MATCH(B506,BP!$A$5:$A$9,1))-INDEX(BP!$C$5:$C$9,MATCH(B506,BP!$A$5:$A$9,1)))/(INDEX(BP!$B$5:$B$9,MATCH(B506,BP!$A$5:$A$9,1))-INDEX(BP!$A$5:$A$9,MATCH(B506,BP!$A$5:$A$9,1)))*(B506-INDEX(BP!$A$5:$A$9,MATCH(B506,BP!$A$5:$A$9,1)))+INDEX(BP!$C$5:$C$9,MATCH(B506,BP!$A$5:$A$9,1)),0))</f>
        <v>31</v>
      </c>
      <c r="D506" s="12" t="str">
        <f aca="false">IF(NOT(ISNUMBER(C506)),"",INDEX(BP!$F$5:$F$9,MATCH(C506,BP!$E$5:$E$9,1)))</f>
        <v>ดี</v>
      </c>
      <c r="E506" s="12" t="n">
        <f aca="false">YEAR(A506)</f>
        <v>2022</v>
      </c>
      <c r="F506" s="12" t="n">
        <f aca="false">MONTH(A506)</f>
        <v>5</v>
      </c>
      <c r="G506" s="12" t="n">
        <v>15.3</v>
      </c>
      <c r="H506" s="12" t="n">
        <v>30.6</v>
      </c>
      <c r="I506" s="12" t="n">
        <v>251</v>
      </c>
      <c r="J506" s="12" t="n">
        <v>0</v>
      </c>
      <c r="K506" s="12" t="n">
        <v>0.8</v>
      </c>
      <c r="L506" s="12" t="s">
        <v>36</v>
      </c>
    </row>
    <row r="507" customFormat="false" ht="15" hidden="false" customHeight="false" outlineLevel="0" collapsed="false">
      <c r="A507" s="11" t="n">
        <v>44702</v>
      </c>
      <c r="B507" s="12" t="n">
        <v>18</v>
      </c>
      <c r="C507" s="12" t="n">
        <f aca="false">IF(NOT(ISNUMBER(B507)),"",ROUND((INDEX(BP!$D$5:$D$9,MATCH(B507,BP!$A$5:$A$9,1))-INDEX(BP!$C$5:$C$9,MATCH(B507,BP!$A$5:$A$9,1)))/(INDEX(BP!$B$5:$B$9,MATCH(B507,BP!$A$5:$A$9,1))-INDEX(BP!$A$5:$A$9,MATCH(B507,BP!$A$5:$A$9,1)))*(B507-INDEX(BP!$A$5:$A$9,MATCH(B507,BP!$A$5:$A$9,1)))+INDEX(BP!$C$5:$C$9,MATCH(B507,BP!$A$5:$A$9,1)),0))</f>
        <v>33</v>
      </c>
      <c r="D507" s="12" t="str">
        <f aca="false">IF(NOT(ISNUMBER(C507)),"",INDEX(BP!$F$5:$F$9,MATCH(C507,BP!$E$5:$E$9,1)))</f>
        <v>ดี</v>
      </c>
      <c r="E507" s="12" t="n">
        <f aca="false">YEAR(A507)</f>
        <v>2022</v>
      </c>
      <c r="F507" s="12" t="n">
        <f aca="false">MONTH(A507)</f>
        <v>5</v>
      </c>
      <c r="G507" s="12" t="n">
        <v>18.7</v>
      </c>
      <c r="H507" s="12" t="n">
        <v>40.3</v>
      </c>
      <c r="I507" s="12" t="n">
        <v>238</v>
      </c>
      <c r="J507" s="12" t="n">
        <v>0.2</v>
      </c>
      <c r="K507" s="12" t="n">
        <v>0</v>
      </c>
      <c r="L507" s="12" t="s">
        <v>35</v>
      </c>
    </row>
    <row r="508" customFormat="false" ht="15" hidden="false" customHeight="false" outlineLevel="0" collapsed="false">
      <c r="A508" s="11" t="n">
        <v>44703</v>
      </c>
      <c r="B508" s="12" t="n">
        <v>19</v>
      </c>
      <c r="C508" s="12" t="n">
        <f aca="false">IF(NOT(ISNUMBER(B508)),"",ROUND((INDEX(BP!$D$5:$D$9,MATCH(B508,BP!$A$5:$A$9,1))-INDEX(BP!$C$5:$C$9,MATCH(B508,BP!$A$5:$A$9,1)))/(INDEX(BP!$B$5:$B$9,MATCH(B508,BP!$A$5:$A$9,1))-INDEX(BP!$A$5:$A$9,MATCH(B508,BP!$A$5:$A$9,1)))*(B508-INDEX(BP!$A$5:$A$9,MATCH(B508,BP!$A$5:$A$9,1)))+INDEX(BP!$C$5:$C$9,MATCH(B508,BP!$A$5:$A$9,1)),0))</f>
        <v>35</v>
      </c>
      <c r="D508" s="12" t="str">
        <f aca="false">IF(NOT(ISNUMBER(C508)),"",INDEX(BP!$F$5:$F$9,MATCH(C508,BP!$E$5:$E$9,1)))</f>
        <v>ดี</v>
      </c>
      <c r="E508" s="12" t="n">
        <f aca="false">YEAR(A508)</f>
        <v>2022</v>
      </c>
      <c r="F508" s="12" t="n">
        <f aca="false">MONTH(A508)</f>
        <v>5</v>
      </c>
      <c r="G508" s="12" t="n">
        <v>21.8</v>
      </c>
      <c r="H508" s="12" t="n">
        <v>43.6</v>
      </c>
      <c r="I508" s="12" t="n">
        <v>245</v>
      </c>
      <c r="J508" s="12" t="n">
        <v>0</v>
      </c>
      <c r="K508" s="12" t="n">
        <v>0</v>
      </c>
      <c r="L508" s="12" t="s">
        <v>35</v>
      </c>
    </row>
    <row r="509" customFormat="false" ht="15" hidden="false" customHeight="false" outlineLevel="0" collapsed="false">
      <c r="A509" s="11" t="n">
        <v>44704</v>
      </c>
      <c r="B509" s="12" t="n">
        <v>15</v>
      </c>
      <c r="C509" s="12" t="n">
        <f aca="false">IF(NOT(ISNUMBER(B509)),"",ROUND((INDEX(BP!$D$5:$D$9,MATCH(B509,BP!$A$5:$A$9,1))-INDEX(BP!$C$5:$C$9,MATCH(B509,BP!$A$5:$A$9,1)))/(INDEX(BP!$B$5:$B$9,MATCH(B509,BP!$A$5:$A$9,1))-INDEX(BP!$A$5:$A$9,MATCH(B509,BP!$A$5:$A$9,1)))*(B509-INDEX(BP!$A$5:$A$9,MATCH(B509,BP!$A$5:$A$9,1)))+INDEX(BP!$C$5:$C$9,MATCH(B509,BP!$A$5:$A$9,1)),0))</f>
        <v>25</v>
      </c>
      <c r="D509" s="12" t="str">
        <f aca="false">IF(NOT(ISNUMBER(C509)),"",INDEX(BP!$F$5:$F$9,MATCH(C509,BP!$E$5:$E$9,1)))</f>
        <v>ดีมาก</v>
      </c>
      <c r="E509" s="12" t="n">
        <f aca="false">YEAR(A509)</f>
        <v>2022</v>
      </c>
      <c r="F509" s="12" t="n">
        <f aca="false">MONTH(A509)</f>
        <v>5</v>
      </c>
      <c r="G509" s="12" t="n">
        <v>13.3</v>
      </c>
      <c r="H509" s="12" t="n">
        <v>30.2</v>
      </c>
      <c r="I509" s="12" t="n">
        <v>240</v>
      </c>
      <c r="J509" s="12" t="n">
        <v>0.1</v>
      </c>
      <c r="K509" s="12" t="n">
        <v>0</v>
      </c>
      <c r="L509" s="12" t="s">
        <v>36</v>
      </c>
    </row>
    <row r="510" customFormat="false" ht="15" hidden="false" customHeight="false" outlineLevel="0" collapsed="false">
      <c r="A510" s="11" t="n">
        <v>44705</v>
      </c>
      <c r="B510" s="12" t="n">
        <v>17</v>
      </c>
      <c r="C510" s="12" t="n">
        <f aca="false">IF(NOT(ISNUMBER(B510)),"",ROUND((INDEX(BP!$D$5:$D$9,MATCH(B510,BP!$A$5:$A$9,1))-INDEX(BP!$C$5:$C$9,MATCH(B510,BP!$A$5:$A$9,1)))/(INDEX(BP!$B$5:$B$9,MATCH(B510,BP!$A$5:$A$9,1))-INDEX(BP!$A$5:$A$9,MATCH(B510,BP!$A$5:$A$9,1)))*(B510-INDEX(BP!$A$5:$A$9,MATCH(B510,BP!$A$5:$A$9,1)))+INDEX(BP!$C$5:$C$9,MATCH(B510,BP!$A$5:$A$9,1)),0))</f>
        <v>31</v>
      </c>
      <c r="D510" s="12" t="str">
        <f aca="false">IF(NOT(ISNUMBER(C510)),"",INDEX(BP!$F$5:$F$9,MATCH(C510,BP!$E$5:$E$9,1)))</f>
        <v>ดี</v>
      </c>
      <c r="E510" s="12" t="n">
        <f aca="false">YEAR(A510)</f>
        <v>2022</v>
      </c>
      <c r="F510" s="12" t="n">
        <f aca="false">MONTH(A510)</f>
        <v>5</v>
      </c>
      <c r="G510" s="12" t="n">
        <v>8.7</v>
      </c>
      <c r="H510" s="12" t="n">
        <v>21.6</v>
      </c>
      <c r="I510" s="12" t="n">
        <v>155</v>
      </c>
      <c r="J510" s="12" t="n">
        <v>0</v>
      </c>
      <c r="K510" s="12" t="n">
        <v>0</v>
      </c>
      <c r="L510" s="12" t="s">
        <v>36</v>
      </c>
    </row>
    <row r="511" customFormat="false" ht="15" hidden="false" customHeight="false" outlineLevel="0" collapsed="false">
      <c r="A511" s="11" t="n">
        <v>44706</v>
      </c>
      <c r="B511" s="12" t="n">
        <v>16</v>
      </c>
      <c r="C511" s="12" t="n">
        <f aca="false">IF(NOT(ISNUMBER(B511)),"",ROUND((INDEX(BP!$D$5:$D$9,MATCH(B511,BP!$A$5:$A$9,1))-INDEX(BP!$C$5:$C$9,MATCH(B511,BP!$A$5:$A$9,1)))/(INDEX(BP!$B$5:$B$9,MATCH(B511,BP!$A$5:$A$9,1))-INDEX(BP!$A$5:$A$9,MATCH(B511,BP!$A$5:$A$9,1)))*(B511-INDEX(BP!$A$5:$A$9,MATCH(B511,BP!$A$5:$A$9,1)))+INDEX(BP!$C$5:$C$9,MATCH(B511,BP!$A$5:$A$9,1)),0))</f>
        <v>28</v>
      </c>
      <c r="D511" s="12" t="str">
        <f aca="false">IF(NOT(ISNUMBER(C511)),"",INDEX(BP!$F$5:$F$9,MATCH(C511,BP!$E$5:$E$9,1)))</f>
        <v>ดี</v>
      </c>
      <c r="E511" s="12" t="n">
        <f aca="false">YEAR(A511)</f>
        <v>2022</v>
      </c>
      <c r="F511" s="12" t="n">
        <f aca="false">MONTH(A511)</f>
        <v>5</v>
      </c>
      <c r="G511" s="12" t="n">
        <v>20.6</v>
      </c>
      <c r="H511" s="12" t="n">
        <v>42.1</v>
      </c>
      <c r="I511" s="12" t="n">
        <v>251</v>
      </c>
      <c r="J511" s="12" t="n">
        <v>1.5</v>
      </c>
      <c r="K511" s="12" t="n">
        <v>0.8</v>
      </c>
      <c r="L511" s="12" t="s">
        <v>36</v>
      </c>
    </row>
    <row r="512" customFormat="false" ht="15" hidden="false" customHeight="false" outlineLevel="0" collapsed="false">
      <c r="A512" s="11" t="n">
        <v>44707</v>
      </c>
      <c r="B512" s="12" t="n">
        <v>14</v>
      </c>
      <c r="C512" s="12" t="n">
        <f aca="false">IF(NOT(ISNUMBER(B512)),"",ROUND((INDEX(BP!$D$5:$D$9,MATCH(B512,BP!$A$5:$A$9,1))-INDEX(BP!$C$5:$C$9,MATCH(B512,BP!$A$5:$A$9,1)))/(INDEX(BP!$B$5:$B$9,MATCH(B512,BP!$A$5:$A$9,1))-INDEX(BP!$A$5:$A$9,MATCH(B512,BP!$A$5:$A$9,1)))*(B512-INDEX(BP!$A$5:$A$9,MATCH(B512,BP!$A$5:$A$9,1)))+INDEX(BP!$C$5:$C$9,MATCH(B512,BP!$A$5:$A$9,1)),0))</f>
        <v>23</v>
      </c>
      <c r="D512" s="12" t="str">
        <f aca="false">IF(NOT(ISNUMBER(C512)),"",INDEX(BP!$F$5:$F$9,MATCH(C512,BP!$E$5:$E$9,1)))</f>
        <v>ดีมาก</v>
      </c>
      <c r="E512" s="12" t="n">
        <f aca="false">YEAR(A512)</f>
        <v>2022</v>
      </c>
      <c r="F512" s="12" t="n">
        <f aca="false">MONTH(A512)</f>
        <v>5</v>
      </c>
      <c r="G512" s="12" t="n">
        <v>20.7</v>
      </c>
      <c r="H512" s="12" t="n">
        <v>39.6</v>
      </c>
      <c r="I512" s="12" t="n">
        <v>250</v>
      </c>
      <c r="J512" s="12" t="n">
        <v>0.1</v>
      </c>
      <c r="K512" s="12" t="n">
        <v>0</v>
      </c>
      <c r="L512" s="12" t="s">
        <v>36</v>
      </c>
    </row>
    <row r="513" customFormat="false" ht="15" hidden="false" customHeight="false" outlineLevel="0" collapsed="false">
      <c r="A513" s="11" t="n">
        <v>44708</v>
      </c>
      <c r="B513" s="12" t="n">
        <v>16</v>
      </c>
      <c r="C513" s="12" t="n">
        <f aca="false">IF(NOT(ISNUMBER(B513)),"",ROUND((INDEX(BP!$D$5:$D$9,MATCH(B513,BP!$A$5:$A$9,1))-INDEX(BP!$C$5:$C$9,MATCH(B513,BP!$A$5:$A$9,1)))/(INDEX(BP!$B$5:$B$9,MATCH(B513,BP!$A$5:$A$9,1))-INDEX(BP!$A$5:$A$9,MATCH(B513,BP!$A$5:$A$9,1)))*(B513-INDEX(BP!$A$5:$A$9,MATCH(B513,BP!$A$5:$A$9,1)))+INDEX(BP!$C$5:$C$9,MATCH(B513,BP!$A$5:$A$9,1)),0))</f>
        <v>28</v>
      </c>
      <c r="D513" s="12" t="str">
        <f aca="false">IF(NOT(ISNUMBER(C513)),"",INDEX(BP!$F$5:$F$9,MATCH(C513,BP!$E$5:$E$9,1)))</f>
        <v>ดี</v>
      </c>
      <c r="E513" s="12" t="n">
        <f aca="false">YEAR(A513)</f>
        <v>2022</v>
      </c>
      <c r="F513" s="12" t="n">
        <f aca="false">MONTH(A513)</f>
        <v>5</v>
      </c>
      <c r="G513" s="12" t="n">
        <v>21.5</v>
      </c>
      <c r="H513" s="12" t="n">
        <v>42.8</v>
      </c>
      <c r="I513" s="12" t="n">
        <v>248</v>
      </c>
      <c r="J513" s="12" t="n">
        <v>0</v>
      </c>
      <c r="K513" s="12" t="n">
        <v>0</v>
      </c>
      <c r="L513" s="12" t="s">
        <v>36</v>
      </c>
    </row>
    <row r="514" customFormat="false" ht="15" hidden="false" customHeight="false" outlineLevel="0" collapsed="false">
      <c r="A514" s="11" t="n">
        <v>44709</v>
      </c>
      <c r="B514" s="12" t="n">
        <v>16</v>
      </c>
      <c r="C514" s="12" t="n">
        <f aca="false">IF(NOT(ISNUMBER(B514)),"",ROUND((INDEX(BP!$D$5:$D$9,MATCH(B514,BP!$A$5:$A$9,1))-INDEX(BP!$C$5:$C$9,MATCH(B514,BP!$A$5:$A$9,1)))/(INDEX(BP!$B$5:$B$9,MATCH(B514,BP!$A$5:$A$9,1))-INDEX(BP!$A$5:$A$9,MATCH(B514,BP!$A$5:$A$9,1)))*(B514-INDEX(BP!$A$5:$A$9,MATCH(B514,BP!$A$5:$A$9,1)))+INDEX(BP!$C$5:$C$9,MATCH(B514,BP!$A$5:$A$9,1)),0))</f>
        <v>28</v>
      </c>
      <c r="D514" s="12" t="str">
        <f aca="false">IF(NOT(ISNUMBER(C514)),"",INDEX(BP!$F$5:$F$9,MATCH(C514,BP!$E$5:$E$9,1)))</f>
        <v>ดี</v>
      </c>
      <c r="E514" s="12" t="n">
        <f aca="false">YEAR(A514)</f>
        <v>2022</v>
      </c>
      <c r="F514" s="12" t="n">
        <f aca="false">MONTH(A514)</f>
        <v>5</v>
      </c>
      <c r="G514" s="12" t="n">
        <v>20.2</v>
      </c>
      <c r="H514" s="12" t="n">
        <v>48.6</v>
      </c>
      <c r="I514" s="12" t="n">
        <v>245</v>
      </c>
      <c r="J514" s="12" t="n">
        <v>0.9</v>
      </c>
      <c r="K514" s="12" t="n">
        <v>9.8</v>
      </c>
      <c r="L514" s="12" t="s">
        <v>35</v>
      </c>
    </row>
    <row r="515" customFormat="false" ht="15" hidden="false" customHeight="false" outlineLevel="0" collapsed="false">
      <c r="A515" s="11" t="n">
        <v>44710</v>
      </c>
      <c r="B515" s="12" t="n">
        <v>12</v>
      </c>
      <c r="C515" s="12" t="n">
        <f aca="false">IF(NOT(ISNUMBER(B515)),"",ROUND((INDEX(BP!$D$5:$D$9,MATCH(B515,BP!$A$5:$A$9,1))-INDEX(BP!$C$5:$C$9,MATCH(B515,BP!$A$5:$A$9,1)))/(INDEX(BP!$B$5:$B$9,MATCH(B515,BP!$A$5:$A$9,1))-INDEX(BP!$A$5:$A$9,MATCH(B515,BP!$A$5:$A$9,1)))*(B515-INDEX(BP!$A$5:$A$9,MATCH(B515,BP!$A$5:$A$9,1)))+INDEX(BP!$C$5:$C$9,MATCH(B515,BP!$A$5:$A$9,1)),0))</f>
        <v>20</v>
      </c>
      <c r="D515" s="12" t="str">
        <f aca="false">IF(NOT(ISNUMBER(C515)),"",INDEX(BP!$F$5:$F$9,MATCH(C515,BP!$E$5:$E$9,1)))</f>
        <v>ดีมาก</v>
      </c>
      <c r="E515" s="12" t="n">
        <f aca="false">YEAR(A515)</f>
        <v>2022</v>
      </c>
      <c r="F515" s="12" t="n">
        <f aca="false">MONTH(A515)</f>
        <v>5</v>
      </c>
      <c r="G515" s="12" t="n">
        <v>20.9</v>
      </c>
      <c r="H515" s="12" t="n">
        <v>52.2</v>
      </c>
      <c r="I515" s="12" t="n">
        <v>252</v>
      </c>
      <c r="J515" s="12" t="n">
        <v>9.3</v>
      </c>
      <c r="K515" s="12" t="n">
        <v>24.4</v>
      </c>
      <c r="L515" s="12" t="s">
        <v>35</v>
      </c>
    </row>
    <row r="516" customFormat="false" ht="15" hidden="false" customHeight="false" outlineLevel="0" collapsed="false">
      <c r="A516" s="11" t="n">
        <v>44711</v>
      </c>
      <c r="B516" s="12" t="n">
        <v>17</v>
      </c>
      <c r="C516" s="12" t="n">
        <f aca="false">IF(NOT(ISNUMBER(B516)),"",ROUND((INDEX(BP!$D$5:$D$9,MATCH(B516,BP!$A$5:$A$9,1))-INDEX(BP!$C$5:$C$9,MATCH(B516,BP!$A$5:$A$9,1)))/(INDEX(BP!$B$5:$B$9,MATCH(B516,BP!$A$5:$A$9,1))-INDEX(BP!$A$5:$A$9,MATCH(B516,BP!$A$5:$A$9,1)))*(B516-INDEX(BP!$A$5:$A$9,MATCH(B516,BP!$A$5:$A$9,1)))+INDEX(BP!$C$5:$C$9,MATCH(B516,BP!$A$5:$A$9,1)),0))</f>
        <v>31</v>
      </c>
      <c r="D516" s="12" t="str">
        <f aca="false">IF(NOT(ISNUMBER(C516)),"",INDEX(BP!$F$5:$F$9,MATCH(C516,BP!$E$5:$E$9,1)))</f>
        <v>ดี</v>
      </c>
      <c r="E516" s="12" t="n">
        <f aca="false">YEAR(A516)</f>
        <v>2022</v>
      </c>
      <c r="F516" s="12" t="n">
        <f aca="false">MONTH(A516)</f>
        <v>5</v>
      </c>
      <c r="G516" s="12" t="n">
        <v>20.3</v>
      </c>
      <c r="H516" s="12" t="n">
        <v>43.9</v>
      </c>
      <c r="I516" s="12" t="n">
        <v>248</v>
      </c>
      <c r="J516" s="12" t="n">
        <v>11.6</v>
      </c>
      <c r="K516" s="12" t="n">
        <v>16.4</v>
      </c>
      <c r="L516" s="12" t="s">
        <v>36</v>
      </c>
    </row>
    <row r="517" customFormat="false" ht="15" hidden="false" customHeight="false" outlineLevel="0" collapsed="false">
      <c r="A517" s="11" t="n">
        <v>44712</v>
      </c>
      <c r="B517" s="12" t="n">
        <v>16</v>
      </c>
      <c r="C517" s="12" t="n">
        <f aca="false">IF(NOT(ISNUMBER(B517)),"",ROUND((INDEX(BP!$D$5:$D$9,MATCH(B517,BP!$A$5:$A$9,1))-INDEX(BP!$C$5:$C$9,MATCH(B517,BP!$A$5:$A$9,1)))/(INDEX(BP!$B$5:$B$9,MATCH(B517,BP!$A$5:$A$9,1))-INDEX(BP!$A$5:$A$9,MATCH(B517,BP!$A$5:$A$9,1)))*(B517-INDEX(BP!$A$5:$A$9,MATCH(B517,BP!$A$5:$A$9,1)))+INDEX(BP!$C$5:$C$9,MATCH(B517,BP!$A$5:$A$9,1)),0))</f>
        <v>28</v>
      </c>
      <c r="D517" s="12" t="str">
        <f aca="false">IF(NOT(ISNUMBER(C517)),"",INDEX(BP!$F$5:$F$9,MATCH(C517,BP!$E$5:$E$9,1)))</f>
        <v>ดี</v>
      </c>
      <c r="E517" s="12" t="n">
        <f aca="false">YEAR(A517)</f>
        <v>2022</v>
      </c>
      <c r="F517" s="12" t="n">
        <f aca="false">MONTH(A517)</f>
        <v>5</v>
      </c>
      <c r="G517" s="12" t="n">
        <v>19.2</v>
      </c>
      <c r="H517" s="12" t="n">
        <v>41</v>
      </c>
      <c r="I517" s="12" t="n">
        <v>239</v>
      </c>
      <c r="J517" s="12" t="n">
        <v>2.8</v>
      </c>
      <c r="K517" s="12" t="n">
        <v>0.8</v>
      </c>
      <c r="L517" s="12" t="s">
        <v>36</v>
      </c>
    </row>
    <row r="518" customFormat="false" ht="15" hidden="false" customHeight="false" outlineLevel="0" collapsed="false">
      <c r="A518" s="11" t="n">
        <v>44713</v>
      </c>
      <c r="B518" s="12" t="n">
        <v>12</v>
      </c>
      <c r="C518" s="12" t="n">
        <f aca="false">IF(NOT(ISNUMBER(B518)),"",ROUND((INDEX(BP!$D$5:$D$9,MATCH(B518,BP!$A$5:$A$9,1))-INDEX(BP!$C$5:$C$9,MATCH(B518,BP!$A$5:$A$9,1)))/(INDEX(BP!$B$5:$B$9,MATCH(B518,BP!$A$5:$A$9,1))-INDEX(BP!$A$5:$A$9,MATCH(B518,BP!$A$5:$A$9,1)))*(B518-INDEX(BP!$A$5:$A$9,MATCH(B518,BP!$A$5:$A$9,1)))+INDEX(BP!$C$5:$C$9,MATCH(B518,BP!$A$5:$A$9,1)),0))</f>
        <v>20</v>
      </c>
      <c r="D518" s="12" t="str">
        <f aca="false">IF(NOT(ISNUMBER(C518)),"",INDEX(BP!$F$5:$F$9,MATCH(C518,BP!$E$5:$E$9,1)))</f>
        <v>ดีมาก</v>
      </c>
      <c r="E518" s="12" t="n">
        <f aca="false">YEAR(A518)</f>
        <v>2022</v>
      </c>
      <c r="F518" s="12" t="n">
        <f aca="false">MONTH(A518)</f>
        <v>6</v>
      </c>
      <c r="G518" s="12" t="n">
        <v>15.7</v>
      </c>
      <c r="H518" s="12" t="n">
        <v>32</v>
      </c>
      <c r="I518" s="12" t="n">
        <v>236</v>
      </c>
      <c r="J518" s="12" t="n">
        <v>11.1</v>
      </c>
      <c r="K518" s="12" t="n">
        <v>1</v>
      </c>
      <c r="L518" s="12" t="s">
        <v>36</v>
      </c>
    </row>
    <row r="519" customFormat="false" ht="15" hidden="false" customHeight="false" outlineLevel="0" collapsed="false">
      <c r="A519" s="11" t="n">
        <v>44714</v>
      </c>
      <c r="B519" s="12" t="n">
        <v>12</v>
      </c>
      <c r="C519" s="12" t="n">
        <f aca="false">IF(NOT(ISNUMBER(B519)),"",ROUND((INDEX(BP!$D$5:$D$9,MATCH(B519,BP!$A$5:$A$9,1))-INDEX(BP!$C$5:$C$9,MATCH(B519,BP!$A$5:$A$9,1)))/(INDEX(BP!$B$5:$B$9,MATCH(B519,BP!$A$5:$A$9,1))-INDEX(BP!$A$5:$A$9,MATCH(B519,BP!$A$5:$A$9,1)))*(B519-INDEX(BP!$A$5:$A$9,MATCH(B519,BP!$A$5:$A$9,1)))+INDEX(BP!$C$5:$C$9,MATCH(B519,BP!$A$5:$A$9,1)),0))</f>
        <v>20</v>
      </c>
      <c r="D519" s="12" t="str">
        <f aca="false">IF(NOT(ISNUMBER(C519)),"",INDEX(BP!$F$5:$F$9,MATCH(C519,BP!$E$5:$E$9,1)))</f>
        <v>ดีมาก</v>
      </c>
      <c r="E519" s="12" t="n">
        <f aca="false">YEAR(A519)</f>
        <v>2022</v>
      </c>
      <c r="F519" s="12" t="n">
        <f aca="false">MONTH(A519)</f>
        <v>6</v>
      </c>
      <c r="G519" s="12" t="n">
        <v>16.6</v>
      </c>
      <c r="H519" s="12" t="n">
        <v>40.3</v>
      </c>
      <c r="I519" s="12" t="n">
        <v>237</v>
      </c>
      <c r="J519" s="12" t="n">
        <v>1.8</v>
      </c>
      <c r="K519" s="12" t="n">
        <v>0</v>
      </c>
      <c r="L519" s="12" t="s">
        <v>36</v>
      </c>
    </row>
    <row r="520" customFormat="false" ht="15" hidden="false" customHeight="false" outlineLevel="0" collapsed="false">
      <c r="A520" s="11" t="n">
        <v>44715</v>
      </c>
      <c r="B520" s="12" t="n">
        <v>16</v>
      </c>
      <c r="C520" s="12" t="n">
        <f aca="false">IF(NOT(ISNUMBER(B520)),"",ROUND((INDEX(BP!$D$5:$D$9,MATCH(B520,BP!$A$5:$A$9,1))-INDEX(BP!$C$5:$C$9,MATCH(B520,BP!$A$5:$A$9,1)))/(INDEX(BP!$B$5:$B$9,MATCH(B520,BP!$A$5:$A$9,1))-INDEX(BP!$A$5:$A$9,MATCH(B520,BP!$A$5:$A$9,1)))*(B520-INDEX(BP!$A$5:$A$9,MATCH(B520,BP!$A$5:$A$9,1)))+INDEX(BP!$C$5:$C$9,MATCH(B520,BP!$A$5:$A$9,1)),0))</f>
        <v>28</v>
      </c>
      <c r="D520" s="12" t="str">
        <f aca="false">IF(NOT(ISNUMBER(C520)),"",INDEX(BP!$F$5:$F$9,MATCH(C520,BP!$E$5:$E$9,1)))</f>
        <v>ดี</v>
      </c>
      <c r="E520" s="12" t="n">
        <f aca="false">YEAR(A520)</f>
        <v>2022</v>
      </c>
      <c r="F520" s="12" t="n">
        <f aca="false">MONTH(A520)</f>
        <v>6</v>
      </c>
      <c r="G520" s="12" t="n">
        <v>9.2</v>
      </c>
      <c r="H520" s="12" t="n">
        <v>26.3</v>
      </c>
      <c r="I520" s="12" t="n">
        <v>202</v>
      </c>
      <c r="J520" s="12" t="n">
        <v>4</v>
      </c>
      <c r="K520" s="12" t="n">
        <v>0</v>
      </c>
      <c r="L520" s="12" t="s">
        <v>34</v>
      </c>
    </row>
    <row r="521" customFormat="false" ht="15" hidden="false" customHeight="false" outlineLevel="0" collapsed="false">
      <c r="A521" s="11" t="n">
        <v>44716</v>
      </c>
      <c r="B521" s="12" t="n">
        <v>18</v>
      </c>
      <c r="C521" s="12" t="n">
        <f aca="false">IF(NOT(ISNUMBER(B521)),"",ROUND((INDEX(BP!$D$5:$D$9,MATCH(B521,BP!$A$5:$A$9,1))-INDEX(BP!$C$5:$C$9,MATCH(B521,BP!$A$5:$A$9,1)))/(INDEX(BP!$B$5:$B$9,MATCH(B521,BP!$A$5:$A$9,1))-INDEX(BP!$A$5:$A$9,MATCH(B521,BP!$A$5:$A$9,1)))*(B521-INDEX(BP!$A$5:$A$9,MATCH(B521,BP!$A$5:$A$9,1)))+INDEX(BP!$C$5:$C$9,MATCH(B521,BP!$A$5:$A$9,1)),0))</f>
        <v>33</v>
      </c>
      <c r="D521" s="12" t="str">
        <f aca="false">IF(NOT(ISNUMBER(C521)),"",INDEX(BP!$F$5:$F$9,MATCH(C521,BP!$E$5:$E$9,1)))</f>
        <v>ดี</v>
      </c>
      <c r="E521" s="12" t="n">
        <f aca="false">YEAR(A521)</f>
        <v>2022</v>
      </c>
      <c r="F521" s="12" t="n">
        <f aca="false">MONTH(A521)</f>
        <v>6</v>
      </c>
      <c r="G521" s="12" t="n">
        <v>12.1</v>
      </c>
      <c r="H521" s="12" t="n">
        <v>23</v>
      </c>
      <c r="I521" s="12" t="n">
        <v>197</v>
      </c>
      <c r="J521" s="12" t="n">
        <v>1.4</v>
      </c>
      <c r="K521" s="12" t="n">
        <v>60</v>
      </c>
      <c r="L521" s="12" t="s">
        <v>35</v>
      </c>
    </row>
    <row r="522" customFormat="false" ht="15" hidden="false" customHeight="false" outlineLevel="0" collapsed="false">
      <c r="A522" s="11" t="n">
        <v>44717</v>
      </c>
      <c r="B522" s="12" t="n">
        <v>11</v>
      </c>
      <c r="C522" s="12" t="n">
        <f aca="false">IF(NOT(ISNUMBER(B522)),"",ROUND((INDEX(BP!$D$5:$D$9,MATCH(B522,BP!$A$5:$A$9,1))-INDEX(BP!$C$5:$C$9,MATCH(B522,BP!$A$5:$A$9,1)))/(INDEX(BP!$B$5:$B$9,MATCH(B522,BP!$A$5:$A$9,1))-INDEX(BP!$A$5:$A$9,MATCH(B522,BP!$A$5:$A$9,1)))*(B522-INDEX(BP!$A$5:$A$9,MATCH(B522,BP!$A$5:$A$9,1)))+INDEX(BP!$C$5:$C$9,MATCH(B522,BP!$A$5:$A$9,1)),0))</f>
        <v>18</v>
      </c>
      <c r="D522" s="12" t="str">
        <f aca="false">IF(NOT(ISNUMBER(C522)),"",INDEX(BP!$F$5:$F$9,MATCH(C522,BP!$E$5:$E$9,1)))</f>
        <v>ดีมาก</v>
      </c>
      <c r="E522" s="12" t="n">
        <f aca="false">YEAR(A522)</f>
        <v>2022</v>
      </c>
      <c r="F522" s="12" t="n">
        <f aca="false">MONTH(A522)</f>
        <v>6</v>
      </c>
      <c r="G522" s="12" t="n">
        <v>10.5</v>
      </c>
      <c r="H522" s="12" t="n">
        <v>28.4</v>
      </c>
      <c r="I522" s="12" t="n">
        <v>160</v>
      </c>
      <c r="J522" s="12" t="n">
        <v>18.5</v>
      </c>
      <c r="K522" s="12" t="n">
        <v>0</v>
      </c>
      <c r="L522" s="12" t="s">
        <v>35</v>
      </c>
    </row>
    <row r="523" customFormat="false" ht="15" hidden="false" customHeight="false" outlineLevel="0" collapsed="false">
      <c r="A523" s="11" t="n">
        <v>44718</v>
      </c>
      <c r="B523" s="12" t="n">
        <v>14</v>
      </c>
      <c r="C523" s="12" t="n">
        <f aca="false">IF(NOT(ISNUMBER(B523)),"",ROUND((INDEX(BP!$D$5:$D$9,MATCH(B523,BP!$A$5:$A$9,1))-INDEX(BP!$C$5:$C$9,MATCH(B523,BP!$A$5:$A$9,1)))/(INDEX(BP!$B$5:$B$9,MATCH(B523,BP!$A$5:$A$9,1))-INDEX(BP!$A$5:$A$9,MATCH(B523,BP!$A$5:$A$9,1)))*(B523-INDEX(BP!$A$5:$A$9,MATCH(B523,BP!$A$5:$A$9,1)))+INDEX(BP!$C$5:$C$9,MATCH(B523,BP!$A$5:$A$9,1)),0))</f>
        <v>23</v>
      </c>
      <c r="D523" s="12" t="str">
        <f aca="false">IF(NOT(ISNUMBER(C523)),"",INDEX(BP!$F$5:$F$9,MATCH(C523,BP!$E$5:$E$9,1)))</f>
        <v>ดีมาก</v>
      </c>
      <c r="E523" s="12" t="n">
        <f aca="false">YEAR(A523)</f>
        <v>2022</v>
      </c>
      <c r="F523" s="12" t="n">
        <f aca="false">MONTH(A523)</f>
        <v>6</v>
      </c>
      <c r="G523" s="12" t="n">
        <v>8.4</v>
      </c>
      <c r="H523" s="12" t="n">
        <v>23</v>
      </c>
      <c r="I523" s="12" t="n">
        <v>222</v>
      </c>
      <c r="J523" s="12" t="n">
        <v>7.7</v>
      </c>
      <c r="K523" s="12" t="n">
        <v>41.4</v>
      </c>
      <c r="L523" s="12" t="s">
        <v>36</v>
      </c>
    </row>
    <row r="524" customFormat="false" ht="15" hidden="false" customHeight="false" outlineLevel="0" collapsed="false">
      <c r="A524" s="11" t="n">
        <v>44719</v>
      </c>
      <c r="B524" s="12" t="n">
        <v>17</v>
      </c>
      <c r="C524" s="12" t="n">
        <f aca="false">IF(NOT(ISNUMBER(B524)),"",ROUND((INDEX(BP!$D$5:$D$9,MATCH(B524,BP!$A$5:$A$9,1))-INDEX(BP!$C$5:$C$9,MATCH(B524,BP!$A$5:$A$9,1)))/(INDEX(BP!$B$5:$B$9,MATCH(B524,BP!$A$5:$A$9,1))-INDEX(BP!$A$5:$A$9,MATCH(B524,BP!$A$5:$A$9,1)))*(B524-INDEX(BP!$A$5:$A$9,MATCH(B524,BP!$A$5:$A$9,1)))+INDEX(BP!$C$5:$C$9,MATCH(B524,BP!$A$5:$A$9,1)),0))</f>
        <v>31</v>
      </c>
      <c r="D524" s="12" t="str">
        <f aca="false">IF(NOT(ISNUMBER(C524)),"",INDEX(BP!$F$5:$F$9,MATCH(C524,BP!$E$5:$E$9,1)))</f>
        <v>ดี</v>
      </c>
      <c r="E524" s="12" t="n">
        <f aca="false">YEAR(A524)</f>
        <v>2022</v>
      </c>
      <c r="F524" s="12" t="n">
        <f aca="false">MONTH(A524)</f>
        <v>6</v>
      </c>
      <c r="G524" s="12" t="n">
        <v>10.8</v>
      </c>
      <c r="H524" s="12" t="n">
        <v>28.4</v>
      </c>
      <c r="I524" s="12" t="n">
        <v>231</v>
      </c>
      <c r="J524" s="12" t="n">
        <v>24.4</v>
      </c>
      <c r="K524" s="12" t="n">
        <v>0</v>
      </c>
      <c r="L524" s="12" t="s">
        <v>36</v>
      </c>
    </row>
    <row r="525" customFormat="false" ht="15" hidden="false" customHeight="false" outlineLevel="0" collapsed="false">
      <c r="A525" s="11" t="n">
        <v>44720</v>
      </c>
      <c r="B525" s="12" t="n">
        <v>17</v>
      </c>
      <c r="C525" s="12" t="n">
        <f aca="false">IF(NOT(ISNUMBER(B525)),"",ROUND((INDEX(BP!$D$5:$D$9,MATCH(B525,BP!$A$5:$A$9,1))-INDEX(BP!$C$5:$C$9,MATCH(B525,BP!$A$5:$A$9,1)))/(INDEX(BP!$B$5:$B$9,MATCH(B525,BP!$A$5:$A$9,1))-INDEX(BP!$A$5:$A$9,MATCH(B525,BP!$A$5:$A$9,1)))*(B525-INDEX(BP!$A$5:$A$9,MATCH(B525,BP!$A$5:$A$9,1)))+INDEX(BP!$C$5:$C$9,MATCH(B525,BP!$A$5:$A$9,1)),0))</f>
        <v>31</v>
      </c>
      <c r="D525" s="12" t="str">
        <f aca="false">IF(NOT(ISNUMBER(C525)),"",INDEX(BP!$F$5:$F$9,MATCH(C525,BP!$E$5:$E$9,1)))</f>
        <v>ดี</v>
      </c>
      <c r="E525" s="12" t="n">
        <f aca="false">YEAR(A525)</f>
        <v>2022</v>
      </c>
      <c r="F525" s="12" t="n">
        <f aca="false">MONTH(A525)</f>
        <v>6</v>
      </c>
      <c r="G525" s="12" t="n">
        <v>11.3</v>
      </c>
      <c r="H525" s="12" t="n">
        <v>25.9</v>
      </c>
      <c r="I525" s="12" t="n">
        <v>214</v>
      </c>
      <c r="J525" s="12" t="n">
        <v>4.5</v>
      </c>
      <c r="K525" s="12" t="n">
        <v>2.2</v>
      </c>
      <c r="L525" s="12" t="s">
        <v>36</v>
      </c>
    </row>
    <row r="526" customFormat="false" ht="15" hidden="false" customHeight="false" outlineLevel="0" collapsed="false">
      <c r="A526" s="11" t="n">
        <v>44721</v>
      </c>
      <c r="B526" s="12" t="n">
        <v>17</v>
      </c>
      <c r="C526" s="12" t="n">
        <f aca="false">IF(NOT(ISNUMBER(B526)),"",ROUND((INDEX(BP!$D$5:$D$9,MATCH(B526,BP!$A$5:$A$9,1))-INDEX(BP!$C$5:$C$9,MATCH(B526,BP!$A$5:$A$9,1)))/(INDEX(BP!$B$5:$B$9,MATCH(B526,BP!$A$5:$A$9,1))-INDEX(BP!$A$5:$A$9,MATCH(B526,BP!$A$5:$A$9,1)))*(B526-INDEX(BP!$A$5:$A$9,MATCH(B526,BP!$A$5:$A$9,1)))+INDEX(BP!$C$5:$C$9,MATCH(B526,BP!$A$5:$A$9,1)),0))</f>
        <v>31</v>
      </c>
      <c r="D526" s="12" t="str">
        <f aca="false">IF(NOT(ISNUMBER(C526)),"",INDEX(BP!$F$5:$F$9,MATCH(C526,BP!$E$5:$E$9,1)))</f>
        <v>ดี</v>
      </c>
      <c r="E526" s="12" t="n">
        <f aca="false">YEAR(A526)</f>
        <v>2022</v>
      </c>
      <c r="F526" s="12" t="n">
        <f aca="false">MONTH(A526)</f>
        <v>6</v>
      </c>
      <c r="G526" s="12" t="n">
        <v>8.4</v>
      </c>
      <c r="H526" s="12" t="n">
        <v>21.2</v>
      </c>
      <c r="I526" s="12" t="n">
        <v>252</v>
      </c>
      <c r="J526" s="12" t="n">
        <v>3.2</v>
      </c>
      <c r="K526" s="12" t="n">
        <v>0</v>
      </c>
      <c r="L526" s="12" t="s">
        <v>36</v>
      </c>
    </row>
    <row r="527" customFormat="false" ht="15" hidden="false" customHeight="false" outlineLevel="0" collapsed="false">
      <c r="A527" s="11" t="n">
        <v>44722</v>
      </c>
      <c r="B527" s="12" t="n">
        <v>15</v>
      </c>
      <c r="C527" s="12" t="n">
        <f aca="false">IF(NOT(ISNUMBER(B527)),"",ROUND((INDEX(BP!$D$5:$D$9,MATCH(B527,BP!$A$5:$A$9,1))-INDEX(BP!$C$5:$C$9,MATCH(B527,BP!$A$5:$A$9,1)))/(INDEX(BP!$B$5:$B$9,MATCH(B527,BP!$A$5:$A$9,1))-INDEX(BP!$A$5:$A$9,MATCH(B527,BP!$A$5:$A$9,1)))*(B527-INDEX(BP!$A$5:$A$9,MATCH(B527,BP!$A$5:$A$9,1)))+INDEX(BP!$C$5:$C$9,MATCH(B527,BP!$A$5:$A$9,1)),0))</f>
        <v>25</v>
      </c>
      <c r="D527" s="12" t="str">
        <f aca="false">IF(NOT(ISNUMBER(C527)),"",INDEX(BP!$F$5:$F$9,MATCH(C527,BP!$E$5:$E$9,1)))</f>
        <v>ดีมาก</v>
      </c>
      <c r="E527" s="12" t="n">
        <f aca="false">YEAR(A527)</f>
        <v>2022</v>
      </c>
      <c r="F527" s="12" t="n">
        <f aca="false">MONTH(A527)</f>
        <v>6</v>
      </c>
      <c r="G527" s="12" t="n">
        <v>12.3</v>
      </c>
      <c r="H527" s="12" t="n">
        <v>25.9</v>
      </c>
      <c r="I527" s="12" t="n">
        <v>235</v>
      </c>
      <c r="J527" s="12" t="n">
        <v>7.6</v>
      </c>
      <c r="K527" s="12" t="n">
        <v>37.8</v>
      </c>
      <c r="L527" s="12" t="s">
        <v>36</v>
      </c>
    </row>
    <row r="528" customFormat="false" ht="15" hidden="false" customHeight="false" outlineLevel="0" collapsed="false">
      <c r="A528" s="11" t="n">
        <v>44723</v>
      </c>
      <c r="B528" s="12" t="n">
        <v>13</v>
      </c>
      <c r="C528" s="12" t="n">
        <f aca="false">IF(NOT(ISNUMBER(B528)),"",ROUND((INDEX(BP!$D$5:$D$9,MATCH(B528,BP!$A$5:$A$9,1))-INDEX(BP!$C$5:$C$9,MATCH(B528,BP!$A$5:$A$9,1)))/(INDEX(BP!$B$5:$B$9,MATCH(B528,BP!$A$5:$A$9,1))-INDEX(BP!$A$5:$A$9,MATCH(B528,BP!$A$5:$A$9,1)))*(B528-INDEX(BP!$A$5:$A$9,MATCH(B528,BP!$A$5:$A$9,1)))+INDEX(BP!$C$5:$C$9,MATCH(B528,BP!$A$5:$A$9,1)),0))</f>
        <v>22</v>
      </c>
      <c r="D528" s="12" t="str">
        <f aca="false">IF(NOT(ISNUMBER(C528)),"",INDEX(BP!$F$5:$F$9,MATCH(C528,BP!$E$5:$E$9,1)))</f>
        <v>ดีมาก</v>
      </c>
      <c r="E528" s="12" t="n">
        <f aca="false">YEAR(A528)</f>
        <v>2022</v>
      </c>
      <c r="F528" s="12" t="n">
        <f aca="false">MONTH(A528)</f>
        <v>6</v>
      </c>
      <c r="G528" s="12" t="n">
        <v>12.5</v>
      </c>
      <c r="H528" s="12" t="n">
        <v>29.5</v>
      </c>
      <c r="I528" s="12" t="n">
        <v>247</v>
      </c>
      <c r="J528" s="12" t="n">
        <v>1.8</v>
      </c>
      <c r="K528" s="12" t="n">
        <v>0</v>
      </c>
      <c r="L528" s="12" t="s">
        <v>35</v>
      </c>
    </row>
    <row r="529" customFormat="false" ht="15" hidden="false" customHeight="false" outlineLevel="0" collapsed="false">
      <c r="A529" s="11" t="n">
        <v>44724</v>
      </c>
      <c r="B529" s="12" t="n">
        <v>15</v>
      </c>
      <c r="C529" s="12" t="n">
        <f aca="false">IF(NOT(ISNUMBER(B529)),"",ROUND((INDEX(BP!$D$5:$D$9,MATCH(B529,BP!$A$5:$A$9,1))-INDEX(BP!$C$5:$C$9,MATCH(B529,BP!$A$5:$A$9,1)))/(INDEX(BP!$B$5:$B$9,MATCH(B529,BP!$A$5:$A$9,1))-INDEX(BP!$A$5:$A$9,MATCH(B529,BP!$A$5:$A$9,1)))*(B529-INDEX(BP!$A$5:$A$9,MATCH(B529,BP!$A$5:$A$9,1)))+INDEX(BP!$C$5:$C$9,MATCH(B529,BP!$A$5:$A$9,1)),0))</f>
        <v>25</v>
      </c>
      <c r="D529" s="12" t="str">
        <f aca="false">IF(NOT(ISNUMBER(C529)),"",INDEX(BP!$F$5:$F$9,MATCH(C529,BP!$E$5:$E$9,1)))</f>
        <v>ดีมาก</v>
      </c>
      <c r="E529" s="12" t="n">
        <f aca="false">YEAR(A529)</f>
        <v>2022</v>
      </c>
      <c r="F529" s="12" t="n">
        <f aca="false">MONTH(A529)</f>
        <v>6</v>
      </c>
      <c r="G529" s="12" t="n">
        <v>17.5</v>
      </c>
      <c r="H529" s="12" t="n">
        <v>37.1</v>
      </c>
      <c r="I529" s="12" t="n">
        <v>228</v>
      </c>
      <c r="J529" s="12" t="n">
        <v>3.5</v>
      </c>
      <c r="K529" s="12" t="n">
        <v>0.4</v>
      </c>
      <c r="L529" s="12" t="s">
        <v>35</v>
      </c>
    </row>
    <row r="530" customFormat="false" ht="15" hidden="false" customHeight="false" outlineLevel="0" collapsed="false">
      <c r="A530" s="11" t="n">
        <v>44725</v>
      </c>
      <c r="B530" s="12" t="n">
        <v>15</v>
      </c>
      <c r="C530" s="12" t="n">
        <f aca="false">IF(NOT(ISNUMBER(B530)),"",ROUND((INDEX(BP!$D$5:$D$9,MATCH(B530,BP!$A$5:$A$9,1))-INDEX(BP!$C$5:$C$9,MATCH(B530,BP!$A$5:$A$9,1)))/(INDEX(BP!$B$5:$B$9,MATCH(B530,BP!$A$5:$A$9,1))-INDEX(BP!$A$5:$A$9,MATCH(B530,BP!$A$5:$A$9,1)))*(B530-INDEX(BP!$A$5:$A$9,MATCH(B530,BP!$A$5:$A$9,1)))+INDEX(BP!$C$5:$C$9,MATCH(B530,BP!$A$5:$A$9,1)),0))</f>
        <v>25</v>
      </c>
      <c r="D530" s="12" t="str">
        <f aca="false">IF(NOT(ISNUMBER(C530)),"",INDEX(BP!$F$5:$F$9,MATCH(C530,BP!$E$5:$E$9,1)))</f>
        <v>ดีมาก</v>
      </c>
      <c r="E530" s="12" t="n">
        <f aca="false">YEAR(A530)</f>
        <v>2022</v>
      </c>
      <c r="F530" s="12" t="n">
        <f aca="false">MONTH(A530)</f>
        <v>6</v>
      </c>
      <c r="G530" s="12" t="n">
        <v>10.8</v>
      </c>
      <c r="H530" s="12" t="n">
        <v>20.9</v>
      </c>
      <c r="I530" s="12" t="n">
        <v>214</v>
      </c>
      <c r="J530" s="12" t="n">
        <v>4.2</v>
      </c>
      <c r="K530" s="12" t="n">
        <v>0</v>
      </c>
      <c r="L530" s="12" t="s">
        <v>36</v>
      </c>
    </row>
    <row r="531" customFormat="false" ht="15" hidden="false" customHeight="false" outlineLevel="0" collapsed="false">
      <c r="A531" s="11" t="n">
        <v>44726</v>
      </c>
      <c r="B531" s="12" t="n">
        <v>17</v>
      </c>
      <c r="C531" s="12" t="n">
        <f aca="false">IF(NOT(ISNUMBER(B531)),"",ROUND((INDEX(BP!$D$5:$D$9,MATCH(B531,BP!$A$5:$A$9,1))-INDEX(BP!$C$5:$C$9,MATCH(B531,BP!$A$5:$A$9,1)))/(INDEX(BP!$B$5:$B$9,MATCH(B531,BP!$A$5:$A$9,1))-INDEX(BP!$A$5:$A$9,MATCH(B531,BP!$A$5:$A$9,1)))*(B531-INDEX(BP!$A$5:$A$9,MATCH(B531,BP!$A$5:$A$9,1)))+INDEX(BP!$C$5:$C$9,MATCH(B531,BP!$A$5:$A$9,1)),0))</f>
        <v>31</v>
      </c>
      <c r="D531" s="12" t="str">
        <f aca="false">IF(NOT(ISNUMBER(C531)),"",INDEX(BP!$F$5:$F$9,MATCH(C531,BP!$E$5:$E$9,1)))</f>
        <v>ดี</v>
      </c>
      <c r="E531" s="12" t="n">
        <f aca="false">YEAR(A531)</f>
        <v>2022</v>
      </c>
      <c r="F531" s="12" t="n">
        <f aca="false">MONTH(A531)</f>
        <v>6</v>
      </c>
      <c r="G531" s="12" t="n">
        <v>9.2</v>
      </c>
      <c r="H531" s="12" t="n">
        <v>27.4</v>
      </c>
      <c r="I531" s="12" t="n">
        <v>201</v>
      </c>
      <c r="J531" s="12" t="n">
        <v>5.8</v>
      </c>
      <c r="K531" s="12" t="n">
        <v>8.8</v>
      </c>
      <c r="L531" s="12" t="s">
        <v>36</v>
      </c>
    </row>
    <row r="532" customFormat="false" ht="15" hidden="false" customHeight="false" outlineLevel="0" collapsed="false">
      <c r="A532" s="11" t="n">
        <v>44727</v>
      </c>
      <c r="B532" s="12" t="n">
        <v>18</v>
      </c>
      <c r="C532" s="12" t="n">
        <f aca="false">IF(NOT(ISNUMBER(B532)),"",ROUND((INDEX(BP!$D$5:$D$9,MATCH(B532,BP!$A$5:$A$9,1))-INDEX(BP!$C$5:$C$9,MATCH(B532,BP!$A$5:$A$9,1)))/(INDEX(BP!$B$5:$B$9,MATCH(B532,BP!$A$5:$A$9,1))-INDEX(BP!$A$5:$A$9,MATCH(B532,BP!$A$5:$A$9,1)))*(B532-INDEX(BP!$A$5:$A$9,MATCH(B532,BP!$A$5:$A$9,1)))+INDEX(BP!$C$5:$C$9,MATCH(B532,BP!$A$5:$A$9,1)),0))</f>
        <v>33</v>
      </c>
      <c r="D532" s="12" t="str">
        <f aca="false">IF(NOT(ISNUMBER(C532)),"",INDEX(BP!$F$5:$F$9,MATCH(C532,BP!$E$5:$E$9,1)))</f>
        <v>ดี</v>
      </c>
      <c r="E532" s="12" t="n">
        <f aca="false">YEAR(A532)</f>
        <v>2022</v>
      </c>
      <c r="F532" s="12" t="n">
        <f aca="false">MONTH(A532)</f>
        <v>6</v>
      </c>
      <c r="G532" s="12" t="n">
        <v>11.1</v>
      </c>
      <c r="H532" s="12" t="n">
        <v>26.6</v>
      </c>
      <c r="I532" s="12" t="n">
        <v>177</v>
      </c>
      <c r="J532" s="12" t="n">
        <v>7.4</v>
      </c>
      <c r="K532" s="12" t="n">
        <v>1</v>
      </c>
      <c r="L532" s="12" t="s">
        <v>36</v>
      </c>
    </row>
    <row r="533" customFormat="false" ht="15" hidden="false" customHeight="false" outlineLevel="0" collapsed="false">
      <c r="A533" s="11" t="n">
        <v>44728</v>
      </c>
      <c r="B533" s="12" t="n">
        <v>17</v>
      </c>
      <c r="C533" s="12" t="n">
        <f aca="false">IF(NOT(ISNUMBER(B533)),"",ROUND((INDEX(BP!$D$5:$D$9,MATCH(B533,BP!$A$5:$A$9,1))-INDEX(BP!$C$5:$C$9,MATCH(B533,BP!$A$5:$A$9,1)))/(INDEX(BP!$B$5:$B$9,MATCH(B533,BP!$A$5:$A$9,1))-INDEX(BP!$A$5:$A$9,MATCH(B533,BP!$A$5:$A$9,1)))*(B533-INDEX(BP!$A$5:$A$9,MATCH(B533,BP!$A$5:$A$9,1)))+INDEX(BP!$C$5:$C$9,MATCH(B533,BP!$A$5:$A$9,1)),0))</f>
        <v>31</v>
      </c>
      <c r="D533" s="12" t="str">
        <f aca="false">IF(NOT(ISNUMBER(C533)),"",INDEX(BP!$F$5:$F$9,MATCH(C533,BP!$E$5:$E$9,1)))</f>
        <v>ดี</v>
      </c>
      <c r="E533" s="12" t="n">
        <f aca="false">YEAR(A533)</f>
        <v>2022</v>
      </c>
      <c r="F533" s="12" t="n">
        <f aca="false">MONTH(A533)</f>
        <v>6</v>
      </c>
      <c r="G533" s="12" t="n">
        <v>12.6</v>
      </c>
      <c r="H533" s="12" t="n">
        <v>33.1</v>
      </c>
      <c r="I533" s="12" t="n">
        <v>167</v>
      </c>
      <c r="J533" s="12" t="n">
        <v>5.5</v>
      </c>
      <c r="K533" s="12" t="n">
        <v>0</v>
      </c>
      <c r="L533" s="12" t="s">
        <v>36</v>
      </c>
    </row>
    <row r="534" customFormat="false" ht="15" hidden="false" customHeight="false" outlineLevel="0" collapsed="false">
      <c r="A534" s="11" t="n">
        <v>44729</v>
      </c>
      <c r="B534" s="12" t="n">
        <v>21</v>
      </c>
      <c r="C534" s="12" t="n">
        <f aca="false">IF(NOT(ISNUMBER(B534)),"",ROUND((INDEX(BP!$D$5:$D$9,MATCH(B534,BP!$A$5:$A$9,1))-INDEX(BP!$C$5:$C$9,MATCH(B534,BP!$A$5:$A$9,1)))/(INDEX(BP!$B$5:$B$9,MATCH(B534,BP!$A$5:$A$9,1))-INDEX(BP!$A$5:$A$9,MATCH(B534,BP!$A$5:$A$9,1)))*(B534-INDEX(BP!$A$5:$A$9,MATCH(B534,BP!$A$5:$A$9,1)))+INDEX(BP!$C$5:$C$9,MATCH(B534,BP!$A$5:$A$9,1)),0))</f>
        <v>40</v>
      </c>
      <c r="D534" s="12" t="str">
        <f aca="false">IF(NOT(ISNUMBER(C534)),"",INDEX(BP!$F$5:$F$9,MATCH(C534,BP!$E$5:$E$9,1)))</f>
        <v>ดี</v>
      </c>
      <c r="E534" s="12" t="n">
        <f aca="false">YEAR(A534)</f>
        <v>2022</v>
      </c>
      <c r="F534" s="12" t="n">
        <f aca="false">MONTH(A534)</f>
        <v>6</v>
      </c>
      <c r="G534" s="12" t="n">
        <v>11</v>
      </c>
      <c r="H534" s="12" t="n">
        <v>23.8</v>
      </c>
      <c r="I534" s="12" t="n">
        <v>204</v>
      </c>
      <c r="J534" s="12" t="n">
        <v>7.7</v>
      </c>
      <c r="K534" s="12" t="n">
        <v>2.8</v>
      </c>
      <c r="L534" s="12" t="s">
        <v>36</v>
      </c>
    </row>
    <row r="535" customFormat="false" ht="15" hidden="false" customHeight="false" outlineLevel="0" collapsed="false">
      <c r="A535" s="11" t="n">
        <v>44730</v>
      </c>
      <c r="B535" s="12" t="n">
        <v>19</v>
      </c>
      <c r="C535" s="12" t="n">
        <f aca="false">IF(NOT(ISNUMBER(B535)),"",ROUND((INDEX(BP!$D$5:$D$9,MATCH(B535,BP!$A$5:$A$9,1))-INDEX(BP!$C$5:$C$9,MATCH(B535,BP!$A$5:$A$9,1)))/(INDEX(BP!$B$5:$B$9,MATCH(B535,BP!$A$5:$A$9,1))-INDEX(BP!$A$5:$A$9,MATCH(B535,BP!$A$5:$A$9,1)))*(B535-INDEX(BP!$A$5:$A$9,MATCH(B535,BP!$A$5:$A$9,1)))+INDEX(BP!$C$5:$C$9,MATCH(B535,BP!$A$5:$A$9,1)),0))</f>
        <v>35</v>
      </c>
      <c r="D535" s="12" t="str">
        <f aca="false">IF(NOT(ISNUMBER(C535)),"",INDEX(BP!$F$5:$F$9,MATCH(C535,BP!$E$5:$E$9,1)))</f>
        <v>ดี</v>
      </c>
      <c r="E535" s="12" t="n">
        <f aca="false">YEAR(A535)</f>
        <v>2022</v>
      </c>
      <c r="F535" s="12" t="n">
        <f aca="false">MONTH(A535)</f>
        <v>6</v>
      </c>
      <c r="G535" s="12" t="n">
        <v>13.9</v>
      </c>
      <c r="H535" s="12" t="n">
        <v>24.8</v>
      </c>
      <c r="I535" s="12" t="n">
        <v>228</v>
      </c>
      <c r="J535" s="12" t="n">
        <v>2</v>
      </c>
      <c r="K535" s="12" t="n">
        <v>0</v>
      </c>
      <c r="L535" s="12" t="s">
        <v>35</v>
      </c>
    </row>
    <row r="536" customFormat="false" ht="15" hidden="false" customHeight="false" outlineLevel="0" collapsed="false">
      <c r="A536" s="11" t="n">
        <v>44731</v>
      </c>
      <c r="B536" s="12" t="n">
        <v>14</v>
      </c>
      <c r="C536" s="12" t="n">
        <f aca="false">IF(NOT(ISNUMBER(B536)),"",ROUND((INDEX(BP!$D$5:$D$9,MATCH(B536,BP!$A$5:$A$9,1))-INDEX(BP!$C$5:$C$9,MATCH(B536,BP!$A$5:$A$9,1)))/(INDEX(BP!$B$5:$B$9,MATCH(B536,BP!$A$5:$A$9,1))-INDEX(BP!$A$5:$A$9,MATCH(B536,BP!$A$5:$A$9,1)))*(B536-INDEX(BP!$A$5:$A$9,MATCH(B536,BP!$A$5:$A$9,1)))+INDEX(BP!$C$5:$C$9,MATCH(B536,BP!$A$5:$A$9,1)),0))</f>
        <v>23</v>
      </c>
      <c r="D536" s="12" t="str">
        <f aca="false">IF(NOT(ISNUMBER(C536)),"",INDEX(BP!$F$5:$F$9,MATCH(C536,BP!$E$5:$E$9,1)))</f>
        <v>ดีมาก</v>
      </c>
      <c r="E536" s="12" t="n">
        <f aca="false">YEAR(A536)</f>
        <v>2022</v>
      </c>
      <c r="F536" s="12" t="n">
        <f aca="false">MONTH(A536)</f>
        <v>6</v>
      </c>
      <c r="G536" s="12" t="n">
        <v>14.1</v>
      </c>
      <c r="H536" s="12" t="n">
        <v>27</v>
      </c>
      <c r="I536" s="12" t="n">
        <v>221</v>
      </c>
      <c r="J536" s="12" t="n">
        <v>4.5</v>
      </c>
      <c r="K536" s="12" t="n">
        <v>13.6</v>
      </c>
      <c r="L536" s="12" t="s">
        <v>35</v>
      </c>
    </row>
    <row r="537" customFormat="false" ht="15" hidden="false" customHeight="false" outlineLevel="0" collapsed="false">
      <c r="A537" s="11" t="n">
        <v>44732</v>
      </c>
      <c r="B537" s="12" t="n">
        <v>14</v>
      </c>
      <c r="C537" s="12" t="n">
        <f aca="false">IF(NOT(ISNUMBER(B537)),"",ROUND((INDEX(BP!$D$5:$D$9,MATCH(B537,BP!$A$5:$A$9,1))-INDEX(BP!$C$5:$C$9,MATCH(B537,BP!$A$5:$A$9,1)))/(INDEX(BP!$B$5:$B$9,MATCH(B537,BP!$A$5:$A$9,1))-INDEX(BP!$A$5:$A$9,MATCH(B537,BP!$A$5:$A$9,1)))*(B537-INDEX(BP!$A$5:$A$9,MATCH(B537,BP!$A$5:$A$9,1)))+INDEX(BP!$C$5:$C$9,MATCH(B537,BP!$A$5:$A$9,1)),0))</f>
        <v>23</v>
      </c>
      <c r="D537" s="12" t="str">
        <f aca="false">IF(NOT(ISNUMBER(C537)),"",INDEX(BP!$F$5:$F$9,MATCH(C537,BP!$E$5:$E$9,1)))</f>
        <v>ดีมาก</v>
      </c>
      <c r="E537" s="12" t="n">
        <f aca="false">YEAR(A537)</f>
        <v>2022</v>
      </c>
      <c r="F537" s="12" t="n">
        <f aca="false">MONTH(A537)</f>
        <v>6</v>
      </c>
      <c r="G537" s="12" t="n">
        <v>17.6</v>
      </c>
      <c r="H537" s="12" t="n">
        <v>36.4</v>
      </c>
      <c r="I537" s="12" t="n">
        <v>221</v>
      </c>
      <c r="J537" s="12" t="n">
        <v>5.9</v>
      </c>
      <c r="K537" s="12" t="n">
        <v>1.6</v>
      </c>
      <c r="L537" s="12" t="s">
        <v>36</v>
      </c>
    </row>
    <row r="538" customFormat="false" ht="15" hidden="false" customHeight="false" outlineLevel="0" collapsed="false">
      <c r="A538" s="11" t="n">
        <v>44733</v>
      </c>
      <c r="B538" s="12" t="n">
        <v>13</v>
      </c>
      <c r="C538" s="12" t="n">
        <f aca="false">IF(NOT(ISNUMBER(B538)),"",ROUND((INDEX(BP!$D$5:$D$9,MATCH(B538,BP!$A$5:$A$9,1))-INDEX(BP!$C$5:$C$9,MATCH(B538,BP!$A$5:$A$9,1)))/(INDEX(BP!$B$5:$B$9,MATCH(B538,BP!$A$5:$A$9,1))-INDEX(BP!$A$5:$A$9,MATCH(B538,BP!$A$5:$A$9,1)))*(B538-INDEX(BP!$A$5:$A$9,MATCH(B538,BP!$A$5:$A$9,1)))+INDEX(BP!$C$5:$C$9,MATCH(B538,BP!$A$5:$A$9,1)),0))</f>
        <v>22</v>
      </c>
      <c r="D538" s="12" t="str">
        <f aca="false">IF(NOT(ISNUMBER(C538)),"",INDEX(BP!$F$5:$F$9,MATCH(C538,BP!$E$5:$E$9,1)))</f>
        <v>ดีมาก</v>
      </c>
      <c r="E538" s="12" t="n">
        <f aca="false">YEAR(A538)</f>
        <v>2022</v>
      </c>
      <c r="F538" s="12" t="n">
        <f aca="false">MONTH(A538)</f>
        <v>6</v>
      </c>
      <c r="G538" s="12" t="n">
        <v>14.3</v>
      </c>
      <c r="H538" s="12" t="n">
        <v>31.7</v>
      </c>
      <c r="I538" s="12" t="n">
        <v>218</v>
      </c>
      <c r="J538" s="12" t="n">
        <v>4.6</v>
      </c>
      <c r="K538" s="12" t="n">
        <v>0</v>
      </c>
      <c r="L538" s="12" t="s">
        <v>36</v>
      </c>
    </row>
    <row r="539" customFormat="false" ht="15" hidden="false" customHeight="false" outlineLevel="0" collapsed="false">
      <c r="A539" s="11" t="n">
        <v>44734</v>
      </c>
      <c r="B539" s="12" t="n">
        <v>14</v>
      </c>
      <c r="C539" s="12" t="n">
        <f aca="false">IF(NOT(ISNUMBER(B539)),"",ROUND((INDEX(BP!$D$5:$D$9,MATCH(B539,BP!$A$5:$A$9,1))-INDEX(BP!$C$5:$C$9,MATCH(B539,BP!$A$5:$A$9,1)))/(INDEX(BP!$B$5:$B$9,MATCH(B539,BP!$A$5:$A$9,1))-INDEX(BP!$A$5:$A$9,MATCH(B539,BP!$A$5:$A$9,1)))*(B539-INDEX(BP!$A$5:$A$9,MATCH(B539,BP!$A$5:$A$9,1)))+INDEX(BP!$C$5:$C$9,MATCH(B539,BP!$A$5:$A$9,1)),0))</f>
        <v>23</v>
      </c>
      <c r="D539" s="12" t="str">
        <f aca="false">IF(NOT(ISNUMBER(C539)),"",INDEX(BP!$F$5:$F$9,MATCH(C539,BP!$E$5:$E$9,1)))</f>
        <v>ดีมาก</v>
      </c>
      <c r="E539" s="12" t="n">
        <f aca="false">YEAR(A539)</f>
        <v>2022</v>
      </c>
      <c r="F539" s="12" t="n">
        <f aca="false">MONTH(A539)</f>
        <v>6</v>
      </c>
      <c r="G539" s="12" t="n">
        <v>12.6</v>
      </c>
      <c r="H539" s="12" t="n">
        <v>28.1</v>
      </c>
      <c r="I539" s="12" t="n">
        <v>237</v>
      </c>
      <c r="J539" s="12" t="n">
        <v>4.5</v>
      </c>
      <c r="K539" s="12" t="n">
        <v>0.4</v>
      </c>
      <c r="L539" s="12" t="s">
        <v>36</v>
      </c>
    </row>
    <row r="540" customFormat="false" ht="15" hidden="false" customHeight="false" outlineLevel="0" collapsed="false">
      <c r="A540" s="11" t="n">
        <v>44735</v>
      </c>
      <c r="B540" s="12" t="n">
        <v>15</v>
      </c>
      <c r="C540" s="12" t="n">
        <f aca="false">IF(NOT(ISNUMBER(B540)),"",ROUND((INDEX(BP!$D$5:$D$9,MATCH(B540,BP!$A$5:$A$9,1))-INDEX(BP!$C$5:$C$9,MATCH(B540,BP!$A$5:$A$9,1)))/(INDEX(BP!$B$5:$B$9,MATCH(B540,BP!$A$5:$A$9,1))-INDEX(BP!$A$5:$A$9,MATCH(B540,BP!$A$5:$A$9,1)))*(B540-INDEX(BP!$A$5:$A$9,MATCH(B540,BP!$A$5:$A$9,1)))+INDEX(BP!$C$5:$C$9,MATCH(B540,BP!$A$5:$A$9,1)),0))</f>
        <v>25</v>
      </c>
      <c r="D540" s="12" t="str">
        <f aca="false">IF(NOT(ISNUMBER(C540)),"",INDEX(BP!$F$5:$F$9,MATCH(C540,BP!$E$5:$E$9,1)))</f>
        <v>ดีมาก</v>
      </c>
      <c r="E540" s="12" t="n">
        <f aca="false">YEAR(A540)</f>
        <v>2022</v>
      </c>
      <c r="F540" s="12" t="n">
        <f aca="false">MONTH(A540)</f>
        <v>6</v>
      </c>
      <c r="G540" s="12" t="n">
        <v>16.6</v>
      </c>
      <c r="H540" s="12" t="n">
        <v>36</v>
      </c>
      <c r="I540" s="12" t="n">
        <v>226</v>
      </c>
      <c r="J540" s="12" t="n">
        <v>11.8</v>
      </c>
      <c r="K540" s="12" t="n">
        <v>2.4</v>
      </c>
      <c r="L540" s="12" t="s">
        <v>36</v>
      </c>
    </row>
    <row r="541" customFormat="false" ht="15" hidden="false" customHeight="false" outlineLevel="0" collapsed="false">
      <c r="A541" s="11" t="n">
        <v>44736</v>
      </c>
      <c r="B541" s="12" t="n">
        <v>9</v>
      </c>
      <c r="C541" s="12" t="n">
        <f aca="false">IF(NOT(ISNUMBER(B541)),"",ROUND((INDEX(BP!$D$5:$D$9,MATCH(B541,BP!$A$5:$A$9,1))-INDEX(BP!$C$5:$C$9,MATCH(B541,BP!$A$5:$A$9,1)))/(INDEX(BP!$B$5:$B$9,MATCH(B541,BP!$A$5:$A$9,1))-INDEX(BP!$A$5:$A$9,MATCH(B541,BP!$A$5:$A$9,1)))*(B541-INDEX(BP!$A$5:$A$9,MATCH(B541,BP!$A$5:$A$9,1)))+INDEX(BP!$C$5:$C$9,MATCH(B541,BP!$A$5:$A$9,1)),0))</f>
        <v>15</v>
      </c>
      <c r="D541" s="12" t="str">
        <f aca="false">IF(NOT(ISNUMBER(C541)),"",INDEX(BP!$F$5:$F$9,MATCH(C541,BP!$E$5:$E$9,1)))</f>
        <v>ดีมาก</v>
      </c>
      <c r="E541" s="12" t="n">
        <f aca="false">YEAR(A541)</f>
        <v>2022</v>
      </c>
      <c r="F541" s="12" t="n">
        <f aca="false">MONTH(A541)</f>
        <v>6</v>
      </c>
      <c r="G541" s="12" t="n">
        <v>17.9</v>
      </c>
      <c r="H541" s="12" t="n">
        <v>36.7</v>
      </c>
      <c r="I541" s="12" t="n">
        <v>236</v>
      </c>
      <c r="J541" s="12" t="n">
        <v>3.6</v>
      </c>
      <c r="K541" s="12" t="n">
        <v>0</v>
      </c>
      <c r="L541" s="12" t="s">
        <v>36</v>
      </c>
    </row>
    <row r="542" customFormat="false" ht="15" hidden="false" customHeight="false" outlineLevel="0" collapsed="false">
      <c r="A542" s="11" t="n">
        <v>44737</v>
      </c>
      <c r="B542" s="12" t="n">
        <v>16</v>
      </c>
      <c r="C542" s="12" t="n">
        <f aca="false">IF(NOT(ISNUMBER(B542)),"",ROUND((INDEX(BP!$D$5:$D$9,MATCH(B542,BP!$A$5:$A$9,1))-INDEX(BP!$C$5:$C$9,MATCH(B542,BP!$A$5:$A$9,1)))/(INDEX(BP!$B$5:$B$9,MATCH(B542,BP!$A$5:$A$9,1))-INDEX(BP!$A$5:$A$9,MATCH(B542,BP!$A$5:$A$9,1)))*(B542-INDEX(BP!$A$5:$A$9,MATCH(B542,BP!$A$5:$A$9,1)))+INDEX(BP!$C$5:$C$9,MATCH(B542,BP!$A$5:$A$9,1)),0))</f>
        <v>28</v>
      </c>
      <c r="D542" s="12" t="str">
        <f aca="false">IF(NOT(ISNUMBER(C542)),"",INDEX(BP!$F$5:$F$9,MATCH(C542,BP!$E$5:$E$9,1)))</f>
        <v>ดี</v>
      </c>
      <c r="E542" s="12" t="n">
        <f aca="false">YEAR(A542)</f>
        <v>2022</v>
      </c>
      <c r="F542" s="12" t="n">
        <f aca="false">MONTH(A542)</f>
        <v>6</v>
      </c>
      <c r="G542" s="12" t="n">
        <v>10.5</v>
      </c>
      <c r="H542" s="12" t="n">
        <v>25.6</v>
      </c>
      <c r="I542" s="12" t="n">
        <v>215</v>
      </c>
      <c r="J542" s="12" t="n">
        <v>5.7</v>
      </c>
      <c r="K542" s="12" t="n">
        <v>0</v>
      </c>
      <c r="L542" s="12" t="s">
        <v>35</v>
      </c>
    </row>
    <row r="543" customFormat="false" ht="15" hidden="false" customHeight="false" outlineLevel="0" collapsed="false">
      <c r="A543" s="11" t="n">
        <v>44738</v>
      </c>
      <c r="B543" s="12" t="n">
        <v>17</v>
      </c>
      <c r="C543" s="12" t="n">
        <f aca="false">IF(NOT(ISNUMBER(B543)),"",ROUND((INDEX(BP!$D$5:$D$9,MATCH(B543,BP!$A$5:$A$9,1))-INDEX(BP!$C$5:$C$9,MATCH(B543,BP!$A$5:$A$9,1)))/(INDEX(BP!$B$5:$B$9,MATCH(B543,BP!$A$5:$A$9,1))-INDEX(BP!$A$5:$A$9,MATCH(B543,BP!$A$5:$A$9,1)))*(B543-INDEX(BP!$A$5:$A$9,MATCH(B543,BP!$A$5:$A$9,1)))+INDEX(BP!$C$5:$C$9,MATCH(B543,BP!$A$5:$A$9,1)),0))</f>
        <v>31</v>
      </c>
      <c r="D543" s="12" t="str">
        <f aca="false">IF(NOT(ISNUMBER(C543)),"",INDEX(BP!$F$5:$F$9,MATCH(C543,BP!$E$5:$E$9,1)))</f>
        <v>ดี</v>
      </c>
      <c r="E543" s="12" t="n">
        <f aca="false">YEAR(A543)</f>
        <v>2022</v>
      </c>
      <c r="F543" s="12" t="n">
        <f aca="false">MONTH(A543)</f>
        <v>6</v>
      </c>
      <c r="G543" s="12" t="n">
        <v>8.8</v>
      </c>
      <c r="H543" s="12" t="n">
        <v>26.3</v>
      </c>
      <c r="I543" s="12" t="n">
        <v>166</v>
      </c>
      <c r="J543" s="12" t="n">
        <v>18.8</v>
      </c>
      <c r="K543" s="12" t="n">
        <v>16.4</v>
      </c>
      <c r="L543" s="12" t="s">
        <v>35</v>
      </c>
    </row>
    <row r="544" customFormat="false" ht="15" hidden="false" customHeight="false" outlineLevel="0" collapsed="false">
      <c r="A544" s="11" t="n">
        <v>44739</v>
      </c>
      <c r="B544" s="12" t="n">
        <v>20</v>
      </c>
      <c r="C544" s="12" t="n">
        <f aca="false">IF(NOT(ISNUMBER(B544)),"",ROUND((INDEX(BP!$D$5:$D$9,MATCH(B544,BP!$A$5:$A$9,1))-INDEX(BP!$C$5:$C$9,MATCH(B544,BP!$A$5:$A$9,1)))/(INDEX(BP!$B$5:$B$9,MATCH(B544,BP!$A$5:$A$9,1))-INDEX(BP!$A$5:$A$9,MATCH(B544,BP!$A$5:$A$9,1)))*(B544-INDEX(BP!$A$5:$A$9,MATCH(B544,BP!$A$5:$A$9,1)))+INDEX(BP!$C$5:$C$9,MATCH(B544,BP!$A$5:$A$9,1)),0))</f>
        <v>38</v>
      </c>
      <c r="D544" s="12" t="str">
        <f aca="false">IF(NOT(ISNUMBER(C544)),"",INDEX(BP!$F$5:$F$9,MATCH(C544,BP!$E$5:$E$9,1)))</f>
        <v>ดี</v>
      </c>
      <c r="E544" s="12" t="n">
        <f aca="false">YEAR(A544)</f>
        <v>2022</v>
      </c>
      <c r="F544" s="12" t="n">
        <f aca="false">MONTH(A544)</f>
        <v>6</v>
      </c>
      <c r="G544" s="12" t="n">
        <v>11.2</v>
      </c>
      <c r="H544" s="12" t="n">
        <v>25.2</v>
      </c>
      <c r="I544" s="12" t="n">
        <v>133</v>
      </c>
      <c r="J544" s="12" t="n">
        <v>5.3</v>
      </c>
      <c r="K544" s="12" t="n">
        <v>0</v>
      </c>
      <c r="L544" s="12" t="s">
        <v>36</v>
      </c>
    </row>
    <row r="545" customFormat="false" ht="15" hidden="false" customHeight="false" outlineLevel="0" collapsed="false">
      <c r="A545" s="11" t="n">
        <v>44740</v>
      </c>
      <c r="B545" s="12" t="n">
        <v>18</v>
      </c>
      <c r="C545" s="12" t="n">
        <f aca="false">IF(NOT(ISNUMBER(B545)),"",ROUND((INDEX(BP!$D$5:$D$9,MATCH(B545,BP!$A$5:$A$9,1))-INDEX(BP!$C$5:$C$9,MATCH(B545,BP!$A$5:$A$9,1)))/(INDEX(BP!$B$5:$B$9,MATCH(B545,BP!$A$5:$A$9,1))-INDEX(BP!$A$5:$A$9,MATCH(B545,BP!$A$5:$A$9,1)))*(B545-INDEX(BP!$A$5:$A$9,MATCH(B545,BP!$A$5:$A$9,1)))+INDEX(BP!$C$5:$C$9,MATCH(B545,BP!$A$5:$A$9,1)),0))</f>
        <v>33</v>
      </c>
      <c r="D545" s="12" t="str">
        <f aca="false">IF(NOT(ISNUMBER(C545)),"",INDEX(BP!$F$5:$F$9,MATCH(C545,BP!$E$5:$E$9,1)))</f>
        <v>ดี</v>
      </c>
      <c r="E545" s="12" t="n">
        <f aca="false">YEAR(A545)</f>
        <v>2022</v>
      </c>
      <c r="F545" s="12" t="n">
        <f aca="false">MONTH(A545)</f>
        <v>6</v>
      </c>
      <c r="G545" s="12" t="n">
        <v>9.4</v>
      </c>
      <c r="H545" s="12" t="n">
        <v>24.8</v>
      </c>
      <c r="I545" s="12" t="n">
        <v>221</v>
      </c>
      <c r="J545" s="12" t="n">
        <v>17.4</v>
      </c>
      <c r="K545" s="12" t="n">
        <v>0</v>
      </c>
      <c r="L545" s="12" t="s">
        <v>36</v>
      </c>
    </row>
    <row r="546" customFormat="false" ht="15" hidden="false" customHeight="false" outlineLevel="0" collapsed="false">
      <c r="A546" s="11" t="n">
        <v>44741</v>
      </c>
      <c r="B546" s="12" t="n">
        <v>15</v>
      </c>
      <c r="C546" s="12" t="n">
        <f aca="false">IF(NOT(ISNUMBER(B546)),"",ROUND((INDEX(BP!$D$5:$D$9,MATCH(B546,BP!$A$5:$A$9,1))-INDEX(BP!$C$5:$C$9,MATCH(B546,BP!$A$5:$A$9,1)))/(INDEX(BP!$B$5:$B$9,MATCH(B546,BP!$A$5:$A$9,1))-INDEX(BP!$A$5:$A$9,MATCH(B546,BP!$A$5:$A$9,1)))*(B546-INDEX(BP!$A$5:$A$9,MATCH(B546,BP!$A$5:$A$9,1)))+INDEX(BP!$C$5:$C$9,MATCH(B546,BP!$A$5:$A$9,1)),0))</f>
        <v>25</v>
      </c>
      <c r="D546" s="12" t="str">
        <f aca="false">IF(NOT(ISNUMBER(C546)),"",INDEX(BP!$F$5:$F$9,MATCH(C546,BP!$E$5:$E$9,1)))</f>
        <v>ดีมาก</v>
      </c>
      <c r="E546" s="12" t="n">
        <f aca="false">YEAR(A546)</f>
        <v>2022</v>
      </c>
      <c r="F546" s="12" t="n">
        <f aca="false">MONTH(A546)</f>
        <v>6</v>
      </c>
      <c r="G546" s="12" t="n">
        <v>13.8</v>
      </c>
      <c r="H546" s="12" t="n">
        <v>32</v>
      </c>
      <c r="I546" s="12" t="n">
        <v>238</v>
      </c>
      <c r="J546" s="12" t="n">
        <v>4.1</v>
      </c>
      <c r="K546" s="12" t="n">
        <v>0</v>
      </c>
      <c r="L546" s="12" t="s">
        <v>36</v>
      </c>
    </row>
    <row r="547" customFormat="false" ht="15" hidden="false" customHeight="false" outlineLevel="0" collapsed="false">
      <c r="A547" s="11" t="n">
        <v>44742</v>
      </c>
      <c r="B547" s="12" t="n">
        <v>16</v>
      </c>
      <c r="C547" s="12" t="n">
        <f aca="false">IF(NOT(ISNUMBER(B547)),"",ROUND((INDEX(BP!$D$5:$D$9,MATCH(B547,BP!$A$5:$A$9,1))-INDEX(BP!$C$5:$C$9,MATCH(B547,BP!$A$5:$A$9,1)))/(INDEX(BP!$B$5:$B$9,MATCH(B547,BP!$A$5:$A$9,1))-INDEX(BP!$A$5:$A$9,MATCH(B547,BP!$A$5:$A$9,1)))*(B547-INDEX(BP!$A$5:$A$9,MATCH(B547,BP!$A$5:$A$9,1)))+INDEX(BP!$C$5:$C$9,MATCH(B547,BP!$A$5:$A$9,1)),0))</f>
        <v>28</v>
      </c>
      <c r="D547" s="12" t="str">
        <f aca="false">IF(NOT(ISNUMBER(C547)),"",INDEX(BP!$F$5:$F$9,MATCH(C547,BP!$E$5:$E$9,1)))</f>
        <v>ดี</v>
      </c>
      <c r="E547" s="12" t="n">
        <f aca="false">YEAR(A547)</f>
        <v>2022</v>
      </c>
      <c r="F547" s="12" t="n">
        <f aca="false">MONTH(A547)</f>
        <v>6</v>
      </c>
      <c r="G547" s="12" t="n">
        <v>19.5</v>
      </c>
      <c r="H547" s="12" t="n">
        <v>42.8</v>
      </c>
      <c r="I547" s="12" t="n">
        <v>234</v>
      </c>
      <c r="J547" s="12" t="n">
        <v>3.6</v>
      </c>
      <c r="K547" s="12" t="n">
        <v>8.2</v>
      </c>
      <c r="L547" s="12" t="s">
        <v>36</v>
      </c>
    </row>
    <row r="548" customFormat="false" ht="15" hidden="false" customHeight="false" outlineLevel="0" collapsed="false">
      <c r="A548" s="11" t="n">
        <v>44743</v>
      </c>
      <c r="B548" s="12" t="n">
        <v>21</v>
      </c>
      <c r="C548" s="12" t="n">
        <f aca="false">IF(NOT(ISNUMBER(B548)),"",ROUND((INDEX(BP!$D$5:$D$9,MATCH(B548,BP!$A$5:$A$9,1))-INDEX(BP!$C$5:$C$9,MATCH(B548,BP!$A$5:$A$9,1)))/(INDEX(BP!$B$5:$B$9,MATCH(B548,BP!$A$5:$A$9,1))-INDEX(BP!$A$5:$A$9,MATCH(B548,BP!$A$5:$A$9,1)))*(B548-INDEX(BP!$A$5:$A$9,MATCH(B548,BP!$A$5:$A$9,1)))+INDEX(BP!$C$5:$C$9,MATCH(B548,BP!$A$5:$A$9,1)),0))</f>
        <v>40</v>
      </c>
      <c r="D548" s="12" t="str">
        <f aca="false">IF(NOT(ISNUMBER(C548)),"",INDEX(BP!$F$5:$F$9,MATCH(C548,BP!$E$5:$E$9,1)))</f>
        <v>ดี</v>
      </c>
      <c r="E548" s="12" t="n">
        <f aca="false">YEAR(A548)</f>
        <v>2022</v>
      </c>
      <c r="F548" s="12" t="n">
        <f aca="false">MONTH(A548)</f>
        <v>7</v>
      </c>
      <c r="G548" s="12" t="n">
        <v>16.6</v>
      </c>
      <c r="H548" s="12" t="n">
        <v>35.3</v>
      </c>
      <c r="I548" s="12" t="n">
        <v>224</v>
      </c>
      <c r="J548" s="12" t="n">
        <v>0.3</v>
      </c>
      <c r="K548" s="12" t="n">
        <v>4</v>
      </c>
      <c r="L548" s="12" t="s">
        <v>36</v>
      </c>
    </row>
    <row r="549" customFormat="false" ht="15" hidden="false" customHeight="false" outlineLevel="0" collapsed="false">
      <c r="A549" s="11" t="n">
        <v>44744</v>
      </c>
      <c r="B549" s="12" t="n">
        <v>21</v>
      </c>
      <c r="C549" s="12" t="n">
        <f aca="false">IF(NOT(ISNUMBER(B549)),"",ROUND((INDEX(BP!$D$5:$D$9,MATCH(B549,BP!$A$5:$A$9,1))-INDEX(BP!$C$5:$C$9,MATCH(B549,BP!$A$5:$A$9,1)))/(INDEX(BP!$B$5:$B$9,MATCH(B549,BP!$A$5:$A$9,1))-INDEX(BP!$A$5:$A$9,MATCH(B549,BP!$A$5:$A$9,1)))*(B549-INDEX(BP!$A$5:$A$9,MATCH(B549,BP!$A$5:$A$9,1)))+INDEX(BP!$C$5:$C$9,MATCH(B549,BP!$A$5:$A$9,1)),0))</f>
        <v>40</v>
      </c>
      <c r="D549" s="12" t="str">
        <f aca="false">IF(NOT(ISNUMBER(C549)),"",INDEX(BP!$F$5:$F$9,MATCH(C549,BP!$E$5:$E$9,1)))</f>
        <v>ดี</v>
      </c>
      <c r="E549" s="12" t="n">
        <f aca="false">YEAR(A549)</f>
        <v>2022</v>
      </c>
      <c r="F549" s="12" t="n">
        <f aca="false">MONTH(A549)</f>
        <v>7</v>
      </c>
      <c r="G549" s="12" t="n">
        <v>16.4</v>
      </c>
      <c r="H549" s="12" t="n">
        <v>35.3</v>
      </c>
      <c r="I549" s="12" t="n">
        <v>226</v>
      </c>
      <c r="J549" s="12" t="n">
        <v>0</v>
      </c>
      <c r="K549" s="12" t="n">
        <v>0</v>
      </c>
      <c r="L549" s="12" t="s">
        <v>35</v>
      </c>
    </row>
    <row r="550" customFormat="false" ht="15" hidden="false" customHeight="false" outlineLevel="0" collapsed="false">
      <c r="A550" s="11" t="n">
        <v>44745</v>
      </c>
      <c r="B550" s="12" t="n">
        <v>21</v>
      </c>
      <c r="C550" s="12" t="n">
        <f aca="false">IF(NOT(ISNUMBER(B550)),"",ROUND((INDEX(BP!$D$5:$D$9,MATCH(B550,BP!$A$5:$A$9,1))-INDEX(BP!$C$5:$C$9,MATCH(B550,BP!$A$5:$A$9,1)))/(INDEX(BP!$B$5:$B$9,MATCH(B550,BP!$A$5:$A$9,1))-INDEX(BP!$A$5:$A$9,MATCH(B550,BP!$A$5:$A$9,1)))*(B550-INDEX(BP!$A$5:$A$9,MATCH(B550,BP!$A$5:$A$9,1)))+INDEX(BP!$C$5:$C$9,MATCH(B550,BP!$A$5:$A$9,1)),0))</f>
        <v>40</v>
      </c>
      <c r="D550" s="12" t="str">
        <f aca="false">IF(NOT(ISNUMBER(C550)),"",INDEX(BP!$F$5:$F$9,MATCH(C550,BP!$E$5:$E$9,1)))</f>
        <v>ดี</v>
      </c>
      <c r="E550" s="12" t="n">
        <f aca="false">YEAR(A550)</f>
        <v>2022</v>
      </c>
      <c r="F550" s="12" t="n">
        <f aca="false">MONTH(A550)</f>
        <v>7</v>
      </c>
      <c r="G550" s="12" t="n">
        <v>11.7</v>
      </c>
      <c r="H550" s="12" t="n">
        <v>34.9</v>
      </c>
      <c r="I550" s="12" t="n">
        <v>229</v>
      </c>
      <c r="J550" s="12" t="n">
        <v>8.4</v>
      </c>
      <c r="K550" s="12" t="n">
        <v>9.8</v>
      </c>
      <c r="L550" s="12" t="s">
        <v>35</v>
      </c>
    </row>
    <row r="551" customFormat="false" ht="15" hidden="false" customHeight="false" outlineLevel="0" collapsed="false">
      <c r="A551" s="11" t="n">
        <v>44746</v>
      </c>
      <c r="B551" s="12" t="n">
        <v>21</v>
      </c>
      <c r="C551" s="12" t="n">
        <f aca="false">IF(NOT(ISNUMBER(B551)),"",ROUND((INDEX(BP!$D$5:$D$9,MATCH(B551,BP!$A$5:$A$9,1))-INDEX(BP!$C$5:$C$9,MATCH(B551,BP!$A$5:$A$9,1)))/(INDEX(BP!$B$5:$B$9,MATCH(B551,BP!$A$5:$A$9,1))-INDEX(BP!$A$5:$A$9,MATCH(B551,BP!$A$5:$A$9,1)))*(B551-INDEX(BP!$A$5:$A$9,MATCH(B551,BP!$A$5:$A$9,1)))+INDEX(BP!$C$5:$C$9,MATCH(B551,BP!$A$5:$A$9,1)),0))</f>
        <v>40</v>
      </c>
      <c r="D551" s="12" t="str">
        <f aca="false">IF(NOT(ISNUMBER(C551)),"",INDEX(BP!$F$5:$F$9,MATCH(C551,BP!$E$5:$E$9,1)))</f>
        <v>ดี</v>
      </c>
      <c r="E551" s="12" t="n">
        <f aca="false">YEAR(A551)</f>
        <v>2022</v>
      </c>
      <c r="F551" s="12" t="n">
        <f aca="false">MONTH(A551)</f>
        <v>7</v>
      </c>
      <c r="G551" s="12" t="n">
        <v>15.9</v>
      </c>
      <c r="H551" s="12" t="n">
        <v>37.8</v>
      </c>
      <c r="I551" s="12" t="n">
        <v>213</v>
      </c>
      <c r="J551" s="12" t="n">
        <v>7.8</v>
      </c>
      <c r="K551" s="12" t="n">
        <v>7</v>
      </c>
      <c r="L551" s="12" t="s">
        <v>36</v>
      </c>
    </row>
    <row r="552" customFormat="false" ht="15" hidden="false" customHeight="false" outlineLevel="0" collapsed="false">
      <c r="A552" s="11" t="n">
        <v>44747</v>
      </c>
      <c r="B552" s="12" t="n">
        <v>17</v>
      </c>
      <c r="C552" s="12" t="n">
        <f aca="false">IF(NOT(ISNUMBER(B552)),"",ROUND((INDEX(BP!$D$5:$D$9,MATCH(B552,BP!$A$5:$A$9,1))-INDEX(BP!$C$5:$C$9,MATCH(B552,BP!$A$5:$A$9,1)))/(INDEX(BP!$B$5:$B$9,MATCH(B552,BP!$A$5:$A$9,1))-INDEX(BP!$A$5:$A$9,MATCH(B552,BP!$A$5:$A$9,1)))*(B552-INDEX(BP!$A$5:$A$9,MATCH(B552,BP!$A$5:$A$9,1)))+INDEX(BP!$C$5:$C$9,MATCH(B552,BP!$A$5:$A$9,1)),0))</f>
        <v>31</v>
      </c>
      <c r="D552" s="12" t="str">
        <f aca="false">IF(NOT(ISNUMBER(C552)),"",INDEX(BP!$F$5:$F$9,MATCH(C552,BP!$E$5:$E$9,1)))</f>
        <v>ดี</v>
      </c>
      <c r="E552" s="12" t="n">
        <f aca="false">YEAR(A552)</f>
        <v>2022</v>
      </c>
      <c r="F552" s="12" t="n">
        <f aca="false">MONTH(A552)</f>
        <v>7</v>
      </c>
      <c r="G552" s="12" t="n">
        <v>14.7</v>
      </c>
      <c r="H552" s="12" t="n">
        <v>29.9</v>
      </c>
      <c r="I552" s="12" t="n">
        <v>230</v>
      </c>
      <c r="J552" s="12" t="n">
        <v>0</v>
      </c>
      <c r="K552" s="12" t="n">
        <v>0</v>
      </c>
      <c r="L552" s="12" t="s">
        <v>36</v>
      </c>
    </row>
    <row r="553" customFormat="false" ht="15" hidden="false" customHeight="false" outlineLevel="0" collapsed="false">
      <c r="A553" s="11" t="n">
        <v>44748</v>
      </c>
      <c r="B553" s="12" t="n">
        <v>19</v>
      </c>
      <c r="C553" s="12" t="n">
        <f aca="false">IF(NOT(ISNUMBER(B553)),"",ROUND((INDEX(BP!$D$5:$D$9,MATCH(B553,BP!$A$5:$A$9,1))-INDEX(BP!$C$5:$C$9,MATCH(B553,BP!$A$5:$A$9,1)))/(INDEX(BP!$B$5:$B$9,MATCH(B553,BP!$A$5:$A$9,1))-INDEX(BP!$A$5:$A$9,MATCH(B553,BP!$A$5:$A$9,1)))*(B553-INDEX(BP!$A$5:$A$9,MATCH(B553,BP!$A$5:$A$9,1)))+INDEX(BP!$C$5:$C$9,MATCH(B553,BP!$A$5:$A$9,1)),0))</f>
        <v>35</v>
      </c>
      <c r="D553" s="12" t="str">
        <f aca="false">IF(NOT(ISNUMBER(C553)),"",INDEX(BP!$F$5:$F$9,MATCH(C553,BP!$E$5:$E$9,1)))</f>
        <v>ดี</v>
      </c>
      <c r="E553" s="12" t="n">
        <f aca="false">YEAR(A553)</f>
        <v>2022</v>
      </c>
      <c r="F553" s="12" t="n">
        <f aca="false">MONTH(A553)</f>
        <v>7</v>
      </c>
      <c r="G553" s="12" t="n">
        <v>12.8</v>
      </c>
      <c r="H553" s="12" t="n">
        <v>29.2</v>
      </c>
      <c r="I553" s="12" t="n">
        <v>229</v>
      </c>
      <c r="J553" s="12" t="n">
        <v>2.6</v>
      </c>
      <c r="K553" s="12" t="n">
        <v>4.4</v>
      </c>
      <c r="L553" s="12" t="s">
        <v>36</v>
      </c>
    </row>
    <row r="554" customFormat="false" ht="15" hidden="false" customHeight="false" outlineLevel="0" collapsed="false">
      <c r="A554" s="11" t="n">
        <v>44749</v>
      </c>
      <c r="B554" s="12" t="n">
        <v>21</v>
      </c>
      <c r="C554" s="12" t="n">
        <f aca="false">IF(NOT(ISNUMBER(B554)),"",ROUND((INDEX(BP!$D$5:$D$9,MATCH(B554,BP!$A$5:$A$9,1))-INDEX(BP!$C$5:$C$9,MATCH(B554,BP!$A$5:$A$9,1)))/(INDEX(BP!$B$5:$B$9,MATCH(B554,BP!$A$5:$A$9,1))-INDEX(BP!$A$5:$A$9,MATCH(B554,BP!$A$5:$A$9,1)))*(B554-INDEX(BP!$A$5:$A$9,MATCH(B554,BP!$A$5:$A$9,1)))+INDEX(BP!$C$5:$C$9,MATCH(B554,BP!$A$5:$A$9,1)),0))</f>
        <v>40</v>
      </c>
      <c r="D554" s="12" t="str">
        <f aca="false">IF(NOT(ISNUMBER(C554)),"",INDEX(BP!$F$5:$F$9,MATCH(C554,BP!$E$5:$E$9,1)))</f>
        <v>ดี</v>
      </c>
      <c r="E554" s="12" t="n">
        <f aca="false">YEAR(A554)</f>
        <v>2022</v>
      </c>
      <c r="F554" s="12" t="n">
        <f aca="false">MONTH(A554)</f>
        <v>7</v>
      </c>
      <c r="G554" s="12" t="n">
        <v>15.5</v>
      </c>
      <c r="H554" s="12" t="n">
        <v>32</v>
      </c>
      <c r="I554" s="12" t="n">
        <v>239</v>
      </c>
      <c r="J554" s="12" t="n">
        <v>1.7</v>
      </c>
      <c r="K554" s="12" t="n">
        <v>0</v>
      </c>
      <c r="L554" s="12" t="s">
        <v>36</v>
      </c>
    </row>
    <row r="555" customFormat="false" ht="15" hidden="false" customHeight="false" outlineLevel="0" collapsed="false">
      <c r="A555" s="11" t="n">
        <v>44750</v>
      </c>
      <c r="B555" s="12" t="n">
        <v>27</v>
      </c>
      <c r="C555" s="12" t="n">
        <f aca="false">IF(NOT(ISNUMBER(B555)),"",ROUND((INDEX(BP!$D$5:$D$9,MATCH(B555,BP!$A$5:$A$9,1))-INDEX(BP!$C$5:$C$9,MATCH(B555,BP!$A$5:$A$9,1)))/(INDEX(BP!$B$5:$B$9,MATCH(B555,BP!$A$5:$A$9,1))-INDEX(BP!$A$5:$A$9,MATCH(B555,BP!$A$5:$A$9,1)))*(B555-INDEX(BP!$A$5:$A$9,MATCH(B555,BP!$A$5:$A$9,1)))+INDEX(BP!$C$5:$C$9,MATCH(B555,BP!$A$5:$A$9,1)),0))</f>
        <v>59</v>
      </c>
      <c r="D555" s="12" t="str">
        <f aca="false">IF(NOT(ISNUMBER(C555)),"",INDEX(BP!$F$5:$F$9,MATCH(C555,BP!$E$5:$E$9,1)))</f>
        <v>ปานกลาง</v>
      </c>
      <c r="E555" s="12" t="n">
        <f aca="false">YEAR(A555)</f>
        <v>2022</v>
      </c>
      <c r="F555" s="12" t="n">
        <f aca="false">MONTH(A555)</f>
        <v>7</v>
      </c>
      <c r="G555" s="12" t="n">
        <v>12.4</v>
      </c>
      <c r="H555" s="12" t="n">
        <v>28.1</v>
      </c>
      <c r="I555" s="12" t="n">
        <v>234</v>
      </c>
      <c r="J555" s="12" t="n">
        <v>0.5</v>
      </c>
      <c r="K555" s="12" t="n">
        <v>0</v>
      </c>
      <c r="L555" s="12" t="s">
        <v>36</v>
      </c>
    </row>
    <row r="556" customFormat="false" ht="15" hidden="false" customHeight="false" outlineLevel="0" collapsed="false">
      <c r="A556" s="11" t="n">
        <v>44751</v>
      </c>
      <c r="B556" s="12" t="n">
        <v>23</v>
      </c>
      <c r="C556" s="12" t="n">
        <f aca="false">IF(NOT(ISNUMBER(B556)),"",ROUND((INDEX(BP!$D$5:$D$9,MATCH(B556,BP!$A$5:$A$9,1))-INDEX(BP!$C$5:$C$9,MATCH(B556,BP!$A$5:$A$9,1)))/(INDEX(BP!$B$5:$B$9,MATCH(B556,BP!$A$5:$A$9,1))-INDEX(BP!$A$5:$A$9,MATCH(B556,BP!$A$5:$A$9,1)))*(B556-INDEX(BP!$A$5:$A$9,MATCH(B556,BP!$A$5:$A$9,1)))+INDEX(BP!$C$5:$C$9,MATCH(B556,BP!$A$5:$A$9,1)),0))</f>
        <v>45</v>
      </c>
      <c r="D556" s="12" t="str">
        <f aca="false">IF(NOT(ISNUMBER(C556)),"",INDEX(BP!$F$5:$F$9,MATCH(C556,BP!$E$5:$E$9,1)))</f>
        <v>ดี</v>
      </c>
      <c r="E556" s="12" t="n">
        <f aca="false">YEAR(A556)</f>
        <v>2022</v>
      </c>
      <c r="F556" s="12" t="n">
        <f aca="false">MONTH(A556)</f>
        <v>7</v>
      </c>
      <c r="G556" s="12" t="n">
        <v>16.6</v>
      </c>
      <c r="H556" s="12" t="n">
        <v>40.7</v>
      </c>
      <c r="I556" s="12" t="n">
        <v>238</v>
      </c>
      <c r="J556" s="12" t="n">
        <v>3.5</v>
      </c>
      <c r="K556" s="12" t="n">
        <v>0.2</v>
      </c>
      <c r="L556" s="12" t="s">
        <v>35</v>
      </c>
    </row>
    <row r="557" customFormat="false" ht="15" hidden="false" customHeight="false" outlineLevel="0" collapsed="false">
      <c r="A557" s="11" t="n">
        <v>44752</v>
      </c>
      <c r="B557" s="12" t="n">
        <v>21</v>
      </c>
      <c r="C557" s="12" t="n">
        <f aca="false">IF(NOT(ISNUMBER(B557)),"",ROUND((INDEX(BP!$D$5:$D$9,MATCH(B557,BP!$A$5:$A$9,1))-INDEX(BP!$C$5:$C$9,MATCH(B557,BP!$A$5:$A$9,1)))/(INDEX(BP!$B$5:$B$9,MATCH(B557,BP!$A$5:$A$9,1))-INDEX(BP!$A$5:$A$9,MATCH(B557,BP!$A$5:$A$9,1)))*(B557-INDEX(BP!$A$5:$A$9,MATCH(B557,BP!$A$5:$A$9,1)))+INDEX(BP!$C$5:$C$9,MATCH(B557,BP!$A$5:$A$9,1)),0))</f>
        <v>40</v>
      </c>
      <c r="D557" s="12" t="str">
        <f aca="false">IF(NOT(ISNUMBER(C557)),"",INDEX(BP!$F$5:$F$9,MATCH(C557,BP!$E$5:$E$9,1)))</f>
        <v>ดี</v>
      </c>
      <c r="E557" s="12" t="n">
        <f aca="false">YEAR(A557)</f>
        <v>2022</v>
      </c>
      <c r="F557" s="12" t="n">
        <f aca="false">MONTH(A557)</f>
        <v>7</v>
      </c>
      <c r="G557" s="12" t="n">
        <v>14.9</v>
      </c>
      <c r="H557" s="12" t="n">
        <v>37.8</v>
      </c>
      <c r="I557" s="12" t="n">
        <v>256</v>
      </c>
      <c r="J557" s="12" t="n">
        <v>0</v>
      </c>
      <c r="K557" s="12" t="n">
        <v>0</v>
      </c>
      <c r="L557" s="12" t="s">
        <v>35</v>
      </c>
    </row>
    <row r="558" customFormat="false" ht="15" hidden="false" customHeight="false" outlineLevel="0" collapsed="false">
      <c r="A558" s="11" t="n">
        <v>44753</v>
      </c>
      <c r="B558" s="12" t="n">
        <v>16</v>
      </c>
      <c r="C558" s="12" t="n">
        <f aca="false">IF(NOT(ISNUMBER(B558)),"",ROUND((INDEX(BP!$D$5:$D$9,MATCH(B558,BP!$A$5:$A$9,1))-INDEX(BP!$C$5:$C$9,MATCH(B558,BP!$A$5:$A$9,1)))/(INDEX(BP!$B$5:$B$9,MATCH(B558,BP!$A$5:$A$9,1))-INDEX(BP!$A$5:$A$9,MATCH(B558,BP!$A$5:$A$9,1)))*(B558-INDEX(BP!$A$5:$A$9,MATCH(B558,BP!$A$5:$A$9,1)))+INDEX(BP!$C$5:$C$9,MATCH(B558,BP!$A$5:$A$9,1)),0))</f>
        <v>28</v>
      </c>
      <c r="D558" s="12" t="str">
        <f aca="false">IF(NOT(ISNUMBER(C558)),"",INDEX(BP!$F$5:$F$9,MATCH(C558,BP!$E$5:$E$9,1)))</f>
        <v>ดี</v>
      </c>
      <c r="E558" s="12" t="n">
        <f aca="false">YEAR(A558)</f>
        <v>2022</v>
      </c>
      <c r="F558" s="12" t="n">
        <f aca="false">MONTH(A558)</f>
        <v>7</v>
      </c>
      <c r="G558" s="12" t="n">
        <v>20.5</v>
      </c>
      <c r="H558" s="12" t="n">
        <v>45.7</v>
      </c>
      <c r="I558" s="12" t="n">
        <v>240</v>
      </c>
      <c r="J558" s="12" t="n">
        <v>8.9</v>
      </c>
      <c r="K558" s="12" t="n">
        <v>1.8</v>
      </c>
      <c r="L558" s="12" t="s">
        <v>36</v>
      </c>
    </row>
    <row r="559" customFormat="false" ht="15" hidden="false" customHeight="false" outlineLevel="0" collapsed="false">
      <c r="A559" s="11" t="n">
        <v>44754</v>
      </c>
      <c r="B559" s="12" t="n">
        <v>12</v>
      </c>
      <c r="C559" s="12" t="n">
        <f aca="false">IF(NOT(ISNUMBER(B559)),"",ROUND((INDEX(BP!$D$5:$D$9,MATCH(B559,BP!$A$5:$A$9,1))-INDEX(BP!$C$5:$C$9,MATCH(B559,BP!$A$5:$A$9,1)))/(INDEX(BP!$B$5:$B$9,MATCH(B559,BP!$A$5:$A$9,1))-INDEX(BP!$A$5:$A$9,MATCH(B559,BP!$A$5:$A$9,1)))*(B559-INDEX(BP!$A$5:$A$9,MATCH(B559,BP!$A$5:$A$9,1)))+INDEX(BP!$C$5:$C$9,MATCH(B559,BP!$A$5:$A$9,1)),0))</f>
        <v>20</v>
      </c>
      <c r="D559" s="12" t="str">
        <f aca="false">IF(NOT(ISNUMBER(C559)),"",INDEX(BP!$F$5:$F$9,MATCH(C559,BP!$E$5:$E$9,1)))</f>
        <v>ดีมาก</v>
      </c>
      <c r="E559" s="12" t="n">
        <f aca="false">YEAR(A559)</f>
        <v>2022</v>
      </c>
      <c r="F559" s="12" t="n">
        <f aca="false">MONTH(A559)</f>
        <v>7</v>
      </c>
      <c r="G559" s="12" t="n">
        <v>24.9</v>
      </c>
      <c r="H559" s="12" t="n">
        <v>59.4</v>
      </c>
      <c r="I559" s="12" t="n">
        <v>246</v>
      </c>
      <c r="J559" s="12" t="n">
        <v>7.9</v>
      </c>
      <c r="K559" s="12" t="n">
        <v>7</v>
      </c>
      <c r="L559" s="12" t="s">
        <v>36</v>
      </c>
    </row>
    <row r="560" customFormat="false" ht="15" hidden="false" customHeight="false" outlineLevel="0" collapsed="false">
      <c r="A560" s="11" t="n">
        <v>44755</v>
      </c>
      <c r="B560" s="12" t="n">
        <v>14</v>
      </c>
      <c r="C560" s="12" t="n">
        <f aca="false">IF(NOT(ISNUMBER(B560)),"",ROUND((INDEX(BP!$D$5:$D$9,MATCH(B560,BP!$A$5:$A$9,1))-INDEX(BP!$C$5:$C$9,MATCH(B560,BP!$A$5:$A$9,1)))/(INDEX(BP!$B$5:$B$9,MATCH(B560,BP!$A$5:$A$9,1))-INDEX(BP!$A$5:$A$9,MATCH(B560,BP!$A$5:$A$9,1)))*(B560-INDEX(BP!$A$5:$A$9,MATCH(B560,BP!$A$5:$A$9,1)))+INDEX(BP!$C$5:$C$9,MATCH(B560,BP!$A$5:$A$9,1)),0))</f>
        <v>23</v>
      </c>
      <c r="D560" s="12" t="str">
        <f aca="false">IF(NOT(ISNUMBER(C560)),"",INDEX(BP!$F$5:$F$9,MATCH(C560,BP!$E$5:$E$9,1)))</f>
        <v>ดีมาก</v>
      </c>
      <c r="E560" s="12" t="n">
        <f aca="false">YEAR(A560)</f>
        <v>2022</v>
      </c>
      <c r="F560" s="12" t="n">
        <f aca="false">MONTH(A560)</f>
        <v>7</v>
      </c>
      <c r="G560" s="12" t="n">
        <v>18.1</v>
      </c>
      <c r="H560" s="12" t="n">
        <v>37.4</v>
      </c>
      <c r="I560" s="12" t="n">
        <v>255</v>
      </c>
      <c r="J560" s="12" t="n">
        <v>2.5</v>
      </c>
      <c r="K560" s="12" t="n">
        <v>1.4</v>
      </c>
      <c r="L560" s="12" t="s">
        <v>34</v>
      </c>
    </row>
    <row r="561" customFormat="false" ht="15" hidden="false" customHeight="false" outlineLevel="0" collapsed="false">
      <c r="A561" s="11" t="n">
        <v>44756</v>
      </c>
      <c r="B561" s="12" t="n">
        <v>16</v>
      </c>
      <c r="C561" s="12" t="n">
        <f aca="false">IF(NOT(ISNUMBER(B561)),"",ROUND((INDEX(BP!$D$5:$D$9,MATCH(B561,BP!$A$5:$A$9,1))-INDEX(BP!$C$5:$C$9,MATCH(B561,BP!$A$5:$A$9,1)))/(INDEX(BP!$B$5:$B$9,MATCH(B561,BP!$A$5:$A$9,1))-INDEX(BP!$A$5:$A$9,MATCH(B561,BP!$A$5:$A$9,1)))*(B561-INDEX(BP!$A$5:$A$9,MATCH(B561,BP!$A$5:$A$9,1)))+INDEX(BP!$C$5:$C$9,MATCH(B561,BP!$A$5:$A$9,1)),0))</f>
        <v>28</v>
      </c>
      <c r="D561" s="12" t="str">
        <f aca="false">IF(NOT(ISNUMBER(C561)),"",INDEX(BP!$F$5:$F$9,MATCH(C561,BP!$E$5:$E$9,1)))</f>
        <v>ดี</v>
      </c>
      <c r="E561" s="12" t="n">
        <f aca="false">YEAR(A561)</f>
        <v>2022</v>
      </c>
      <c r="F561" s="12" t="n">
        <f aca="false">MONTH(A561)</f>
        <v>7</v>
      </c>
      <c r="G561" s="12" t="n">
        <v>18.3</v>
      </c>
      <c r="H561" s="12" t="n">
        <v>42.8</v>
      </c>
      <c r="I561" s="12" t="n">
        <v>230</v>
      </c>
      <c r="J561" s="12" t="n">
        <v>4.2</v>
      </c>
      <c r="K561" s="12" t="n">
        <v>1.2</v>
      </c>
      <c r="L561" s="12" t="s">
        <v>34</v>
      </c>
    </row>
    <row r="562" customFormat="false" ht="15" hidden="false" customHeight="false" outlineLevel="0" collapsed="false">
      <c r="A562" s="11" t="n">
        <v>44757</v>
      </c>
      <c r="B562" s="12" t="n">
        <v>20</v>
      </c>
      <c r="C562" s="12" t="n">
        <f aca="false">IF(NOT(ISNUMBER(B562)),"",ROUND((INDEX(BP!$D$5:$D$9,MATCH(B562,BP!$A$5:$A$9,1))-INDEX(BP!$C$5:$C$9,MATCH(B562,BP!$A$5:$A$9,1)))/(INDEX(BP!$B$5:$B$9,MATCH(B562,BP!$A$5:$A$9,1))-INDEX(BP!$A$5:$A$9,MATCH(B562,BP!$A$5:$A$9,1)))*(B562-INDEX(BP!$A$5:$A$9,MATCH(B562,BP!$A$5:$A$9,1)))+INDEX(BP!$C$5:$C$9,MATCH(B562,BP!$A$5:$A$9,1)),0))</f>
        <v>38</v>
      </c>
      <c r="D562" s="12" t="str">
        <f aca="false">IF(NOT(ISNUMBER(C562)),"",INDEX(BP!$F$5:$F$9,MATCH(C562,BP!$E$5:$E$9,1)))</f>
        <v>ดี</v>
      </c>
      <c r="E562" s="12" t="n">
        <f aca="false">YEAR(A562)</f>
        <v>2022</v>
      </c>
      <c r="F562" s="12" t="n">
        <f aca="false">MONTH(A562)</f>
        <v>7</v>
      </c>
      <c r="G562" s="12" t="n">
        <v>19.6</v>
      </c>
      <c r="H562" s="12" t="n">
        <v>39.2</v>
      </c>
      <c r="I562" s="12" t="n">
        <v>239</v>
      </c>
      <c r="J562" s="12" t="n">
        <v>0.4</v>
      </c>
      <c r="K562" s="12" t="n">
        <v>0</v>
      </c>
      <c r="L562" s="12" t="s">
        <v>34</v>
      </c>
    </row>
    <row r="563" customFormat="false" ht="15" hidden="false" customHeight="false" outlineLevel="0" collapsed="false">
      <c r="A563" s="11" t="n">
        <v>44758</v>
      </c>
      <c r="B563" s="12" t="n">
        <v>25</v>
      </c>
      <c r="C563" s="12" t="n">
        <f aca="false">IF(NOT(ISNUMBER(B563)),"",ROUND((INDEX(BP!$D$5:$D$9,MATCH(B563,BP!$A$5:$A$9,1))-INDEX(BP!$C$5:$C$9,MATCH(B563,BP!$A$5:$A$9,1)))/(INDEX(BP!$B$5:$B$9,MATCH(B563,BP!$A$5:$A$9,1))-INDEX(BP!$A$5:$A$9,MATCH(B563,BP!$A$5:$A$9,1)))*(B563-INDEX(BP!$A$5:$A$9,MATCH(B563,BP!$A$5:$A$9,1)))+INDEX(BP!$C$5:$C$9,MATCH(B563,BP!$A$5:$A$9,1)),0))</f>
        <v>50</v>
      </c>
      <c r="D563" s="12" t="str">
        <f aca="false">IF(NOT(ISNUMBER(C563)),"",INDEX(BP!$F$5:$F$9,MATCH(C563,BP!$E$5:$E$9,1)))</f>
        <v>ดี</v>
      </c>
      <c r="E563" s="12" t="n">
        <f aca="false">YEAR(A563)</f>
        <v>2022</v>
      </c>
      <c r="F563" s="12" t="n">
        <f aca="false">MONTH(A563)</f>
        <v>7</v>
      </c>
      <c r="G563" s="12" t="n">
        <v>13.1</v>
      </c>
      <c r="H563" s="12" t="n">
        <v>28.8</v>
      </c>
      <c r="I563" s="12" t="n">
        <v>240</v>
      </c>
      <c r="J563" s="12" t="n">
        <v>0.2</v>
      </c>
      <c r="K563" s="12" t="n">
        <v>0</v>
      </c>
      <c r="L563" s="12" t="s">
        <v>35</v>
      </c>
    </row>
    <row r="564" customFormat="false" ht="15" hidden="false" customHeight="false" outlineLevel="0" collapsed="false">
      <c r="A564" s="11" t="n">
        <v>44759</v>
      </c>
      <c r="B564" s="12" t="n">
        <v>21</v>
      </c>
      <c r="C564" s="12" t="n">
        <f aca="false">IF(NOT(ISNUMBER(B564)),"",ROUND((INDEX(BP!$D$5:$D$9,MATCH(B564,BP!$A$5:$A$9,1))-INDEX(BP!$C$5:$C$9,MATCH(B564,BP!$A$5:$A$9,1)))/(INDEX(BP!$B$5:$B$9,MATCH(B564,BP!$A$5:$A$9,1))-INDEX(BP!$A$5:$A$9,MATCH(B564,BP!$A$5:$A$9,1)))*(B564-INDEX(BP!$A$5:$A$9,MATCH(B564,BP!$A$5:$A$9,1)))+INDEX(BP!$C$5:$C$9,MATCH(B564,BP!$A$5:$A$9,1)),0))</f>
        <v>40</v>
      </c>
      <c r="D564" s="12" t="str">
        <f aca="false">IF(NOT(ISNUMBER(C564)),"",INDEX(BP!$F$5:$F$9,MATCH(C564,BP!$E$5:$E$9,1)))</f>
        <v>ดี</v>
      </c>
      <c r="E564" s="12" t="n">
        <f aca="false">YEAR(A564)</f>
        <v>2022</v>
      </c>
      <c r="F564" s="12" t="n">
        <f aca="false">MONTH(A564)</f>
        <v>7</v>
      </c>
      <c r="G564" s="12" t="n">
        <v>8.9</v>
      </c>
      <c r="H564" s="12" t="n">
        <v>23</v>
      </c>
      <c r="I564" s="12" t="n">
        <v>136</v>
      </c>
      <c r="J564" s="12" t="n">
        <v>6.7</v>
      </c>
      <c r="K564" s="12" t="n">
        <v>12.2</v>
      </c>
      <c r="L564" s="12" t="s">
        <v>35</v>
      </c>
    </row>
    <row r="565" customFormat="false" ht="15" hidden="false" customHeight="false" outlineLevel="0" collapsed="false">
      <c r="A565" s="11" t="n">
        <v>44760</v>
      </c>
      <c r="B565" s="12" t="n">
        <v>24</v>
      </c>
      <c r="C565" s="12" t="n">
        <f aca="false">IF(NOT(ISNUMBER(B565)),"",ROUND((INDEX(BP!$D$5:$D$9,MATCH(B565,BP!$A$5:$A$9,1))-INDEX(BP!$C$5:$C$9,MATCH(B565,BP!$A$5:$A$9,1)))/(INDEX(BP!$B$5:$B$9,MATCH(B565,BP!$A$5:$A$9,1))-INDEX(BP!$A$5:$A$9,MATCH(B565,BP!$A$5:$A$9,1)))*(B565-INDEX(BP!$A$5:$A$9,MATCH(B565,BP!$A$5:$A$9,1)))+INDEX(BP!$C$5:$C$9,MATCH(B565,BP!$A$5:$A$9,1)),0))</f>
        <v>48</v>
      </c>
      <c r="D565" s="12" t="str">
        <f aca="false">IF(NOT(ISNUMBER(C565)),"",INDEX(BP!$F$5:$F$9,MATCH(C565,BP!$E$5:$E$9,1)))</f>
        <v>ดี</v>
      </c>
      <c r="E565" s="12" t="n">
        <f aca="false">YEAR(A565)</f>
        <v>2022</v>
      </c>
      <c r="F565" s="12" t="n">
        <f aca="false">MONTH(A565)</f>
        <v>7</v>
      </c>
      <c r="G565" s="12" t="n">
        <v>8.7</v>
      </c>
      <c r="H565" s="12" t="n">
        <v>22.3</v>
      </c>
      <c r="I565" s="12" t="n">
        <v>190</v>
      </c>
      <c r="J565" s="12" t="n">
        <v>0.8</v>
      </c>
      <c r="K565" s="12" t="n">
        <v>0</v>
      </c>
      <c r="L565" s="12" t="s">
        <v>36</v>
      </c>
    </row>
    <row r="566" customFormat="false" ht="15" hidden="false" customHeight="false" outlineLevel="0" collapsed="false">
      <c r="A566" s="11" t="n">
        <v>44761</v>
      </c>
      <c r="B566" s="12" t="n">
        <v>21</v>
      </c>
      <c r="C566" s="12" t="n">
        <f aca="false">IF(NOT(ISNUMBER(B566)),"",ROUND((INDEX(BP!$D$5:$D$9,MATCH(B566,BP!$A$5:$A$9,1))-INDEX(BP!$C$5:$C$9,MATCH(B566,BP!$A$5:$A$9,1)))/(INDEX(BP!$B$5:$B$9,MATCH(B566,BP!$A$5:$A$9,1))-INDEX(BP!$A$5:$A$9,MATCH(B566,BP!$A$5:$A$9,1)))*(B566-INDEX(BP!$A$5:$A$9,MATCH(B566,BP!$A$5:$A$9,1)))+INDEX(BP!$C$5:$C$9,MATCH(B566,BP!$A$5:$A$9,1)),0))</f>
        <v>40</v>
      </c>
      <c r="D566" s="12" t="str">
        <f aca="false">IF(NOT(ISNUMBER(C566)),"",INDEX(BP!$F$5:$F$9,MATCH(C566,BP!$E$5:$E$9,1)))</f>
        <v>ดี</v>
      </c>
      <c r="E566" s="12" t="n">
        <f aca="false">YEAR(A566)</f>
        <v>2022</v>
      </c>
      <c r="F566" s="12" t="n">
        <f aca="false">MONTH(A566)</f>
        <v>7</v>
      </c>
      <c r="G566" s="12" t="n">
        <v>12.7</v>
      </c>
      <c r="H566" s="12" t="n">
        <v>30.2</v>
      </c>
      <c r="I566" s="12" t="n">
        <v>261</v>
      </c>
      <c r="J566" s="12" t="n">
        <v>0.5</v>
      </c>
      <c r="K566" s="12" t="n">
        <v>0</v>
      </c>
      <c r="L566" s="12" t="s">
        <v>36</v>
      </c>
    </row>
    <row r="567" customFormat="false" ht="15" hidden="false" customHeight="false" outlineLevel="0" collapsed="false">
      <c r="A567" s="11" t="n">
        <v>44762</v>
      </c>
      <c r="B567" s="12" t="n">
        <v>23</v>
      </c>
      <c r="C567" s="12" t="n">
        <f aca="false">IF(NOT(ISNUMBER(B567)),"",ROUND((INDEX(BP!$D$5:$D$9,MATCH(B567,BP!$A$5:$A$9,1))-INDEX(BP!$C$5:$C$9,MATCH(B567,BP!$A$5:$A$9,1)))/(INDEX(BP!$B$5:$B$9,MATCH(B567,BP!$A$5:$A$9,1))-INDEX(BP!$A$5:$A$9,MATCH(B567,BP!$A$5:$A$9,1)))*(B567-INDEX(BP!$A$5:$A$9,MATCH(B567,BP!$A$5:$A$9,1)))+INDEX(BP!$C$5:$C$9,MATCH(B567,BP!$A$5:$A$9,1)),0))</f>
        <v>45</v>
      </c>
      <c r="D567" s="12" t="str">
        <f aca="false">IF(NOT(ISNUMBER(C567)),"",INDEX(BP!$F$5:$F$9,MATCH(C567,BP!$E$5:$E$9,1)))</f>
        <v>ดี</v>
      </c>
      <c r="E567" s="12" t="n">
        <f aca="false">YEAR(A567)</f>
        <v>2022</v>
      </c>
      <c r="F567" s="12" t="n">
        <f aca="false">MONTH(A567)</f>
        <v>7</v>
      </c>
      <c r="G567" s="12" t="n">
        <v>17.1</v>
      </c>
      <c r="H567" s="12" t="n">
        <v>34.9</v>
      </c>
      <c r="I567" s="12" t="n">
        <v>246</v>
      </c>
      <c r="J567" s="12" t="n">
        <v>0.8</v>
      </c>
      <c r="K567" s="12" t="n">
        <v>0</v>
      </c>
      <c r="L567" s="12" t="s">
        <v>36</v>
      </c>
    </row>
    <row r="568" customFormat="false" ht="15" hidden="false" customHeight="false" outlineLevel="0" collapsed="false">
      <c r="A568" s="11" t="n">
        <v>44763</v>
      </c>
      <c r="B568" s="12" t="n">
        <v>20</v>
      </c>
      <c r="C568" s="12" t="n">
        <f aca="false">IF(NOT(ISNUMBER(B568)),"",ROUND((INDEX(BP!$D$5:$D$9,MATCH(B568,BP!$A$5:$A$9,1))-INDEX(BP!$C$5:$C$9,MATCH(B568,BP!$A$5:$A$9,1)))/(INDEX(BP!$B$5:$B$9,MATCH(B568,BP!$A$5:$A$9,1))-INDEX(BP!$A$5:$A$9,MATCH(B568,BP!$A$5:$A$9,1)))*(B568-INDEX(BP!$A$5:$A$9,MATCH(B568,BP!$A$5:$A$9,1)))+INDEX(BP!$C$5:$C$9,MATCH(B568,BP!$A$5:$A$9,1)),0))</f>
        <v>38</v>
      </c>
      <c r="D568" s="12" t="str">
        <f aca="false">IF(NOT(ISNUMBER(C568)),"",INDEX(BP!$F$5:$F$9,MATCH(C568,BP!$E$5:$E$9,1)))</f>
        <v>ดี</v>
      </c>
      <c r="E568" s="12" t="n">
        <f aca="false">YEAR(A568)</f>
        <v>2022</v>
      </c>
      <c r="F568" s="12" t="n">
        <f aca="false">MONTH(A568)</f>
        <v>7</v>
      </c>
      <c r="G568" s="12" t="n">
        <v>9.3</v>
      </c>
      <c r="H568" s="12" t="n">
        <v>22</v>
      </c>
      <c r="I568" s="12" t="n">
        <v>224</v>
      </c>
      <c r="J568" s="12" t="n">
        <v>1.3</v>
      </c>
      <c r="K568" s="12" t="n">
        <v>0</v>
      </c>
      <c r="L568" s="12" t="s">
        <v>36</v>
      </c>
    </row>
    <row r="569" customFormat="false" ht="15" hidden="false" customHeight="false" outlineLevel="0" collapsed="false">
      <c r="A569" s="11" t="n">
        <v>44764</v>
      </c>
      <c r="B569" s="12" t="n">
        <v>17</v>
      </c>
      <c r="C569" s="12" t="n">
        <f aca="false">IF(NOT(ISNUMBER(B569)),"",ROUND((INDEX(BP!$D$5:$D$9,MATCH(B569,BP!$A$5:$A$9,1))-INDEX(BP!$C$5:$C$9,MATCH(B569,BP!$A$5:$A$9,1)))/(INDEX(BP!$B$5:$B$9,MATCH(B569,BP!$A$5:$A$9,1))-INDEX(BP!$A$5:$A$9,MATCH(B569,BP!$A$5:$A$9,1)))*(B569-INDEX(BP!$A$5:$A$9,MATCH(B569,BP!$A$5:$A$9,1)))+INDEX(BP!$C$5:$C$9,MATCH(B569,BP!$A$5:$A$9,1)),0))</f>
        <v>31</v>
      </c>
      <c r="D569" s="12" t="str">
        <f aca="false">IF(NOT(ISNUMBER(C569)),"",INDEX(BP!$F$5:$F$9,MATCH(C569,BP!$E$5:$E$9,1)))</f>
        <v>ดี</v>
      </c>
      <c r="E569" s="12" t="n">
        <f aca="false">YEAR(A569)</f>
        <v>2022</v>
      </c>
      <c r="F569" s="12" t="n">
        <f aca="false">MONTH(A569)</f>
        <v>7</v>
      </c>
      <c r="G569" s="12" t="n">
        <v>11.4</v>
      </c>
      <c r="H569" s="12" t="n">
        <v>25.9</v>
      </c>
      <c r="I569" s="12" t="n">
        <v>87</v>
      </c>
      <c r="J569" s="12" t="n">
        <v>8.6</v>
      </c>
      <c r="K569" s="12" t="n">
        <v>2.8</v>
      </c>
      <c r="L569" s="12" t="s">
        <v>36</v>
      </c>
    </row>
    <row r="570" customFormat="false" ht="15" hidden="false" customHeight="false" outlineLevel="0" collapsed="false">
      <c r="A570" s="11" t="n">
        <v>44765</v>
      </c>
      <c r="B570" s="12" t="n">
        <v>22</v>
      </c>
      <c r="C570" s="12" t="n">
        <f aca="false">IF(NOT(ISNUMBER(B570)),"",ROUND((INDEX(BP!$D$5:$D$9,MATCH(B570,BP!$A$5:$A$9,1))-INDEX(BP!$C$5:$C$9,MATCH(B570,BP!$A$5:$A$9,1)))/(INDEX(BP!$B$5:$B$9,MATCH(B570,BP!$A$5:$A$9,1))-INDEX(BP!$A$5:$A$9,MATCH(B570,BP!$A$5:$A$9,1)))*(B570-INDEX(BP!$A$5:$A$9,MATCH(B570,BP!$A$5:$A$9,1)))+INDEX(BP!$C$5:$C$9,MATCH(B570,BP!$A$5:$A$9,1)),0))</f>
        <v>43</v>
      </c>
      <c r="D570" s="12" t="str">
        <f aca="false">IF(NOT(ISNUMBER(C570)),"",INDEX(BP!$F$5:$F$9,MATCH(C570,BP!$E$5:$E$9,1)))</f>
        <v>ดี</v>
      </c>
      <c r="E570" s="12" t="n">
        <f aca="false">YEAR(A570)</f>
        <v>2022</v>
      </c>
      <c r="F570" s="12" t="n">
        <f aca="false">MONTH(A570)</f>
        <v>7</v>
      </c>
      <c r="G570" s="12" t="n">
        <v>15</v>
      </c>
      <c r="H570" s="12" t="n">
        <v>31.7</v>
      </c>
      <c r="I570" s="12" t="n">
        <v>286</v>
      </c>
      <c r="J570" s="12" t="n">
        <v>4.2</v>
      </c>
      <c r="K570" s="12" t="n">
        <v>0.4</v>
      </c>
      <c r="L570" s="12" t="s">
        <v>35</v>
      </c>
    </row>
    <row r="571" customFormat="false" ht="15" hidden="false" customHeight="false" outlineLevel="0" collapsed="false">
      <c r="A571" s="11" t="n">
        <v>44766</v>
      </c>
      <c r="B571" s="12" t="n">
        <v>17</v>
      </c>
      <c r="C571" s="12" t="n">
        <f aca="false">IF(NOT(ISNUMBER(B571)),"",ROUND((INDEX(BP!$D$5:$D$9,MATCH(B571,BP!$A$5:$A$9,1))-INDEX(BP!$C$5:$C$9,MATCH(B571,BP!$A$5:$A$9,1)))/(INDEX(BP!$B$5:$B$9,MATCH(B571,BP!$A$5:$A$9,1))-INDEX(BP!$A$5:$A$9,MATCH(B571,BP!$A$5:$A$9,1)))*(B571-INDEX(BP!$A$5:$A$9,MATCH(B571,BP!$A$5:$A$9,1)))+INDEX(BP!$C$5:$C$9,MATCH(B571,BP!$A$5:$A$9,1)),0))</f>
        <v>31</v>
      </c>
      <c r="D571" s="12" t="str">
        <f aca="false">IF(NOT(ISNUMBER(C571)),"",INDEX(BP!$F$5:$F$9,MATCH(C571,BP!$E$5:$E$9,1)))</f>
        <v>ดี</v>
      </c>
      <c r="E571" s="12" t="n">
        <f aca="false">YEAR(A571)</f>
        <v>2022</v>
      </c>
      <c r="F571" s="12" t="n">
        <f aca="false">MONTH(A571)</f>
        <v>7</v>
      </c>
      <c r="G571" s="12" t="n">
        <v>10.2</v>
      </c>
      <c r="H571" s="12" t="n">
        <v>28.1</v>
      </c>
      <c r="I571" s="12" t="n">
        <v>285</v>
      </c>
      <c r="J571" s="12" t="n">
        <v>2.4</v>
      </c>
      <c r="K571" s="12" t="n">
        <v>4</v>
      </c>
      <c r="L571" s="12" t="s">
        <v>35</v>
      </c>
    </row>
    <row r="572" customFormat="false" ht="15" hidden="false" customHeight="false" outlineLevel="0" collapsed="false">
      <c r="A572" s="11" t="n">
        <v>44767</v>
      </c>
      <c r="B572" s="12" t="n">
        <v>15</v>
      </c>
      <c r="C572" s="12" t="n">
        <f aca="false">IF(NOT(ISNUMBER(B572)),"",ROUND((INDEX(BP!$D$5:$D$9,MATCH(B572,BP!$A$5:$A$9,1))-INDEX(BP!$C$5:$C$9,MATCH(B572,BP!$A$5:$A$9,1)))/(INDEX(BP!$B$5:$B$9,MATCH(B572,BP!$A$5:$A$9,1))-INDEX(BP!$A$5:$A$9,MATCH(B572,BP!$A$5:$A$9,1)))*(B572-INDEX(BP!$A$5:$A$9,MATCH(B572,BP!$A$5:$A$9,1)))+INDEX(BP!$C$5:$C$9,MATCH(B572,BP!$A$5:$A$9,1)),0))</f>
        <v>25</v>
      </c>
      <c r="D572" s="12" t="str">
        <f aca="false">IF(NOT(ISNUMBER(C572)),"",INDEX(BP!$F$5:$F$9,MATCH(C572,BP!$E$5:$E$9,1)))</f>
        <v>ดีมาก</v>
      </c>
      <c r="E572" s="12" t="n">
        <f aca="false">YEAR(A572)</f>
        <v>2022</v>
      </c>
      <c r="F572" s="12" t="n">
        <f aca="false">MONTH(A572)</f>
        <v>7</v>
      </c>
      <c r="G572" s="12" t="n">
        <v>12.8</v>
      </c>
      <c r="H572" s="12" t="n">
        <v>32.4</v>
      </c>
      <c r="I572" s="12" t="n">
        <v>106</v>
      </c>
      <c r="J572" s="12" t="n">
        <v>1.8</v>
      </c>
      <c r="K572" s="12" t="n">
        <v>0</v>
      </c>
      <c r="L572" s="12" t="s">
        <v>36</v>
      </c>
    </row>
    <row r="573" customFormat="false" ht="15" hidden="false" customHeight="false" outlineLevel="0" collapsed="false">
      <c r="A573" s="11" t="n">
        <v>44768</v>
      </c>
      <c r="B573" s="12" t="n">
        <v>18</v>
      </c>
      <c r="C573" s="12" t="n">
        <f aca="false">IF(NOT(ISNUMBER(B573)),"",ROUND((INDEX(BP!$D$5:$D$9,MATCH(B573,BP!$A$5:$A$9,1))-INDEX(BP!$C$5:$C$9,MATCH(B573,BP!$A$5:$A$9,1)))/(INDEX(BP!$B$5:$B$9,MATCH(B573,BP!$A$5:$A$9,1))-INDEX(BP!$A$5:$A$9,MATCH(B573,BP!$A$5:$A$9,1)))*(B573-INDEX(BP!$A$5:$A$9,MATCH(B573,BP!$A$5:$A$9,1)))+INDEX(BP!$C$5:$C$9,MATCH(B573,BP!$A$5:$A$9,1)),0))</f>
        <v>33</v>
      </c>
      <c r="D573" s="12" t="str">
        <f aca="false">IF(NOT(ISNUMBER(C573)),"",INDEX(BP!$F$5:$F$9,MATCH(C573,BP!$E$5:$E$9,1)))</f>
        <v>ดี</v>
      </c>
      <c r="E573" s="12" t="n">
        <f aca="false">YEAR(A573)</f>
        <v>2022</v>
      </c>
      <c r="F573" s="12" t="n">
        <f aca="false">MONTH(A573)</f>
        <v>7</v>
      </c>
      <c r="G573" s="12" t="n">
        <v>10.7</v>
      </c>
      <c r="H573" s="12" t="n">
        <v>28.4</v>
      </c>
      <c r="I573" s="12" t="n">
        <v>96</v>
      </c>
      <c r="J573" s="12" t="n">
        <v>2.4</v>
      </c>
      <c r="K573" s="12" t="n">
        <v>5.4</v>
      </c>
      <c r="L573" s="12" t="s">
        <v>36</v>
      </c>
    </row>
    <row r="574" customFormat="false" ht="15" hidden="false" customHeight="false" outlineLevel="0" collapsed="false">
      <c r="A574" s="11" t="n">
        <v>44769</v>
      </c>
      <c r="B574" s="12" t="n">
        <v>17</v>
      </c>
      <c r="C574" s="12" t="n">
        <f aca="false">IF(NOT(ISNUMBER(B574)),"",ROUND((INDEX(BP!$D$5:$D$9,MATCH(B574,BP!$A$5:$A$9,1))-INDEX(BP!$C$5:$C$9,MATCH(B574,BP!$A$5:$A$9,1)))/(INDEX(BP!$B$5:$B$9,MATCH(B574,BP!$A$5:$A$9,1))-INDEX(BP!$A$5:$A$9,MATCH(B574,BP!$A$5:$A$9,1)))*(B574-INDEX(BP!$A$5:$A$9,MATCH(B574,BP!$A$5:$A$9,1)))+INDEX(BP!$C$5:$C$9,MATCH(B574,BP!$A$5:$A$9,1)),0))</f>
        <v>31</v>
      </c>
      <c r="D574" s="12" t="str">
        <f aca="false">IF(NOT(ISNUMBER(C574)),"",INDEX(BP!$F$5:$F$9,MATCH(C574,BP!$E$5:$E$9,1)))</f>
        <v>ดี</v>
      </c>
      <c r="E574" s="12" t="n">
        <f aca="false">YEAR(A574)</f>
        <v>2022</v>
      </c>
      <c r="F574" s="12" t="n">
        <f aca="false">MONTH(A574)</f>
        <v>7</v>
      </c>
      <c r="G574" s="12" t="n">
        <v>10.5</v>
      </c>
      <c r="H574" s="12" t="n">
        <v>27</v>
      </c>
      <c r="I574" s="12" t="n">
        <v>121</v>
      </c>
      <c r="J574" s="12" t="n">
        <v>13.1</v>
      </c>
      <c r="K574" s="12" t="n">
        <v>0.2</v>
      </c>
      <c r="L574" s="12" t="s">
        <v>36</v>
      </c>
    </row>
    <row r="575" customFormat="false" ht="15" hidden="false" customHeight="false" outlineLevel="0" collapsed="false">
      <c r="A575" s="11" t="n">
        <v>44770</v>
      </c>
      <c r="B575" s="12" t="n">
        <v>18</v>
      </c>
      <c r="C575" s="12" t="n">
        <f aca="false">IF(NOT(ISNUMBER(B575)),"",ROUND((INDEX(BP!$D$5:$D$9,MATCH(B575,BP!$A$5:$A$9,1))-INDEX(BP!$C$5:$C$9,MATCH(B575,BP!$A$5:$A$9,1)))/(INDEX(BP!$B$5:$B$9,MATCH(B575,BP!$A$5:$A$9,1))-INDEX(BP!$A$5:$A$9,MATCH(B575,BP!$A$5:$A$9,1)))*(B575-INDEX(BP!$A$5:$A$9,MATCH(B575,BP!$A$5:$A$9,1)))+INDEX(BP!$C$5:$C$9,MATCH(B575,BP!$A$5:$A$9,1)),0))</f>
        <v>33</v>
      </c>
      <c r="D575" s="12" t="str">
        <f aca="false">IF(NOT(ISNUMBER(C575)),"",INDEX(BP!$F$5:$F$9,MATCH(C575,BP!$E$5:$E$9,1)))</f>
        <v>ดี</v>
      </c>
      <c r="E575" s="12" t="n">
        <f aca="false">YEAR(A575)</f>
        <v>2022</v>
      </c>
      <c r="F575" s="12" t="n">
        <f aca="false">MONTH(A575)</f>
        <v>7</v>
      </c>
      <c r="G575" s="12" t="n">
        <v>8.8</v>
      </c>
      <c r="H575" s="12" t="n">
        <v>25.2</v>
      </c>
      <c r="I575" s="12" t="n">
        <v>291</v>
      </c>
      <c r="J575" s="12" t="n">
        <v>10.8</v>
      </c>
      <c r="K575" s="12" t="n">
        <v>5.4</v>
      </c>
      <c r="L575" s="12" t="s">
        <v>34</v>
      </c>
    </row>
    <row r="576" customFormat="false" ht="15" hidden="false" customHeight="false" outlineLevel="0" collapsed="false">
      <c r="A576" s="11" t="n">
        <v>44771</v>
      </c>
      <c r="B576" s="12" t="n">
        <v>20</v>
      </c>
      <c r="C576" s="12" t="n">
        <f aca="false">IF(NOT(ISNUMBER(B576)),"",ROUND((INDEX(BP!$D$5:$D$9,MATCH(B576,BP!$A$5:$A$9,1))-INDEX(BP!$C$5:$C$9,MATCH(B576,BP!$A$5:$A$9,1)))/(INDEX(BP!$B$5:$B$9,MATCH(B576,BP!$A$5:$A$9,1))-INDEX(BP!$A$5:$A$9,MATCH(B576,BP!$A$5:$A$9,1)))*(B576-INDEX(BP!$A$5:$A$9,MATCH(B576,BP!$A$5:$A$9,1)))+INDEX(BP!$C$5:$C$9,MATCH(B576,BP!$A$5:$A$9,1)),0))</f>
        <v>38</v>
      </c>
      <c r="D576" s="12" t="str">
        <f aca="false">IF(NOT(ISNUMBER(C576)),"",INDEX(BP!$F$5:$F$9,MATCH(C576,BP!$E$5:$E$9,1)))</f>
        <v>ดี</v>
      </c>
      <c r="E576" s="12" t="n">
        <f aca="false">YEAR(A576)</f>
        <v>2022</v>
      </c>
      <c r="F576" s="12" t="n">
        <f aca="false">MONTH(A576)</f>
        <v>7</v>
      </c>
      <c r="G576" s="12" t="n">
        <v>17.7</v>
      </c>
      <c r="H576" s="12" t="n">
        <v>33.5</v>
      </c>
      <c r="I576" s="12" t="n">
        <v>230</v>
      </c>
      <c r="J576" s="12" t="n">
        <v>6.9</v>
      </c>
      <c r="K576" s="12" t="n">
        <v>0</v>
      </c>
      <c r="L576" s="12" t="s">
        <v>34</v>
      </c>
    </row>
    <row r="577" customFormat="false" ht="15" hidden="false" customHeight="false" outlineLevel="0" collapsed="false">
      <c r="A577" s="11" t="n">
        <v>44772</v>
      </c>
      <c r="B577" s="12" t="n">
        <v>17</v>
      </c>
      <c r="C577" s="12" t="n">
        <f aca="false">IF(NOT(ISNUMBER(B577)),"",ROUND((INDEX(BP!$D$5:$D$9,MATCH(B577,BP!$A$5:$A$9,1))-INDEX(BP!$C$5:$C$9,MATCH(B577,BP!$A$5:$A$9,1)))/(INDEX(BP!$B$5:$B$9,MATCH(B577,BP!$A$5:$A$9,1))-INDEX(BP!$A$5:$A$9,MATCH(B577,BP!$A$5:$A$9,1)))*(B577-INDEX(BP!$A$5:$A$9,MATCH(B577,BP!$A$5:$A$9,1)))+INDEX(BP!$C$5:$C$9,MATCH(B577,BP!$A$5:$A$9,1)),0))</f>
        <v>31</v>
      </c>
      <c r="D577" s="12" t="str">
        <f aca="false">IF(NOT(ISNUMBER(C577)),"",INDEX(BP!$F$5:$F$9,MATCH(C577,BP!$E$5:$E$9,1)))</f>
        <v>ดี</v>
      </c>
      <c r="E577" s="12" t="n">
        <f aca="false">YEAR(A577)</f>
        <v>2022</v>
      </c>
      <c r="F577" s="12" t="n">
        <f aca="false">MONTH(A577)</f>
        <v>7</v>
      </c>
      <c r="G577" s="12" t="n">
        <v>14.6</v>
      </c>
      <c r="H577" s="12" t="n">
        <v>33.5</v>
      </c>
      <c r="I577" s="12" t="n">
        <v>233</v>
      </c>
      <c r="J577" s="12" t="n">
        <v>5.7</v>
      </c>
      <c r="K577" s="12" t="n">
        <v>5</v>
      </c>
      <c r="L577" s="12" t="s">
        <v>35</v>
      </c>
    </row>
    <row r="578" customFormat="false" ht="15" hidden="false" customHeight="false" outlineLevel="0" collapsed="false">
      <c r="A578" s="11" t="n">
        <v>44773</v>
      </c>
      <c r="B578" s="12" t="n">
        <v>16</v>
      </c>
      <c r="C578" s="12" t="n">
        <f aca="false">IF(NOT(ISNUMBER(B578)),"",ROUND((INDEX(BP!$D$5:$D$9,MATCH(B578,BP!$A$5:$A$9,1))-INDEX(BP!$C$5:$C$9,MATCH(B578,BP!$A$5:$A$9,1)))/(INDEX(BP!$B$5:$B$9,MATCH(B578,BP!$A$5:$A$9,1))-INDEX(BP!$A$5:$A$9,MATCH(B578,BP!$A$5:$A$9,1)))*(B578-INDEX(BP!$A$5:$A$9,MATCH(B578,BP!$A$5:$A$9,1)))+INDEX(BP!$C$5:$C$9,MATCH(B578,BP!$A$5:$A$9,1)),0))</f>
        <v>28</v>
      </c>
      <c r="D578" s="12" t="str">
        <f aca="false">IF(NOT(ISNUMBER(C578)),"",INDEX(BP!$F$5:$F$9,MATCH(C578,BP!$E$5:$E$9,1)))</f>
        <v>ดี</v>
      </c>
      <c r="E578" s="12" t="n">
        <f aca="false">YEAR(A578)</f>
        <v>2022</v>
      </c>
      <c r="F578" s="12" t="n">
        <f aca="false">MONTH(A578)</f>
        <v>7</v>
      </c>
      <c r="G578" s="12" t="n">
        <v>11</v>
      </c>
      <c r="H578" s="12" t="n">
        <v>27</v>
      </c>
      <c r="I578" s="12" t="n">
        <v>219</v>
      </c>
      <c r="J578" s="12" t="n">
        <v>15.6</v>
      </c>
      <c r="K578" s="12" t="n">
        <v>0</v>
      </c>
      <c r="L578" s="12" t="s">
        <v>35</v>
      </c>
    </row>
    <row r="579" customFormat="false" ht="15" hidden="false" customHeight="false" outlineLevel="0" collapsed="false">
      <c r="A579" s="11" t="n">
        <v>44774</v>
      </c>
      <c r="B579" s="12" t="n">
        <v>15</v>
      </c>
      <c r="C579" s="12" t="n">
        <f aca="false">IF(NOT(ISNUMBER(B579)),"",ROUND((INDEX(BP!$D$5:$D$9,MATCH(B579,BP!$A$5:$A$9,1))-INDEX(BP!$C$5:$C$9,MATCH(B579,BP!$A$5:$A$9,1)))/(INDEX(BP!$B$5:$B$9,MATCH(B579,BP!$A$5:$A$9,1))-INDEX(BP!$A$5:$A$9,MATCH(B579,BP!$A$5:$A$9,1)))*(B579-INDEX(BP!$A$5:$A$9,MATCH(B579,BP!$A$5:$A$9,1)))+INDEX(BP!$C$5:$C$9,MATCH(B579,BP!$A$5:$A$9,1)),0))</f>
        <v>25</v>
      </c>
      <c r="D579" s="12" t="str">
        <f aca="false">IF(NOT(ISNUMBER(C579)),"",INDEX(BP!$F$5:$F$9,MATCH(C579,BP!$E$5:$E$9,1)))</f>
        <v>ดีมาก</v>
      </c>
      <c r="E579" s="12" t="n">
        <f aca="false">YEAR(A579)</f>
        <v>2022</v>
      </c>
      <c r="F579" s="12" t="n">
        <f aca="false">MONTH(A579)</f>
        <v>8</v>
      </c>
      <c r="G579" s="12" t="n">
        <v>15.9</v>
      </c>
      <c r="H579" s="12" t="n">
        <v>31</v>
      </c>
      <c r="I579" s="12" t="n">
        <v>218</v>
      </c>
      <c r="J579" s="12" t="n">
        <v>16.7</v>
      </c>
      <c r="K579" s="12" t="n">
        <v>0</v>
      </c>
      <c r="L579" s="12" t="s">
        <v>36</v>
      </c>
    </row>
    <row r="580" customFormat="false" ht="15" hidden="false" customHeight="false" outlineLevel="0" collapsed="false">
      <c r="A580" s="11" t="n">
        <v>44775</v>
      </c>
      <c r="B580" s="12" t="n">
        <v>16</v>
      </c>
      <c r="C580" s="12" t="n">
        <f aca="false">IF(NOT(ISNUMBER(B580)),"",ROUND((INDEX(BP!$D$5:$D$9,MATCH(B580,BP!$A$5:$A$9,1))-INDEX(BP!$C$5:$C$9,MATCH(B580,BP!$A$5:$A$9,1)))/(INDEX(BP!$B$5:$B$9,MATCH(B580,BP!$A$5:$A$9,1))-INDEX(BP!$A$5:$A$9,MATCH(B580,BP!$A$5:$A$9,1)))*(B580-INDEX(BP!$A$5:$A$9,MATCH(B580,BP!$A$5:$A$9,1)))+INDEX(BP!$C$5:$C$9,MATCH(B580,BP!$A$5:$A$9,1)),0))</f>
        <v>28</v>
      </c>
      <c r="D580" s="12" t="str">
        <f aca="false">IF(NOT(ISNUMBER(C580)),"",INDEX(BP!$F$5:$F$9,MATCH(C580,BP!$E$5:$E$9,1)))</f>
        <v>ดี</v>
      </c>
      <c r="E580" s="12" t="n">
        <f aca="false">YEAR(A580)</f>
        <v>2022</v>
      </c>
      <c r="F580" s="12" t="n">
        <f aca="false">MONTH(A580)</f>
        <v>8</v>
      </c>
      <c r="G580" s="12" t="n">
        <v>8</v>
      </c>
      <c r="H580" s="12" t="n">
        <v>25.9</v>
      </c>
      <c r="I580" s="12" t="n">
        <v>174</v>
      </c>
      <c r="J580" s="12" t="n">
        <v>19.2</v>
      </c>
      <c r="K580" s="12" t="n">
        <v>6.6</v>
      </c>
      <c r="L580" s="12" t="s">
        <v>36</v>
      </c>
    </row>
    <row r="581" customFormat="false" ht="15" hidden="false" customHeight="false" outlineLevel="0" collapsed="false">
      <c r="A581" s="11" t="n">
        <v>44776</v>
      </c>
      <c r="B581" s="12" t="n">
        <v>15</v>
      </c>
      <c r="C581" s="12" t="n">
        <f aca="false">IF(NOT(ISNUMBER(B581)),"",ROUND((INDEX(BP!$D$5:$D$9,MATCH(B581,BP!$A$5:$A$9,1))-INDEX(BP!$C$5:$C$9,MATCH(B581,BP!$A$5:$A$9,1)))/(INDEX(BP!$B$5:$B$9,MATCH(B581,BP!$A$5:$A$9,1))-INDEX(BP!$A$5:$A$9,MATCH(B581,BP!$A$5:$A$9,1)))*(B581-INDEX(BP!$A$5:$A$9,MATCH(B581,BP!$A$5:$A$9,1)))+INDEX(BP!$C$5:$C$9,MATCH(B581,BP!$A$5:$A$9,1)),0))</f>
        <v>25</v>
      </c>
      <c r="D581" s="12" t="str">
        <f aca="false">IF(NOT(ISNUMBER(C581)),"",INDEX(BP!$F$5:$F$9,MATCH(C581,BP!$E$5:$E$9,1)))</f>
        <v>ดีมาก</v>
      </c>
      <c r="E581" s="12" t="n">
        <f aca="false">YEAR(A581)</f>
        <v>2022</v>
      </c>
      <c r="F581" s="12" t="n">
        <f aca="false">MONTH(A581)</f>
        <v>8</v>
      </c>
      <c r="G581" s="12" t="n">
        <v>11.5</v>
      </c>
      <c r="H581" s="12" t="n">
        <v>25.9</v>
      </c>
      <c r="I581" s="12" t="n">
        <v>191</v>
      </c>
      <c r="J581" s="12" t="n">
        <v>2.2</v>
      </c>
      <c r="K581" s="12" t="n">
        <v>0</v>
      </c>
      <c r="L581" s="12" t="s">
        <v>36</v>
      </c>
    </row>
    <row r="582" customFormat="false" ht="15" hidden="false" customHeight="false" outlineLevel="0" collapsed="false">
      <c r="A582" s="11" t="n">
        <v>44777</v>
      </c>
      <c r="B582" s="12" t="n">
        <v>19</v>
      </c>
      <c r="C582" s="12" t="n">
        <f aca="false">IF(NOT(ISNUMBER(B582)),"",ROUND((INDEX(BP!$D$5:$D$9,MATCH(B582,BP!$A$5:$A$9,1))-INDEX(BP!$C$5:$C$9,MATCH(B582,BP!$A$5:$A$9,1)))/(INDEX(BP!$B$5:$B$9,MATCH(B582,BP!$A$5:$A$9,1))-INDEX(BP!$A$5:$A$9,MATCH(B582,BP!$A$5:$A$9,1)))*(B582-INDEX(BP!$A$5:$A$9,MATCH(B582,BP!$A$5:$A$9,1)))+INDEX(BP!$C$5:$C$9,MATCH(B582,BP!$A$5:$A$9,1)),0))</f>
        <v>35</v>
      </c>
      <c r="D582" s="12" t="str">
        <f aca="false">IF(NOT(ISNUMBER(C582)),"",INDEX(BP!$F$5:$F$9,MATCH(C582,BP!$E$5:$E$9,1)))</f>
        <v>ดี</v>
      </c>
      <c r="E582" s="12" t="n">
        <f aca="false">YEAR(A582)</f>
        <v>2022</v>
      </c>
      <c r="F582" s="12" t="n">
        <f aca="false">MONTH(A582)</f>
        <v>8</v>
      </c>
      <c r="G582" s="12" t="n">
        <v>9.7</v>
      </c>
      <c r="H582" s="12" t="n">
        <v>23.4</v>
      </c>
      <c r="I582" s="12" t="n">
        <v>232</v>
      </c>
      <c r="J582" s="12" t="n">
        <v>3.3</v>
      </c>
      <c r="K582" s="12" t="n">
        <v>0.2</v>
      </c>
      <c r="L582" s="12" t="s">
        <v>36</v>
      </c>
    </row>
    <row r="583" customFormat="false" ht="15" hidden="false" customHeight="false" outlineLevel="0" collapsed="false">
      <c r="A583" s="11" t="n">
        <v>44778</v>
      </c>
      <c r="B583" s="12" t="n">
        <v>18</v>
      </c>
      <c r="C583" s="12" t="n">
        <f aca="false">IF(NOT(ISNUMBER(B583)),"",ROUND((INDEX(BP!$D$5:$D$9,MATCH(B583,BP!$A$5:$A$9,1))-INDEX(BP!$C$5:$C$9,MATCH(B583,BP!$A$5:$A$9,1)))/(INDEX(BP!$B$5:$B$9,MATCH(B583,BP!$A$5:$A$9,1))-INDEX(BP!$A$5:$A$9,MATCH(B583,BP!$A$5:$A$9,1)))*(B583-INDEX(BP!$A$5:$A$9,MATCH(B583,BP!$A$5:$A$9,1)))+INDEX(BP!$C$5:$C$9,MATCH(B583,BP!$A$5:$A$9,1)),0))</f>
        <v>33</v>
      </c>
      <c r="D583" s="12" t="str">
        <f aca="false">IF(NOT(ISNUMBER(C583)),"",INDEX(BP!$F$5:$F$9,MATCH(C583,BP!$E$5:$E$9,1)))</f>
        <v>ดี</v>
      </c>
      <c r="E583" s="12" t="n">
        <f aca="false">YEAR(A583)</f>
        <v>2022</v>
      </c>
      <c r="F583" s="12" t="n">
        <f aca="false">MONTH(A583)</f>
        <v>8</v>
      </c>
      <c r="G583" s="12" t="n">
        <v>12.6</v>
      </c>
      <c r="H583" s="12" t="n">
        <v>27.7</v>
      </c>
      <c r="I583" s="12" t="n">
        <v>230</v>
      </c>
      <c r="J583" s="12" t="n">
        <v>0.1</v>
      </c>
      <c r="K583" s="12" t="n">
        <v>0.8</v>
      </c>
      <c r="L583" s="12" t="s">
        <v>36</v>
      </c>
    </row>
    <row r="584" customFormat="false" ht="15" hidden="false" customHeight="false" outlineLevel="0" collapsed="false">
      <c r="A584" s="11" t="n">
        <v>44779</v>
      </c>
      <c r="B584" s="12" t="n">
        <v>18</v>
      </c>
      <c r="C584" s="12" t="n">
        <f aca="false">IF(NOT(ISNUMBER(B584)),"",ROUND((INDEX(BP!$D$5:$D$9,MATCH(B584,BP!$A$5:$A$9,1))-INDEX(BP!$C$5:$C$9,MATCH(B584,BP!$A$5:$A$9,1)))/(INDEX(BP!$B$5:$B$9,MATCH(B584,BP!$A$5:$A$9,1))-INDEX(BP!$A$5:$A$9,MATCH(B584,BP!$A$5:$A$9,1)))*(B584-INDEX(BP!$A$5:$A$9,MATCH(B584,BP!$A$5:$A$9,1)))+INDEX(BP!$C$5:$C$9,MATCH(B584,BP!$A$5:$A$9,1)),0))</f>
        <v>33</v>
      </c>
      <c r="D584" s="12" t="str">
        <f aca="false">IF(NOT(ISNUMBER(C584)),"",INDEX(BP!$F$5:$F$9,MATCH(C584,BP!$E$5:$E$9,1)))</f>
        <v>ดี</v>
      </c>
      <c r="E584" s="12" t="n">
        <f aca="false">YEAR(A584)</f>
        <v>2022</v>
      </c>
      <c r="F584" s="12" t="n">
        <f aca="false">MONTH(A584)</f>
        <v>8</v>
      </c>
      <c r="G584" s="12" t="n">
        <v>14.9</v>
      </c>
      <c r="H584" s="12" t="n">
        <v>37.1</v>
      </c>
      <c r="I584" s="12" t="n">
        <v>215</v>
      </c>
      <c r="J584" s="12" t="n">
        <v>7.1</v>
      </c>
      <c r="K584" s="12" t="n">
        <v>27.2</v>
      </c>
      <c r="L584" s="12" t="s">
        <v>35</v>
      </c>
    </row>
    <row r="585" customFormat="false" ht="15" hidden="false" customHeight="false" outlineLevel="0" collapsed="false">
      <c r="A585" s="11" t="n">
        <v>44780</v>
      </c>
      <c r="B585" s="12" t="n">
        <v>19</v>
      </c>
      <c r="C585" s="12" t="n">
        <f aca="false">IF(NOT(ISNUMBER(B585)),"",ROUND((INDEX(BP!$D$5:$D$9,MATCH(B585,BP!$A$5:$A$9,1))-INDEX(BP!$C$5:$C$9,MATCH(B585,BP!$A$5:$A$9,1)))/(INDEX(BP!$B$5:$B$9,MATCH(B585,BP!$A$5:$A$9,1))-INDEX(BP!$A$5:$A$9,MATCH(B585,BP!$A$5:$A$9,1)))*(B585-INDEX(BP!$A$5:$A$9,MATCH(B585,BP!$A$5:$A$9,1)))+INDEX(BP!$C$5:$C$9,MATCH(B585,BP!$A$5:$A$9,1)),0))</f>
        <v>35</v>
      </c>
      <c r="D585" s="12" t="str">
        <f aca="false">IF(NOT(ISNUMBER(C585)),"",INDEX(BP!$F$5:$F$9,MATCH(C585,BP!$E$5:$E$9,1)))</f>
        <v>ดี</v>
      </c>
      <c r="E585" s="12" t="n">
        <f aca="false">YEAR(A585)</f>
        <v>2022</v>
      </c>
      <c r="F585" s="12" t="n">
        <f aca="false">MONTH(A585)</f>
        <v>8</v>
      </c>
      <c r="G585" s="12" t="n">
        <v>11.3</v>
      </c>
      <c r="H585" s="12" t="n">
        <v>22.7</v>
      </c>
      <c r="I585" s="12" t="n">
        <v>212</v>
      </c>
      <c r="J585" s="12" t="n">
        <v>0.4</v>
      </c>
      <c r="K585" s="12" t="n">
        <v>0</v>
      </c>
      <c r="L585" s="12" t="s">
        <v>35</v>
      </c>
    </row>
    <row r="586" customFormat="false" ht="15" hidden="false" customHeight="false" outlineLevel="0" collapsed="false">
      <c r="A586" s="11" t="n">
        <v>44781</v>
      </c>
      <c r="B586" s="12" t="n">
        <v>25</v>
      </c>
      <c r="C586" s="12" t="n">
        <f aca="false">IF(NOT(ISNUMBER(B586)),"",ROUND((INDEX(BP!$D$5:$D$9,MATCH(B586,BP!$A$5:$A$9,1))-INDEX(BP!$C$5:$C$9,MATCH(B586,BP!$A$5:$A$9,1)))/(INDEX(BP!$B$5:$B$9,MATCH(B586,BP!$A$5:$A$9,1))-INDEX(BP!$A$5:$A$9,MATCH(B586,BP!$A$5:$A$9,1)))*(B586-INDEX(BP!$A$5:$A$9,MATCH(B586,BP!$A$5:$A$9,1)))+INDEX(BP!$C$5:$C$9,MATCH(B586,BP!$A$5:$A$9,1)),0))</f>
        <v>50</v>
      </c>
      <c r="D586" s="12" t="str">
        <f aca="false">IF(NOT(ISNUMBER(C586)),"",INDEX(BP!$F$5:$F$9,MATCH(C586,BP!$E$5:$E$9,1)))</f>
        <v>ดี</v>
      </c>
      <c r="E586" s="12" t="n">
        <f aca="false">YEAR(A586)</f>
        <v>2022</v>
      </c>
      <c r="F586" s="12" t="n">
        <f aca="false">MONTH(A586)</f>
        <v>8</v>
      </c>
      <c r="G586" s="12" t="n">
        <v>11.3</v>
      </c>
      <c r="H586" s="12" t="n">
        <v>28.1</v>
      </c>
      <c r="I586" s="12" t="n">
        <v>200</v>
      </c>
      <c r="J586" s="12" t="n">
        <v>0.1</v>
      </c>
      <c r="K586" s="12" t="n">
        <v>3.4</v>
      </c>
      <c r="L586" s="12" t="s">
        <v>36</v>
      </c>
    </row>
    <row r="587" customFormat="false" ht="15" hidden="false" customHeight="false" outlineLevel="0" collapsed="false">
      <c r="A587" s="11" t="n">
        <v>44782</v>
      </c>
      <c r="B587" s="12" t="n">
        <v>24</v>
      </c>
      <c r="C587" s="12" t="n">
        <f aca="false">IF(NOT(ISNUMBER(B587)),"",ROUND((INDEX(BP!$D$5:$D$9,MATCH(B587,BP!$A$5:$A$9,1))-INDEX(BP!$C$5:$C$9,MATCH(B587,BP!$A$5:$A$9,1)))/(INDEX(BP!$B$5:$B$9,MATCH(B587,BP!$A$5:$A$9,1))-INDEX(BP!$A$5:$A$9,MATCH(B587,BP!$A$5:$A$9,1)))*(B587-INDEX(BP!$A$5:$A$9,MATCH(B587,BP!$A$5:$A$9,1)))+INDEX(BP!$C$5:$C$9,MATCH(B587,BP!$A$5:$A$9,1)),0))</f>
        <v>48</v>
      </c>
      <c r="D587" s="12" t="str">
        <f aca="false">IF(NOT(ISNUMBER(C587)),"",INDEX(BP!$F$5:$F$9,MATCH(C587,BP!$E$5:$E$9,1)))</f>
        <v>ดี</v>
      </c>
      <c r="E587" s="12" t="n">
        <f aca="false">YEAR(A587)</f>
        <v>2022</v>
      </c>
      <c r="F587" s="12" t="n">
        <f aca="false">MONTH(A587)</f>
        <v>8</v>
      </c>
      <c r="G587" s="12" t="n">
        <v>7.4</v>
      </c>
      <c r="H587" s="12" t="n">
        <v>19.1</v>
      </c>
      <c r="I587" s="12" t="n">
        <v>240</v>
      </c>
      <c r="J587" s="12" t="n">
        <v>0</v>
      </c>
      <c r="K587" s="12" t="n">
        <v>0.2</v>
      </c>
      <c r="L587" s="12" t="s">
        <v>36</v>
      </c>
    </row>
    <row r="588" customFormat="false" ht="15" hidden="false" customHeight="false" outlineLevel="0" collapsed="false">
      <c r="A588" s="11" t="n">
        <v>44783</v>
      </c>
      <c r="B588" s="12" t="n">
        <v>17</v>
      </c>
      <c r="C588" s="12" t="n">
        <f aca="false">IF(NOT(ISNUMBER(B588)),"",ROUND((INDEX(BP!$D$5:$D$9,MATCH(B588,BP!$A$5:$A$9,1))-INDEX(BP!$C$5:$C$9,MATCH(B588,BP!$A$5:$A$9,1)))/(INDEX(BP!$B$5:$B$9,MATCH(B588,BP!$A$5:$A$9,1))-INDEX(BP!$A$5:$A$9,MATCH(B588,BP!$A$5:$A$9,1)))*(B588-INDEX(BP!$A$5:$A$9,MATCH(B588,BP!$A$5:$A$9,1)))+INDEX(BP!$C$5:$C$9,MATCH(B588,BP!$A$5:$A$9,1)),0))</f>
        <v>31</v>
      </c>
      <c r="D588" s="12" t="str">
        <f aca="false">IF(NOT(ISNUMBER(C588)),"",INDEX(BP!$F$5:$F$9,MATCH(C588,BP!$E$5:$E$9,1)))</f>
        <v>ดี</v>
      </c>
      <c r="E588" s="12" t="n">
        <f aca="false">YEAR(A588)</f>
        <v>2022</v>
      </c>
      <c r="F588" s="12" t="n">
        <f aca="false">MONTH(A588)</f>
        <v>8</v>
      </c>
      <c r="G588" s="12" t="n">
        <v>17.3</v>
      </c>
      <c r="H588" s="12" t="n">
        <v>36.4</v>
      </c>
      <c r="I588" s="12" t="n">
        <v>236</v>
      </c>
      <c r="J588" s="12" t="n">
        <v>0</v>
      </c>
      <c r="K588" s="12" t="n">
        <v>0</v>
      </c>
      <c r="L588" s="12" t="s">
        <v>36</v>
      </c>
    </row>
    <row r="589" customFormat="false" ht="15" hidden="false" customHeight="false" outlineLevel="0" collapsed="false">
      <c r="A589" s="11" t="n">
        <v>44784</v>
      </c>
      <c r="B589" s="12" t="n">
        <v>20</v>
      </c>
      <c r="C589" s="12" t="n">
        <f aca="false">IF(NOT(ISNUMBER(B589)),"",ROUND((INDEX(BP!$D$5:$D$9,MATCH(B589,BP!$A$5:$A$9,1))-INDEX(BP!$C$5:$C$9,MATCH(B589,BP!$A$5:$A$9,1)))/(INDEX(BP!$B$5:$B$9,MATCH(B589,BP!$A$5:$A$9,1))-INDEX(BP!$A$5:$A$9,MATCH(B589,BP!$A$5:$A$9,1)))*(B589-INDEX(BP!$A$5:$A$9,MATCH(B589,BP!$A$5:$A$9,1)))+INDEX(BP!$C$5:$C$9,MATCH(B589,BP!$A$5:$A$9,1)),0))</f>
        <v>38</v>
      </c>
      <c r="D589" s="12" t="str">
        <f aca="false">IF(NOT(ISNUMBER(C589)),"",INDEX(BP!$F$5:$F$9,MATCH(C589,BP!$E$5:$E$9,1)))</f>
        <v>ดี</v>
      </c>
      <c r="E589" s="12" t="n">
        <f aca="false">YEAR(A589)</f>
        <v>2022</v>
      </c>
      <c r="F589" s="12" t="n">
        <f aca="false">MONTH(A589)</f>
        <v>8</v>
      </c>
      <c r="G589" s="12" t="n">
        <v>14.2</v>
      </c>
      <c r="H589" s="12" t="n">
        <v>30.6</v>
      </c>
      <c r="I589" s="12" t="n">
        <v>236</v>
      </c>
      <c r="J589" s="12" t="n">
        <v>0</v>
      </c>
      <c r="K589" s="12" t="n">
        <v>0</v>
      </c>
      <c r="L589" s="12" t="s">
        <v>36</v>
      </c>
    </row>
    <row r="590" customFormat="false" ht="15" hidden="false" customHeight="false" outlineLevel="0" collapsed="false">
      <c r="A590" s="11" t="n">
        <v>44785</v>
      </c>
      <c r="B590" s="12" t="n">
        <v>24</v>
      </c>
      <c r="C590" s="12" t="n">
        <f aca="false">IF(NOT(ISNUMBER(B590)),"",ROUND((INDEX(BP!$D$5:$D$9,MATCH(B590,BP!$A$5:$A$9,1))-INDEX(BP!$C$5:$C$9,MATCH(B590,BP!$A$5:$A$9,1)))/(INDEX(BP!$B$5:$B$9,MATCH(B590,BP!$A$5:$A$9,1))-INDEX(BP!$A$5:$A$9,MATCH(B590,BP!$A$5:$A$9,1)))*(B590-INDEX(BP!$A$5:$A$9,MATCH(B590,BP!$A$5:$A$9,1)))+INDEX(BP!$C$5:$C$9,MATCH(B590,BP!$A$5:$A$9,1)),0))</f>
        <v>48</v>
      </c>
      <c r="D590" s="12" t="str">
        <f aca="false">IF(NOT(ISNUMBER(C590)),"",INDEX(BP!$F$5:$F$9,MATCH(C590,BP!$E$5:$E$9,1)))</f>
        <v>ดี</v>
      </c>
      <c r="E590" s="12" t="n">
        <f aca="false">YEAR(A590)</f>
        <v>2022</v>
      </c>
      <c r="F590" s="12" t="n">
        <f aca="false">MONTH(A590)</f>
        <v>8</v>
      </c>
      <c r="G590" s="12" t="n">
        <v>8.9</v>
      </c>
      <c r="H590" s="12" t="n">
        <v>24.5</v>
      </c>
      <c r="I590" s="12" t="n">
        <v>168</v>
      </c>
      <c r="J590" s="12" t="n">
        <v>1.7</v>
      </c>
      <c r="K590" s="12" t="n">
        <v>0</v>
      </c>
      <c r="L590" s="12" t="s">
        <v>34</v>
      </c>
    </row>
    <row r="591" customFormat="false" ht="15" hidden="false" customHeight="false" outlineLevel="0" collapsed="false">
      <c r="A591" s="11" t="n">
        <v>44786</v>
      </c>
      <c r="B591" s="12" t="n">
        <v>18</v>
      </c>
      <c r="C591" s="12" t="n">
        <f aca="false">IF(NOT(ISNUMBER(B591)),"",ROUND((INDEX(BP!$D$5:$D$9,MATCH(B591,BP!$A$5:$A$9,1))-INDEX(BP!$C$5:$C$9,MATCH(B591,BP!$A$5:$A$9,1)))/(INDEX(BP!$B$5:$B$9,MATCH(B591,BP!$A$5:$A$9,1))-INDEX(BP!$A$5:$A$9,MATCH(B591,BP!$A$5:$A$9,1)))*(B591-INDEX(BP!$A$5:$A$9,MATCH(B591,BP!$A$5:$A$9,1)))+INDEX(BP!$C$5:$C$9,MATCH(B591,BP!$A$5:$A$9,1)),0))</f>
        <v>33</v>
      </c>
      <c r="D591" s="12" t="str">
        <f aca="false">IF(NOT(ISNUMBER(C591)),"",INDEX(BP!$F$5:$F$9,MATCH(C591,BP!$E$5:$E$9,1)))</f>
        <v>ดี</v>
      </c>
      <c r="E591" s="12" t="n">
        <f aca="false">YEAR(A591)</f>
        <v>2022</v>
      </c>
      <c r="F591" s="12" t="n">
        <f aca="false">MONTH(A591)</f>
        <v>8</v>
      </c>
      <c r="G591" s="12" t="n">
        <v>10.6</v>
      </c>
      <c r="H591" s="12" t="n">
        <v>29.9</v>
      </c>
      <c r="I591" s="12" t="n">
        <v>120</v>
      </c>
      <c r="J591" s="12" t="n">
        <v>0.4</v>
      </c>
      <c r="K591" s="12" t="n">
        <v>0.2</v>
      </c>
      <c r="L591" s="12" t="s">
        <v>35</v>
      </c>
    </row>
    <row r="592" customFormat="false" ht="15" hidden="false" customHeight="false" outlineLevel="0" collapsed="false">
      <c r="A592" s="11" t="n">
        <v>44787</v>
      </c>
      <c r="B592" s="12" t="n">
        <v>19</v>
      </c>
      <c r="C592" s="12" t="n">
        <f aca="false">IF(NOT(ISNUMBER(B592)),"",ROUND((INDEX(BP!$D$5:$D$9,MATCH(B592,BP!$A$5:$A$9,1))-INDEX(BP!$C$5:$C$9,MATCH(B592,BP!$A$5:$A$9,1)))/(INDEX(BP!$B$5:$B$9,MATCH(B592,BP!$A$5:$A$9,1))-INDEX(BP!$A$5:$A$9,MATCH(B592,BP!$A$5:$A$9,1)))*(B592-INDEX(BP!$A$5:$A$9,MATCH(B592,BP!$A$5:$A$9,1)))+INDEX(BP!$C$5:$C$9,MATCH(B592,BP!$A$5:$A$9,1)),0))</f>
        <v>35</v>
      </c>
      <c r="D592" s="12" t="str">
        <f aca="false">IF(NOT(ISNUMBER(C592)),"",INDEX(BP!$F$5:$F$9,MATCH(C592,BP!$E$5:$E$9,1)))</f>
        <v>ดี</v>
      </c>
      <c r="E592" s="12" t="n">
        <f aca="false">YEAR(A592)</f>
        <v>2022</v>
      </c>
      <c r="F592" s="12" t="n">
        <f aca="false">MONTH(A592)</f>
        <v>8</v>
      </c>
      <c r="G592" s="12" t="n">
        <v>10.2</v>
      </c>
      <c r="H592" s="12" t="n">
        <v>26.6</v>
      </c>
      <c r="I592" s="12" t="n">
        <v>273</v>
      </c>
      <c r="J592" s="12" t="n">
        <v>3.1</v>
      </c>
      <c r="K592" s="12" t="n">
        <v>30.2</v>
      </c>
      <c r="L592" s="12" t="s">
        <v>35</v>
      </c>
    </row>
    <row r="593" customFormat="false" ht="15" hidden="false" customHeight="false" outlineLevel="0" collapsed="false">
      <c r="A593" s="11" t="n">
        <v>44788</v>
      </c>
      <c r="B593" s="12" t="n">
        <v>14</v>
      </c>
      <c r="C593" s="12" t="n">
        <f aca="false">IF(NOT(ISNUMBER(B593)),"",ROUND((INDEX(BP!$D$5:$D$9,MATCH(B593,BP!$A$5:$A$9,1))-INDEX(BP!$C$5:$C$9,MATCH(B593,BP!$A$5:$A$9,1)))/(INDEX(BP!$B$5:$B$9,MATCH(B593,BP!$A$5:$A$9,1))-INDEX(BP!$A$5:$A$9,MATCH(B593,BP!$A$5:$A$9,1)))*(B593-INDEX(BP!$A$5:$A$9,MATCH(B593,BP!$A$5:$A$9,1)))+INDEX(BP!$C$5:$C$9,MATCH(B593,BP!$A$5:$A$9,1)),0))</f>
        <v>23</v>
      </c>
      <c r="D593" s="12" t="str">
        <f aca="false">IF(NOT(ISNUMBER(C593)),"",INDEX(BP!$F$5:$F$9,MATCH(C593,BP!$E$5:$E$9,1)))</f>
        <v>ดีมาก</v>
      </c>
      <c r="E593" s="12" t="n">
        <f aca="false">YEAR(A593)</f>
        <v>2022</v>
      </c>
      <c r="F593" s="12" t="n">
        <f aca="false">MONTH(A593)</f>
        <v>8</v>
      </c>
      <c r="G593" s="12" t="n">
        <v>15.8</v>
      </c>
      <c r="H593" s="12" t="n">
        <v>33.5</v>
      </c>
      <c r="I593" s="12" t="n">
        <v>258</v>
      </c>
      <c r="J593" s="12" t="n">
        <v>4.3</v>
      </c>
      <c r="K593" s="12" t="n">
        <v>0</v>
      </c>
      <c r="L593" s="12" t="s">
        <v>36</v>
      </c>
    </row>
    <row r="594" customFormat="false" ht="15" hidden="false" customHeight="false" outlineLevel="0" collapsed="false">
      <c r="A594" s="11" t="n">
        <v>44789</v>
      </c>
      <c r="B594" s="12" t="n">
        <v>16</v>
      </c>
      <c r="C594" s="12" t="n">
        <f aca="false">IF(NOT(ISNUMBER(B594)),"",ROUND((INDEX(BP!$D$5:$D$9,MATCH(B594,BP!$A$5:$A$9,1))-INDEX(BP!$C$5:$C$9,MATCH(B594,BP!$A$5:$A$9,1)))/(INDEX(BP!$B$5:$B$9,MATCH(B594,BP!$A$5:$A$9,1))-INDEX(BP!$A$5:$A$9,MATCH(B594,BP!$A$5:$A$9,1)))*(B594-INDEX(BP!$A$5:$A$9,MATCH(B594,BP!$A$5:$A$9,1)))+INDEX(BP!$C$5:$C$9,MATCH(B594,BP!$A$5:$A$9,1)),0))</f>
        <v>28</v>
      </c>
      <c r="D594" s="12" t="str">
        <f aca="false">IF(NOT(ISNUMBER(C594)),"",INDEX(BP!$F$5:$F$9,MATCH(C594,BP!$E$5:$E$9,1)))</f>
        <v>ดี</v>
      </c>
      <c r="E594" s="12" t="n">
        <f aca="false">YEAR(A594)</f>
        <v>2022</v>
      </c>
      <c r="F594" s="12" t="n">
        <f aca="false">MONTH(A594)</f>
        <v>8</v>
      </c>
      <c r="G594" s="12" t="n">
        <v>17.9</v>
      </c>
      <c r="H594" s="12" t="n">
        <v>34.6</v>
      </c>
      <c r="I594" s="12" t="n">
        <v>237</v>
      </c>
      <c r="J594" s="12" t="n">
        <v>1.6</v>
      </c>
      <c r="K594" s="12" t="n">
        <v>1</v>
      </c>
      <c r="L594" s="12" t="s">
        <v>36</v>
      </c>
    </row>
    <row r="595" customFormat="false" ht="15" hidden="false" customHeight="false" outlineLevel="0" collapsed="false">
      <c r="A595" s="11" t="n">
        <v>44790</v>
      </c>
      <c r="B595" s="12" t="n">
        <v>14</v>
      </c>
      <c r="C595" s="12" t="n">
        <f aca="false">IF(NOT(ISNUMBER(B595)),"",ROUND((INDEX(BP!$D$5:$D$9,MATCH(B595,BP!$A$5:$A$9,1))-INDEX(BP!$C$5:$C$9,MATCH(B595,BP!$A$5:$A$9,1)))/(INDEX(BP!$B$5:$B$9,MATCH(B595,BP!$A$5:$A$9,1))-INDEX(BP!$A$5:$A$9,MATCH(B595,BP!$A$5:$A$9,1)))*(B595-INDEX(BP!$A$5:$A$9,MATCH(B595,BP!$A$5:$A$9,1)))+INDEX(BP!$C$5:$C$9,MATCH(B595,BP!$A$5:$A$9,1)),0))</f>
        <v>23</v>
      </c>
      <c r="D595" s="12" t="str">
        <f aca="false">IF(NOT(ISNUMBER(C595)),"",INDEX(BP!$F$5:$F$9,MATCH(C595,BP!$E$5:$E$9,1)))</f>
        <v>ดีมาก</v>
      </c>
      <c r="E595" s="12" t="n">
        <f aca="false">YEAR(A595)</f>
        <v>2022</v>
      </c>
      <c r="F595" s="12" t="n">
        <f aca="false">MONTH(A595)</f>
        <v>8</v>
      </c>
      <c r="G595" s="12" t="n">
        <v>13</v>
      </c>
      <c r="H595" s="12" t="n">
        <v>34.6</v>
      </c>
      <c r="I595" s="12" t="n">
        <v>242</v>
      </c>
      <c r="J595" s="12" t="n">
        <v>4.6</v>
      </c>
      <c r="K595" s="12" t="n">
        <v>4</v>
      </c>
      <c r="L595" s="12" t="s">
        <v>36</v>
      </c>
    </row>
    <row r="596" customFormat="false" ht="15" hidden="false" customHeight="false" outlineLevel="0" collapsed="false">
      <c r="A596" s="11" t="n">
        <v>44791</v>
      </c>
      <c r="B596" s="12" t="n">
        <v>14</v>
      </c>
      <c r="C596" s="12" t="n">
        <f aca="false">IF(NOT(ISNUMBER(B596)),"",ROUND((INDEX(BP!$D$5:$D$9,MATCH(B596,BP!$A$5:$A$9,1))-INDEX(BP!$C$5:$C$9,MATCH(B596,BP!$A$5:$A$9,1)))/(INDEX(BP!$B$5:$B$9,MATCH(B596,BP!$A$5:$A$9,1))-INDEX(BP!$A$5:$A$9,MATCH(B596,BP!$A$5:$A$9,1)))*(B596-INDEX(BP!$A$5:$A$9,MATCH(B596,BP!$A$5:$A$9,1)))+INDEX(BP!$C$5:$C$9,MATCH(B596,BP!$A$5:$A$9,1)),0))</f>
        <v>23</v>
      </c>
      <c r="D596" s="12" t="str">
        <f aca="false">IF(NOT(ISNUMBER(C596)),"",INDEX(BP!$F$5:$F$9,MATCH(C596,BP!$E$5:$E$9,1)))</f>
        <v>ดีมาก</v>
      </c>
      <c r="E596" s="12" t="n">
        <f aca="false">YEAR(A596)</f>
        <v>2022</v>
      </c>
      <c r="F596" s="12" t="n">
        <f aca="false">MONTH(A596)</f>
        <v>8</v>
      </c>
      <c r="G596" s="12" t="n">
        <v>11.5</v>
      </c>
      <c r="H596" s="12" t="n">
        <v>29.5</v>
      </c>
      <c r="I596" s="12" t="n">
        <v>227</v>
      </c>
      <c r="J596" s="12" t="n">
        <v>2.4</v>
      </c>
      <c r="K596" s="12" t="n">
        <v>0</v>
      </c>
      <c r="L596" s="12" t="s">
        <v>36</v>
      </c>
    </row>
    <row r="597" customFormat="false" ht="15" hidden="false" customHeight="false" outlineLevel="0" collapsed="false">
      <c r="A597" s="11" t="n">
        <v>44792</v>
      </c>
      <c r="B597" s="12" t="n">
        <v>19</v>
      </c>
      <c r="C597" s="12" t="n">
        <f aca="false">IF(NOT(ISNUMBER(B597)),"",ROUND((INDEX(BP!$D$5:$D$9,MATCH(B597,BP!$A$5:$A$9,1))-INDEX(BP!$C$5:$C$9,MATCH(B597,BP!$A$5:$A$9,1)))/(INDEX(BP!$B$5:$B$9,MATCH(B597,BP!$A$5:$A$9,1))-INDEX(BP!$A$5:$A$9,MATCH(B597,BP!$A$5:$A$9,1)))*(B597-INDEX(BP!$A$5:$A$9,MATCH(B597,BP!$A$5:$A$9,1)))+INDEX(BP!$C$5:$C$9,MATCH(B597,BP!$A$5:$A$9,1)),0))</f>
        <v>35</v>
      </c>
      <c r="D597" s="12" t="str">
        <f aca="false">IF(NOT(ISNUMBER(C597)),"",INDEX(BP!$F$5:$F$9,MATCH(C597,BP!$E$5:$E$9,1)))</f>
        <v>ดี</v>
      </c>
      <c r="E597" s="12" t="n">
        <f aca="false">YEAR(A597)</f>
        <v>2022</v>
      </c>
      <c r="F597" s="12" t="n">
        <f aca="false">MONTH(A597)</f>
        <v>8</v>
      </c>
      <c r="G597" s="12" t="n">
        <v>13.9</v>
      </c>
      <c r="H597" s="12" t="n">
        <v>32</v>
      </c>
      <c r="I597" s="12" t="n">
        <v>236</v>
      </c>
      <c r="J597" s="12" t="n">
        <v>4.7</v>
      </c>
      <c r="K597" s="12" t="n">
        <v>14</v>
      </c>
      <c r="L597" s="12" t="s">
        <v>36</v>
      </c>
    </row>
    <row r="598" customFormat="false" ht="15" hidden="false" customHeight="false" outlineLevel="0" collapsed="false">
      <c r="A598" s="11" t="n">
        <v>44793</v>
      </c>
      <c r="B598" s="12" t="n">
        <v>16</v>
      </c>
      <c r="C598" s="12" t="n">
        <f aca="false">IF(NOT(ISNUMBER(B598)),"",ROUND((INDEX(BP!$D$5:$D$9,MATCH(B598,BP!$A$5:$A$9,1))-INDEX(BP!$C$5:$C$9,MATCH(B598,BP!$A$5:$A$9,1)))/(INDEX(BP!$B$5:$B$9,MATCH(B598,BP!$A$5:$A$9,1))-INDEX(BP!$A$5:$A$9,MATCH(B598,BP!$A$5:$A$9,1)))*(B598-INDEX(BP!$A$5:$A$9,MATCH(B598,BP!$A$5:$A$9,1)))+INDEX(BP!$C$5:$C$9,MATCH(B598,BP!$A$5:$A$9,1)),0))</f>
        <v>28</v>
      </c>
      <c r="D598" s="12" t="str">
        <f aca="false">IF(NOT(ISNUMBER(C598)),"",INDEX(BP!$F$5:$F$9,MATCH(C598,BP!$E$5:$E$9,1)))</f>
        <v>ดี</v>
      </c>
      <c r="E598" s="12" t="n">
        <f aca="false">YEAR(A598)</f>
        <v>2022</v>
      </c>
      <c r="F598" s="12" t="n">
        <f aca="false">MONTH(A598)</f>
        <v>8</v>
      </c>
      <c r="G598" s="12" t="n">
        <v>15.9</v>
      </c>
      <c r="H598" s="12" t="n">
        <v>35.6</v>
      </c>
      <c r="I598" s="12" t="n">
        <v>251</v>
      </c>
      <c r="J598" s="12" t="n">
        <v>0.4</v>
      </c>
      <c r="K598" s="12" t="n">
        <v>0</v>
      </c>
      <c r="L598" s="12" t="s">
        <v>35</v>
      </c>
    </row>
    <row r="599" customFormat="false" ht="15" hidden="false" customHeight="false" outlineLevel="0" collapsed="false">
      <c r="A599" s="11" t="n">
        <v>44794</v>
      </c>
      <c r="B599" s="12" t="n">
        <v>13</v>
      </c>
      <c r="C599" s="12" t="n">
        <f aca="false">IF(NOT(ISNUMBER(B599)),"",ROUND((INDEX(BP!$D$5:$D$9,MATCH(B599,BP!$A$5:$A$9,1))-INDEX(BP!$C$5:$C$9,MATCH(B599,BP!$A$5:$A$9,1)))/(INDEX(BP!$B$5:$B$9,MATCH(B599,BP!$A$5:$A$9,1))-INDEX(BP!$A$5:$A$9,MATCH(B599,BP!$A$5:$A$9,1)))*(B599-INDEX(BP!$A$5:$A$9,MATCH(B599,BP!$A$5:$A$9,1)))+INDEX(BP!$C$5:$C$9,MATCH(B599,BP!$A$5:$A$9,1)),0))</f>
        <v>22</v>
      </c>
      <c r="D599" s="12" t="str">
        <f aca="false">IF(NOT(ISNUMBER(C599)),"",INDEX(BP!$F$5:$F$9,MATCH(C599,BP!$E$5:$E$9,1)))</f>
        <v>ดีมาก</v>
      </c>
      <c r="E599" s="12" t="n">
        <f aca="false">YEAR(A599)</f>
        <v>2022</v>
      </c>
      <c r="F599" s="12" t="n">
        <f aca="false">MONTH(A599)</f>
        <v>8</v>
      </c>
      <c r="G599" s="12" t="n">
        <v>21.9</v>
      </c>
      <c r="H599" s="12" t="n">
        <v>48.2</v>
      </c>
      <c r="I599" s="12" t="n">
        <v>230</v>
      </c>
      <c r="J599" s="12" t="n">
        <v>0.1</v>
      </c>
      <c r="K599" s="12" t="n">
        <v>2.2</v>
      </c>
      <c r="L599" s="12" t="s">
        <v>35</v>
      </c>
    </row>
    <row r="600" customFormat="false" ht="15" hidden="false" customHeight="false" outlineLevel="0" collapsed="false">
      <c r="A600" s="11" t="n">
        <v>44795</v>
      </c>
      <c r="B600" s="12" t="n">
        <v>12</v>
      </c>
      <c r="C600" s="12" t="n">
        <f aca="false">IF(NOT(ISNUMBER(B600)),"",ROUND((INDEX(BP!$D$5:$D$9,MATCH(B600,BP!$A$5:$A$9,1))-INDEX(BP!$C$5:$C$9,MATCH(B600,BP!$A$5:$A$9,1)))/(INDEX(BP!$B$5:$B$9,MATCH(B600,BP!$A$5:$A$9,1))-INDEX(BP!$A$5:$A$9,MATCH(B600,BP!$A$5:$A$9,1)))*(B600-INDEX(BP!$A$5:$A$9,MATCH(B600,BP!$A$5:$A$9,1)))+INDEX(BP!$C$5:$C$9,MATCH(B600,BP!$A$5:$A$9,1)),0))</f>
        <v>20</v>
      </c>
      <c r="D600" s="12" t="str">
        <f aca="false">IF(NOT(ISNUMBER(C600)),"",INDEX(BP!$F$5:$F$9,MATCH(C600,BP!$E$5:$E$9,1)))</f>
        <v>ดีมาก</v>
      </c>
      <c r="E600" s="12" t="n">
        <f aca="false">YEAR(A600)</f>
        <v>2022</v>
      </c>
      <c r="F600" s="12" t="n">
        <f aca="false">MONTH(A600)</f>
        <v>8</v>
      </c>
      <c r="G600" s="12" t="n">
        <v>19.2</v>
      </c>
      <c r="H600" s="12" t="n">
        <v>40.7</v>
      </c>
      <c r="I600" s="12" t="n">
        <v>242</v>
      </c>
      <c r="J600" s="12" t="n">
        <v>3.4</v>
      </c>
      <c r="K600" s="12" t="n">
        <v>0</v>
      </c>
      <c r="L600" s="12" t="s">
        <v>36</v>
      </c>
    </row>
    <row r="601" customFormat="false" ht="15" hidden="false" customHeight="false" outlineLevel="0" collapsed="false">
      <c r="A601" s="11" t="n">
        <v>44796</v>
      </c>
      <c r="B601" s="12" t="n">
        <v>18</v>
      </c>
      <c r="C601" s="12" t="n">
        <f aca="false">IF(NOT(ISNUMBER(B601)),"",ROUND((INDEX(BP!$D$5:$D$9,MATCH(B601,BP!$A$5:$A$9,1))-INDEX(BP!$C$5:$C$9,MATCH(B601,BP!$A$5:$A$9,1)))/(INDEX(BP!$B$5:$B$9,MATCH(B601,BP!$A$5:$A$9,1))-INDEX(BP!$A$5:$A$9,MATCH(B601,BP!$A$5:$A$9,1)))*(B601-INDEX(BP!$A$5:$A$9,MATCH(B601,BP!$A$5:$A$9,1)))+INDEX(BP!$C$5:$C$9,MATCH(B601,BP!$A$5:$A$9,1)),0))</f>
        <v>33</v>
      </c>
      <c r="D601" s="12" t="str">
        <f aca="false">IF(NOT(ISNUMBER(C601)),"",INDEX(BP!$F$5:$F$9,MATCH(C601,BP!$E$5:$E$9,1)))</f>
        <v>ดี</v>
      </c>
      <c r="E601" s="12" t="n">
        <f aca="false">YEAR(A601)</f>
        <v>2022</v>
      </c>
      <c r="F601" s="12" t="n">
        <f aca="false">MONTH(A601)</f>
        <v>8</v>
      </c>
      <c r="G601" s="12" t="n">
        <v>11.2</v>
      </c>
      <c r="H601" s="12" t="n">
        <v>26.3</v>
      </c>
      <c r="I601" s="12" t="n">
        <v>220</v>
      </c>
      <c r="J601" s="12" t="n">
        <v>11.4</v>
      </c>
      <c r="K601" s="12" t="n">
        <v>0</v>
      </c>
      <c r="L601" s="12" t="s">
        <v>36</v>
      </c>
    </row>
    <row r="602" customFormat="false" ht="15" hidden="false" customHeight="false" outlineLevel="0" collapsed="false">
      <c r="A602" s="11" t="n">
        <v>44797</v>
      </c>
      <c r="B602" s="12" t="n">
        <v>14</v>
      </c>
      <c r="C602" s="12" t="n">
        <f aca="false">IF(NOT(ISNUMBER(B602)),"",ROUND((INDEX(BP!$D$5:$D$9,MATCH(B602,BP!$A$5:$A$9,1))-INDEX(BP!$C$5:$C$9,MATCH(B602,BP!$A$5:$A$9,1)))/(INDEX(BP!$B$5:$B$9,MATCH(B602,BP!$A$5:$A$9,1))-INDEX(BP!$A$5:$A$9,MATCH(B602,BP!$A$5:$A$9,1)))*(B602-INDEX(BP!$A$5:$A$9,MATCH(B602,BP!$A$5:$A$9,1)))+INDEX(BP!$C$5:$C$9,MATCH(B602,BP!$A$5:$A$9,1)),0))</f>
        <v>23</v>
      </c>
      <c r="D602" s="12" t="str">
        <f aca="false">IF(NOT(ISNUMBER(C602)),"",INDEX(BP!$F$5:$F$9,MATCH(C602,BP!$E$5:$E$9,1)))</f>
        <v>ดีมาก</v>
      </c>
      <c r="E602" s="12" t="n">
        <f aca="false">YEAR(A602)</f>
        <v>2022</v>
      </c>
      <c r="F602" s="12" t="n">
        <f aca="false">MONTH(A602)</f>
        <v>8</v>
      </c>
      <c r="G602" s="12" t="n">
        <v>17.8</v>
      </c>
      <c r="H602" s="12" t="n">
        <v>37.8</v>
      </c>
      <c r="I602" s="12" t="n">
        <v>229</v>
      </c>
      <c r="J602" s="12" t="n">
        <v>4.2</v>
      </c>
      <c r="K602" s="12" t="n">
        <v>0</v>
      </c>
      <c r="L602" s="12" t="s">
        <v>36</v>
      </c>
    </row>
    <row r="603" customFormat="false" ht="15" hidden="false" customHeight="false" outlineLevel="0" collapsed="false">
      <c r="A603" s="11" t="n">
        <v>44798</v>
      </c>
      <c r="B603" s="12" t="n">
        <v>16</v>
      </c>
      <c r="C603" s="12" t="n">
        <f aca="false">IF(NOT(ISNUMBER(B603)),"",ROUND((INDEX(BP!$D$5:$D$9,MATCH(B603,BP!$A$5:$A$9,1))-INDEX(BP!$C$5:$C$9,MATCH(B603,BP!$A$5:$A$9,1)))/(INDEX(BP!$B$5:$B$9,MATCH(B603,BP!$A$5:$A$9,1))-INDEX(BP!$A$5:$A$9,MATCH(B603,BP!$A$5:$A$9,1)))*(B603-INDEX(BP!$A$5:$A$9,MATCH(B603,BP!$A$5:$A$9,1)))+INDEX(BP!$C$5:$C$9,MATCH(B603,BP!$A$5:$A$9,1)),0))</f>
        <v>28</v>
      </c>
      <c r="D603" s="12" t="str">
        <f aca="false">IF(NOT(ISNUMBER(C603)),"",INDEX(BP!$F$5:$F$9,MATCH(C603,BP!$E$5:$E$9,1)))</f>
        <v>ดี</v>
      </c>
      <c r="E603" s="12" t="n">
        <f aca="false">YEAR(A603)</f>
        <v>2022</v>
      </c>
      <c r="F603" s="12" t="n">
        <f aca="false">MONTH(A603)</f>
        <v>8</v>
      </c>
      <c r="G603" s="12" t="n">
        <v>18.1</v>
      </c>
      <c r="H603" s="12" t="n">
        <v>40.7</v>
      </c>
      <c r="I603" s="12" t="n">
        <v>216</v>
      </c>
      <c r="J603" s="12" t="n">
        <v>1</v>
      </c>
      <c r="K603" s="12" t="n">
        <v>0</v>
      </c>
      <c r="L603" s="12" t="s">
        <v>36</v>
      </c>
    </row>
    <row r="604" customFormat="false" ht="15" hidden="false" customHeight="false" outlineLevel="0" collapsed="false">
      <c r="A604" s="11" t="n">
        <v>44799</v>
      </c>
      <c r="B604" s="12" t="n">
        <v>18</v>
      </c>
      <c r="C604" s="12" t="n">
        <f aca="false">IF(NOT(ISNUMBER(B604)),"",ROUND((INDEX(BP!$D$5:$D$9,MATCH(B604,BP!$A$5:$A$9,1))-INDEX(BP!$C$5:$C$9,MATCH(B604,BP!$A$5:$A$9,1)))/(INDEX(BP!$B$5:$B$9,MATCH(B604,BP!$A$5:$A$9,1))-INDEX(BP!$A$5:$A$9,MATCH(B604,BP!$A$5:$A$9,1)))*(B604-INDEX(BP!$A$5:$A$9,MATCH(B604,BP!$A$5:$A$9,1)))+INDEX(BP!$C$5:$C$9,MATCH(B604,BP!$A$5:$A$9,1)),0))</f>
        <v>33</v>
      </c>
      <c r="D604" s="12" t="str">
        <f aca="false">IF(NOT(ISNUMBER(C604)),"",INDEX(BP!$F$5:$F$9,MATCH(C604,BP!$E$5:$E$9,1)))</f>
        <v>ดี</v>
      </c>
      <c r="E604" s="12" t="n">
        <f aca="false">YEAR(A604)</f>
        <v>2022</v>
      </c>
      <c r="F604" s="12" t="n">
        <f aca="false">MONTH(A604)</f>
        <v>8</v>
      </c>
      <c r="G604" s="12" t="n">
        <v>18.1</v>
      </c>
      <c r="H604" s="12" t="n">
        <v>39.6</v>
      </c>
      <c r="I604" s="12" t="n">
        <v>220</v>
      </c>
      <c r="J604" s="12" t="n">
        <v>0.5</v>
      </c>
      <c r="K604" s="12" t="n">
        <v>0.2</v>
      </c>
      <c r="L604" s="12" t="s">
        <v>36</v>
      </c>
    </row>
    <row r="605" customFormat="false" ht="15" hidden="false" customHeight="false" outlineLevel="0" collapsed="false">
      <c r="A605" s="11" t="n">
        <v>44800</v>
      </c>
      <c r="B605" s="12" t="n">
        <v>14</v>
      </c>
      <c r="C605" s="12" t="n">
        <f aca="false">IF(NOT(ISNUMBER(B605)),"",ROUND((INDEX(BP!$D$5:$D$9,MATCH(B605,BP!$A$5:$A$9,1))-INDEX(BP!$C$5:$C$9,MATCH(B605,BP!$A$5:$A$9,1)))/(INDEX(BP!$B$5:$B$9,MATCH(B605,BP!$A$5:$A$9,1))-INDEX(BP!$A$5:$A$9,MATCH(B605,BP!$A$5:$A$9,1)))*(B605-INDEX(BP!$A$5:$A$9,MATCH(B605,BP!$A$5:$A$9,1)))+INDEX(BP!$C$5:$C$9,MATCH(B605,BP!$A$5:$A$9,1)),0))</f>
        <v>23</v>
      </c>
      <c r="D605" s="12" t="str">
        <f aca="false">IF(NOT(ISNUMBER(C605)),"",INDEX(BP!$F$5:$F$9,MATCH(C605,BP!$E$5:$E$9,1)))</f>
        <v>ดีมาก</v>
      </c>
      <c r="E605" s="12" t="n">
        <f aca="false">YEAR(A605)</f>
        <v>2022</v>
      </c>
      <c r="F605" s="12" t="n">
        <f aca="false">MONTH(A605)</f>
        <v>8</v>
      </c>
      <c r="G605" s="12" t="n">
        <v>10.4</v>
      </c>
      <c r="H605" s="12" t="n">
        <v>25.9</v>
      </c>
      <c r="I605" s="12" t="n">
        <v>163</v>
      </c>
      <c r="J605" s="12" t="n">
        <v>24.1</v>
      </c>
      <c r="K605" s="12" t="n">
        <v>46.8</v>
      </c>
      <c r="L605" s="12" t="s">
        <v>35</v>
      </c>
    </row>
    <row r="606" customFormat="false" ht="15" hidden="false" customHeight="false" outlineLevel="0" collapsed="false">
      <c r="A606" s="11" t="n">
        <v>44801</v>
      </c>
      <c r="B606" s="12" t="n">
        <v>11</v>
      </c>
      <c r="C606" s="12" t="n">
        <f aca="false">IF(NOT(ISNUMBER(B606)),"",ROUND((INDEX(BP!$D$5:$D$9,MATCH(B606,BP!$A$5:$A$9,1))-INDEX(BP!$C$5:$C$9,MATCH(B606,BP!$A$5:$A$9,1)))/(INDEX(BP!$B$5:$B$9,MATCH(B606,BP!$A$5:$A$9,1))-INDEX(BP!$A$5:$A$9,MATCH(B606,BP!$A$5:$A$9,1)))*(B606-INDEX(BP!$A$5:$A$9,MATCH(B606,BP!$A$5:$A$9,1)))+INDEX(BP!$C$5:$C$9,MATCH(B606,BP!$A$5:$A$9,1)),0))</f>
        <v>18</v>
      </c>
      <c r="D606" s="12" t="str">
        <f aca="false">IF(NOT(ISNUMBER(C606)),"",INDEX(BP!$F$5:$F$9,MATCH(C606,BP!$E$5:$E$9,1)))</f>
        <v>ดีมาก</v>
      </c>
      <c r="E606" s="12" t="n">
        <f aca="false">YEAR(A606)</f>
        <v>2022</v>
      </c>
      <c r="F606" s="12" t="n">
        <f aca="false">MONTH(A606)</f>
        <v>8</v>
      </c>
      <c r="G606" s="12" t="n">
        <v>19.5</v>
      </c>
      <c r="H606" s="12" t="n">
        <v>42.1</v>
      </c>
      <c r="I606" s="12" t="n">
        <v>238</v>
      </c>
      <c r="J606" s="12" t="n">
        <v>10.6</v>
      </c>
      <c r="K606" s="12" t="n">
        <v>1.8</v>
      </c>
      <c r="L606" s="12" t="s">
        <v>35</v>
      </c>
    </row>
    <row r="607" customFormat="false" ht="15" hidden="false" customHeight="false" outlineLevel="0" collapsed="false">
      <c r="A607" s="11" t="n">
        <v>44802</v>
      </c>
      <c r="B607" s="12" t="n">
        <v>19</v>
      </c>
      <c r="C607" s="12" t="n">
        <f aca="false">IF(NOT(ISNUMBER(B607)),"",ROUND((INDEX(BP!$D$5:$D$9,MATCH(B607,BP!$A$5:$A$9,1))-INDEX(BP!$C$5:$C$9,MATCH(B607,BP!$A$5:$A$9,1)))/(INDEX(BP!$B$5:$B$9,MATCH(B607,BP!$A$5:$A$9,1))-INDEX(BP!$A$5:$A$9,MATCH(B607,BP!$A$5:$A$9,1)))*(B607-INDEX(BP!$A$5:$A$9,MATCH(B607,BP!$A$5:$A$9,1)))+INDEX(BP!$C$5:$C$9,MATCH(B607,BP!$A$5:$A$9,1)),0))</f>
        <v>35</v>
      </c>
      <c r="D607" s="12" t="str">
        <f aca="false">IF(NOT(ISNUMBER(C607)),"",INDEX(BP!$F$5:$F$9,MATCH(C607,BP!$E$5:$E$9,1)))</f>
        <v>ดี</v>
      </c>
      <c r="E607" s="12" t="n">
        <f aca="false">YEAR(A607)</f>
        <v>2022</v>
      </c>
      <c r="F607" s="12" t="n">
        <f aca="false">MONTH(A607)</f>
        <v>8</v>
      </c>
      <c r="G607" s="12" t="n">
        <v>11.3</v>
      </c>
      <c r="H607" s="12" t="n">
        <v>26.6</v>
      </c>
      <c r="I607" s="12" t="n">
        <v>198</v>
      </c>
      <c r="J607" s="12" t="n">
        <v>14.8</v>
      </c>
      <c r="K607" s="12" t="n">
        <v>0</v>
      </c>
      <c r="L607" s="12" t="s">
        <v>36</v>
      </c>
    </row>
    <row r="608" customFormat="false" ht="15" hidden="false" customHeight="false" outlineLevel="0" collapsed="false">
      <c r="A608" s="11" t="n">
        <v>44803</v>
      </c>
      <c r="B608" s="12" t="n">
        <v>19</v>
      </c>
      <c r="C608" s="12" t="n">
        <f aca="false">IF(NOT(ISNUMBER(B608)),"",ROUND((INDEX(BP!$D$5:$D$9,MATCH(B608,BP!$A$5:$A$9,1))-INDEX(BP!$C$5:$C$9,MATCH(B608,BP!$A$5:$A$9,1)))/(INDEX(BP!$B$5:$B$9,MATCH(B608,BP!$A$5:$A$9,1))-INDEX(BP!$A$5:$A$9,MATCH(B608,BP!$A$5:$A$9,1)))*(B608-INDEX(BP!$A$5:$A$9,MATCH(B608,BP!$A$5:$A$9,1)))+INDEX(BP!$C$5:$C$9,MATCH(B608,BP!$A$5:$A$9,1)),0))</f>
        <v>35</v>
      </c>
      <c r="D608" s="12" t="str">
        <f aca="false">IF(NOT(ISNUMBER(C608)),"",INDEX(BP!$F$5:$F$9,MATCH(C608,BP!$E$5:$E$9,1)))</f>
        <v>ดี</v>
      </c>
      <c r="E608" s="12" t="n">
        <f aca="false">YEAR(A608)</f>
        <v>2022</v>
      </c>
      <c r="F608" s="12" t="n">
        <f aca="false">MONTH(A608)</f>
        <v>8</v>
      </c>
      <c r="G608" s="12" t="n">
        <v>10.4</v>
      </c>
      <c r="H608" s="12" t="n">
        <v>27</v>
      </c>
      <c r="I608" s="12" t="n">
        <v>154</v>
      </c>
      <c r="J608" s="12" t="n">
        <v>8.1</v>
      </c>
      <c r="K608" s="12" t="n">
        <v>0</v>
      </c>
      <c r="L608" s="12" t="s">
        <v>36</v>
      </c>
    </row>
    <row r="609" customFormat="false" ht="15" hidden="false" customHeight="false" outlineLevel="0" collapsed="false">
      <c r="A609" s="11" t="n">
        <v>44804</v>
      </c>
      <c r="B609" s="12" t="n">
        <v>16</v>
      </c>
      <c r="C609" s="12" t="n">
        <f aca="false">IF(NOT(ISNUMBER(B609)),"",ROUND((INDEX(BP!$D$5:$D$9,MATCH(B609,BP!$A$5:$A$9,1))-INDEX(BP!$C$5:$C$9,MATCH(B609,BP!$A$5:$A$9,1)))/(INDEX(BP!$B$5:$B$9,MATCH(B609,BP!$A$5:$A$9,1))-INDEX(BP!$A$5:$A$9,MATCH(B609,BP!$A$5:$A$9,1)))*(B609-INDEX(BP!$A$5:$A$9,MATCH(B609,BP!$A$5:$A$9,1)))+INDEX(BP!$C$5:$C$9,MATCH(B609,BP!$A$5:$A$9,1)),0))</f>
        <v>28</v>
      </c>
      <c r="D609" s="12" t="str">
        <f aca="false">IF(NOT(ISNUMBER(C609)),"",INDEX(BP!$F$5:$F$9,MATCH(C609,BP!$E$5:$E$9,1)))</f>
        <v>ดี</v>
      </c>
      <c r="E609" s="12" t="n">
        <f aca="false">YEAR(A609)</f>
        <v>2022</v>
      </c>
      <c r="F609" s="12" t="n">
        <f aca="false">MONTH(A609)</f>
        <v>8</v>
      </c>
      <c r="G609" s="12" t="n">
        <v>10.5</v>
      </c>
      <c r="H609" s="12" t="n">
        <v>23.4</v>
      </c>
      <c r="I609" s="12" t="n">
        <v>115</v>
      </c>
      <c r="J609" s="12" t="n">
        <v>5</v>
      </c>
      <c r="K609" s="12" t="n">
        <v>14.8</v>
      </c>
      <c r="L609" s="12" t="s">
        <v>36</v>
      </c>
    </row>
    <row r="610" customFormat="false" ht="15" hidden="false" customHeight="false" outlineLevel="0" collapsed="false">
      <c r="A610" s="11" t="n">
        <v>44805</v>
      </c>
      <c r="B610" s="12" t="n">
        <v>17</v>
      </c>
      <c r="C610" s="12" t="n">
        <f aca="false">IF(NOT(ISNUMBER(B610)),"",ROUND((INDEX(BP!$D$5:$D$9,MATCH(B610,BP!$A$5:$A$9,1))-INDEX(BP!$C$5:$C$9,MATCH(B610,BP!$A$5:$A$9,1)))/(INDEX(BP!$B$5:$B$9,MATCH(B610,BP!$A$5:$A$9,1))-INDEX(BP!$A$5:$A$9,MATCH(B610,BP!$A$5:$A$9,1)))*(B610-INDEX(BP!$A$5:$A$9,MATCH(B610,BP!$A$5:$A$9,1)))+INDEX(BP!$C$5:$C$9,MATCH(B610,BP!$A$5:$A$9,1)),0))</f>
        <v>31</v>
      </c>
      <c r="D610" s="12" t="str">
        <f aca="false">IF(NOT(ISNUMBER(C610)),"",INDEX(BP!$F$5:$F$9,MATCH(C610,BP!$E$5:$E$9,1)))</f>
        <v>ดี</v>
      </c>
      <c r="E610" s="12" t="n">
        <f aca="false">YEAR(A610)</f>
        <v>2022</v>
      </c>
      <c r="F610" s="12" t="n">
        <f aca="false">MONTH(A610)</f>
        <v>9</v>
      </c>
      <c r="G610" s="12" t="n">
        <v>15.1</v>
      </c>
      <c r="H610" s="12" t="n">
        <v>31.7</v>
      </c>
      <c r="I610" s="12" t="n">
        <v>229</v>
      </c>
      <c r="J610" s="12" t="n">
        <v>7.5</v>
      </c>
      <c r="K610" s="12" t="n">
        <v>4.6</v>
      </c>
      <c r="L610" s="12" t="s">
        <v>36</v>
      </c>
    </row>
    <row r="611" customFormat="false" ht="15" hidden="false" customHeight="false" outlineLevel="0" collapsed="false">
      <c r="A611" s="11" t="n">
        <v>44806</v>
      </c>
      <c r="B611" s="12" t="n">
        <v>13</v>
      </c>
      <c r="C611" s="12" t="n">
        <f aca="false">IF(NOT(ISNUMBER(B611)),"",ROUND((INDEX(BP!$D$5:$D$9,MATCH(B611,BP!$A$5:$A$9,1))-INDEX(BP!$C$5:$C$9,MATCH(B611,BP!$A$5:$A$9,1)))/(INDEX(BP!$B$5:$B$9,MATCH(B611,BP!$A$5:$A$9,1))-INDEX(BP!$A$5:$A$9,MATCH(B611,BP!$A$5:$A$9,1)))*(B611-INDEX(BP!$A$5:$A$9,MATCH(B611,BP!$A$5:$A$9,1)))+INDEX(BP!$C$5:$C$9,MATCH(B611,BP!$A$5:$A$9,1)),0))</f>
        <v>22</v>
      </c>
      <c r="D611" s="12" t="str">
        <f aca="false">IF(NOT(ISNUMBER(C611)),"",INDEX(BP!$F$5:$F$9,MATCH(C611,BP!$E$5:$E$9,1)))</f>
        <v>ดีมาก</v>
      </c>
      <c r="E611" s="12" t="n">
        <f aca="false">YEAR(A611)</f>
        <v>2022</v>
      </c>
      <c r="F611" s="12" t="n">
        <f aca="false">MONTH(A611)</f>
        <v>9</v>
      </c>
      <c r="G611" s="12" t="n">
        <v>13.6</v>
      </c>
      <c r="H611" s="12" t="n">
        <v>37.1</v>
      </c>
      <c r="I611" s="12" t="n">
        <v>228</v>
      </c>
      <c r="J611" s="12" t="n">
        <v>10</v>
      </c>
      <c r="K611" s="12" t="n">
        <v>0</v>
      </c>
      <c r="L611" s="12" t="s">
        <v>36</v>
      </c>
    </row>
    <row r="612" customFormat="false" ht="15" hidden="false" customHeight="false" outlineLevel="0" collapsed="false">
      <c r="A612" s="11" t="n">
        <v>44807</v>
      </c>
      <c r="B612" s="12" t="n">
        <v>12</v>
      </c>
      <c r="C612" s="12" t="n">
        <f aca="false">IF(NOT(ISNUMBER(B612)),"",ROUND((INDEX(BP!$D$5:$D$9,MATCH(B612,BP!$A$5:$A$9,1))-INDEX(BP!$C$5:$C$9,MATCH(B612,BP!$A$5:$A$9,1)))/(INDEX(BP!$B$5:$B$9,MATCH(B612,BP!$A$5:$A$9,1))-INDEX(BP!$A$5:$A$9,MATCH(B612,BP!$A$5:$A$9,1)))*(B612-INDEX(BP!$A$5:$A$9,MATCH(B612,BP!$A$5:$A$9,1)))+INDEX(BP!$C$5:$C$9,MATCH(B612,BP!$A$5:$A$9,1)),0))</f>
        <v>20</v>
      </c>
      <c r="D612" s="12" t="str">
        <f aca="false">IF(NOT(ISNUMBER(C612)),"",INDEX(BP!$F$5:$F$9,MATCH(C612,BP!$E$5:$E$9,1)))</f>
        <v>ดีมาก</v>
      </c>
      <c r="E612" s="12" t="n">
        <f aca="false">YEAR(A612)</f>
        <v>2022</v>
      </c>
      <c r="F612" s="12" t="n">
        <f aca="false">MONTH(A612)</f>
        <v>9</v>
      </c>
      <c r="G612" s="12" t="n">
        <v>17.7</v>
      </c>
      <c r="H612" s="12" t="n">
        <v>37.1</v>
      </c>
      <c r="I612" s="12" t="n">
        <v>231</v>
      </c>
      <c r="J612" s="12" t="n">
        <v>5.7</v>
      </c>
      <c r="K612" s="12" t="n">
        <v>0.6</v>
      </c>
      <c r="L612" s="12" t="s">
        <v>35</v>
      </c>
    </row>
    <row r="613" customFormat="false" ht="15" hidden="false" customHeight="false" outlineLevel="0" collapsed="false">
      <c r="A613" s="11" t="n">
        <v>44808</v>
      </c>
      <c r="B613" s="12" t="n">
        <v>12</v>
      </c>
      <c r="C613" s="12" t="n">
        <f aca="false">IF(NOT(ISNUMBER(B613)),"",ROUND((INDEX(BP!$D$5:$D$9,MATCH(B613,BP!$A$5:$A$9,1))-INDEX(BP!$C$5:$C$9,MATCH(B613,BP!$A$5:$A$9,1)))/(INDEX(BP!$B$5:$B$9,MATCH(B613,BP!$A$5:$A$9,1))-INDEX(BP!$A$5:$A$9,MATCH(B613,BP!$A$5:$A$9,1)))*(B613-INDEX(BP!$A$5:$A$9,MATCH(B613,BP!$A$5:$A$9,1)))+INDEX(BP!$C$5:$C$9,MATCH(B613,BP!$A$5:$A$9,1)),0))</f>
        <v>20</v>
      </c>
      <c r="D613" s="12" t="str">
        <f aca="false">IF(NOT(ISNUMBER(C613)),"",INDEX(BP!$F$5:$F$9,MATCH(C613,BP!$E$5:$E$9,1)))</f>
        <v>ดีมาก</v>
      </c>
      <c r="E613" s="12" t="n">
        <f aca="false">YEAR(A613)</f>
        <v>2022</v>
      </c>
      <c r="F613" s="12" t="n">
        <f aca="false">MONTH(A613)</f>
        <v>9</v>
      </c>
      <c r="G613" s="12" t="n">
        <v>15.3</v>
      </c>
      <c r="H613" s="12" t="n">
        <v>35.3</v>
      </c>
      <c r="I613" s="12" t="n">
        <v>234</v>
      </c>
      <c r="J613" s="12" t="n">
        <v>0.2</v>
      </c>
      <c r="K613" s="12" t="n">
        <v>0</v>
      </c>
      <c r="L613" s="12" t="s">
        <v>35</v>
      </c>
    </row>
    <row r="614" customFormat="false" ht="15" hidden="false" customHeight="false" outlineLevel="0" collapsed="false">
      <c r="A614" s="11" t="n">
        <v>44809</v>
      </c>
      <c r="B614" s="12" t="n">
        <v>19</v>
      </c>
      <c r="C614" s="12" t="n">
        <f aca="false">IF(NOT(ISNUMBER(B614)),"",ROUND((INDEX(BP!$D$5:$D$9,MATCH(B614,BP!$A$5:$A$9,1))-INDEX(BP!$C$5:$C$9,MATCH(B614,BP!$A$5:$A$9,1)))/(INDEX(BP!$B$5:$B$9,MATCH(B614,BP!$A$5:$A$9,1))-INDEX(BP!$A$5:$A$9,MATCH(B614,BP!$A$5:$A$9,1)))*(B614-INDEX(BP!$A$5:$A$9,MATCH(B614,BP!$A$5:$A$9,1)))+INDEX(BP!$C$5:$C$9,MATCH(B614,BP!$A$5:$A$9,1)),0))</f>
        <v>35</v>
      </c>
      <c r="D614" s="12" t="str">
        <f aca="false">IF(NOT(ISNUMBER(C614)),"",INDEX(BP!$F$5:$F$9,MATCH(C614,BP!$E$5:$E$9,1)))</f>
        <v>ดี</v>
      </c>
      <c r="E614" s="12" t="n">
        <f aca="false">YEAR(A614)</f>
        <v>2022</v>
      </c>
      <c r="F614" s="12" t="n">
        <f aca="false">MONTH(A614)</f>
        <v>9</v>
      </c>
      <c r="G614" s="12" t="n">
        <v>9.8</v>
      </c>
      <c r="H614" s="12" t="n">
        <v>28.8</v>
      </c>
      <c r="I614" s="12" t="n">
        <v>244</v>
      </c>
      <c r="J614" s="12" t="n">
        <v>0.4</v>
      </c>
      <c r="K614" s="12" t="n">
        <v>0</v>
      </c>
      <c r="L614" s="12" t="s">
        <v>36</v>
      </c>
    </row>
    <row r="615" customFormat="false" ht="15" hidden="false" customHeight="false" outlineLevel="0" collapsed="false">
      <c r="A615" s="11" t="n">
        <v>44810</v>
      </c>
      <c r="B615" s="12" t="n">
        <v>15</v>
      </c>
      <c r="C615" s="12" t="n">
        <f aca="false">IF(NOT(ISNUMBER(B615)),"",ROUND((INDEX(BP!$D$5:$D$9,MATCH(B615,BP!$A$5:$A$9,1))-INDEX(BP!$C$5:$C$9,MATCH(B615,BP!$A$5:$A$9,1)))/(INDEX(BP!$B$5:$B$9,MATCH(B615,BP!$A$5:$A$9,1))-INDEX(BP!$A$5:$A$9,MATCH(B615,BP!$A$5:$A$9,1)))*(B615-INDEX(BP!$A$5:$A$9,MATCH(B615,BP!$A$5:$A$9,1)))+INDEX(BP!$C$5:$C$9,MATCH(B615,BP!$A$5:$A$9,1)),0))</f>
        <v>25</v>
      </c>
      <c r="D615" s="12" t="str">
        <f aca="false">IF(NOT(ISNUMBER(C615)),"",INDEX(BP!$F$5:$F$9,MATCH(C615,BP!$E$5:$E$9,1)))</f>
        <v>ดีมาก</v>
      </c>
      <c r="E615" s="12" t="n">
        <f aca="false">YEAR(A615)</f>
        <v>2022</v>
      </c>
      <c r="F615" s="12" t="n">
        <f aca="false">MONTH(A615)</f>
        <v>9</v>
      </c>
      <c r="G615" s="12" t="n">
        <v>11.2</v>
      </c>
      <c r="H615" s="12" t="n">
        <v>31</v>
      </c>
      <c r="I615" s="12" t="n">
        <v>273</v>
      </c>
      <c r="J615" s="12" t="n">
        <v>2.1</v>
      </c>
      <c r="K615" s="12" t="n">
        <v>6.6</v>
      </c>
      <c r="L615" s="12" t="s">
        <v>36</v>
      </c>
    </row>
    <row r="616" customFormat="false" ht="15" hidden="false" customHeight="false" outlineLevel="0" collapsed="false">
      <c r="A616" s="11" t="n">
        <v>44811</v>
      </c>
      <c r="B616" s="12" t="n">
        <v>14</v>
      </c>
      <c r="C616" s="12" t="n">
        <f aca="false">IF(NOT(ISNUMBER(B616)),"",ROUND((INDEX(BP!$D$5:$D$9,MATCH(B616,BP!$A$5:$A$9,1))-INDEX(BP!$C$5:$C$9,MATCH(B616,BP!$A$5:$A$9,1)))/(INDEX(BP!$B$5:$B$9,MATCH(B616,BP!$A$5:$A$9,1))-INDEX(BP!$A$5:$A$9,MATCH(B616,BP!$A$5:$A$9,1)))*(B616-INDEX(BP!$A$5:$A$9,MATCH(B616,BP!$A$5:$A$9,1)))+INDEX(BP!$C$5:$C$9,MATCH(B616,BP!$A$5:$A$9,1)),0))</f>
        <v>23</v>
      </c>
      <c r="D616" s="12" t="str">
        <f aca="false">IF(NOT(ISNUMBER(C616)),"",INDEX(BP!$F$5:$F$9,MATCH(C616,BP!$E$5:$E$9,1)))</f>
        <v>ดีมาก</v>
      </c>
      <c r="E616" s="12" t="n">
        <f aca="false">YEAR(A616)</f>
        <v>2022</v>
      </c>
      <c r="F616" s="12" t="n">
        <f aca="false">MONTH(A616)</f>
        <v>9</v>
      </c>
      <c r="G616" s="12" t="n">
        <v>19.1</v>
      </c>
      <c r="H616" s="12" t="n">
        <v>40.7</v>
      </c>
      <c r="I616" s="12" t="n">
        <v>253</v>
      </c>
      <c r="J616" s="12" t="n">
        <v>0</v>
      </c>
      <c r="K616" s="12" t="n">
        <v>0.4</v>
      </c>
      <c r="L616" s="12" t="s">
        <v>36</v>
      </c>
    </row>
    <row r="617" customFormat="false" ht="15" hidden="false" customHeight="false" outlineLevel="0" collapsed="false">
      <c r="A617" s="11" t="n">
        <v>44812</v>
      </c>
      <c r="B617" s="12" t="n">
        <v>13</v>
      </c>
      <c r="C617" s="12" t="n">
        <f aca="false">IF(NOT(ISNUMBER(B617)),"",ROUND((INDEX(BP!$D$5:$D$9,MATCH(B617,BP!$A$5:$A$9,1))-INDEX(BP!$C$5:$C$9,MATCH(B617,BP!$A$5:$A$9,1)))/(INDEX(BP!$B$5:$B$9,MATCH(B617,BP!$A$5:$A$9,1))-INDEX(BP!$A$5:$A$9,MATCH(B617,BP!$A$5:$A$9,1)))*(B617-INDEX(BP!$A$5:$A$9,MATCH(B617,BP!$A$5:$A$9,1)))+INDEX(BP!$C$5:$C$9,MATCH(B617,BP!$A$5:$A$9,1)),0))</f>
        <v>22</v>
      </c>
      <c r="D617" s="12" t="str">
        <f aca="false">IF(NOT(ISNUMBER(C617)),"",INDEX(BP!$F$5:$F$9,MATCH(C617,BP!$E$5:$E$9,1)))</f>
        <v>ดีมาก</v>
      </c>
      <c r="E617" s="12" t="n">
        <f aca="false">YEAR(A617)</f>
        <v>2022</v>
      </c>
      <c r="F617" s="12" t="n">
        <f aca="false">MONTH(A617)</f>
        <v>9</v>
      </c>
      <c r="G617" s="12" t="n">
        <v>16.5</v>
      </c>
      <c r="H617" s="12" t="n">
        <v>38.2</v>
      </c>
      <c r="I617" s="12" t="n">
        <v>248</v>
      </c>
      <c r="J617" s="12" t="n">
        <v>0.1</v>
      </c>
      <c r="K617" s="12" t="n">
        <v>0</v>
      </c>
      <c r="L617" s="12" t="s">
        <v>36</v>
      </c>
    </row>
    <row r="618" customFormat="false" ht="15" hidden="false" customHeight="false" outlineLevel="0" collapsed="false">
      <c r="A618" s="11" t="n">
        <v>44813</v>
      </c>
      <c r="B618" s="12" t="n">
        <v>16</v>
      </c>
      <c r="C618" s="12" t="n">
        <f aca="false">IF(NOT(ISNUMBER(B618)),"",ROUND((INDEX(BP!$D$5:$D$9,MATCH(B618,BP!$A$5:$A$9,1))-INDEX(BP!$C$5:$C$9,MATCH(B618,BP!$A$5:$A$9,1)))/(INDEX(BP!$B$5:$B$9,MATCH(B618,BP!$A$5:$A$9,1))-INDEX(BP!$A$5:$A$9,MATCH(B618,BP!$A$5:$A$9,1)))*(B618-INDEX(BP!$A$5:$A$9,MATCH(B618,BP!$A$5:$A$9,1)))+INDEX(BP!$C$5:$C$9,MATCH(B618,BP!$A$5:$A$9,1)),0))</f>
        <v>28</v>
      </c>
      <c r="D618" s="12" t="str">
        <f aca="false">IF(NOT(ISNUMBER(C618)),"",INDEX(BP!$F$5:$F$9,MATCH(C618,BP!$E$5:$E$9,1)))</f>
        <v>ดี</v>
      </c>
      <c r="E618" s="12" t="n">
        <f aca="false">YEAR(A618)</f>
        <v>2022</v>
      </c>
      <c r="F618" s="12" t="n">
        <f aca="false">MONTH(A618)</f>
        <v>9</v>
      </c>
      <c r="G618" s="12" t="n">
        <v>11</v>
      </c>
      <c r="H618" s="12" t="n">
        <v>28.1</v>
      </c>
      <c r="I618" s="12" t="n">
        <v>276</v>
      </c>
      <c r="J618" s="12" t="n">
        <v>1.6</v>
      </c>
      <c r="K618" s="12" t="n">
        <v>1.6</v>
      </c>
      <c r="L618" s="12" t="s">
        <v>36</v>
      </c>
    </row>
    <row r="619" customFormat="false" ht="15" hidden="false" customHeight="false" outlineLevel="0" collapsed="false">
      <c r="A619" s="11" t="n">
        <v>44814</v>
      </c>
      <c r="B619" s="12" t="n">
        <v>17</v>
      </c>
      <c r="C619" s="12" t="n">
        <f aca="false">IF(NOT(ISNUMBER(B619)),"",ROUND((INDEX(BP!$D$5:$D$9,MATCH(B619,BP!$A$5:$A$9,1))-INDEX(BP!$C$5:$C$9,MATCH(B619,BP!$A$5:$A$9,1)))/(INDEX(BP!$B$5:$B$9,MATCH(B619,BP!$A$5:$A$9,1))-INDEX(BP!$A$5:$A$9,MATCH(B619,BP!$A$5:$A$9,1)))*(B619-INDEX(BP!$A$5:$A$9,MATCH(B619,BP!$A$5:$A$9,1)))+INDEX(BP!$C$5:$C$9,MATCH(B619,BP!$A$5:$A$9,1)),0))</f>
        <v>31</v>
      </c>
      <c r="D619" s="12" t="str">
        <f aca="false">IF(NOT(ISNUMBER(C619)),"",INDEX(BP!$F$5:$F$9,MATCH(C619,BP!$E$5:$E$9,1)))</f>
        <v>ดี</v>
      </c>
      <c r="E619" s="12" t="n">
        <f aca="false">YEAR(A619)</f>
        <v>2022</v>
      </c>
      <c r="F619" s="12" t="n">
        <f aca="false">MONTH(A619)</f>
        <v>9</v>
      </c>
      <c r="G619" s="12" t="n">
        <v>13.1</v>
      </c>
      <c r="H619" s="12" t="n">
        <v>32</v>
      </c>
      <c r="I619" s="12" t="n">
        <v>98</v>
      </c>
      <c r="J619" s="12" t="n">
        <v>0.8</v>
      </c>
      <c r="K619" s="12" t="n">
        <v>2.6</v>
      </c>
      <c r="L619" s="12" t="s">
        <v>35</v>
      </c>
    </row>
    <row r="620" customFormat="false" ht="15" hidden="false" customHeight="false" outlineLevel="0" collapsed="false">
      <c r="A620" s="11" t="n">
        <v>44815</v>
      </c>
      <c r="B620" s="12" t="n">
        <v>19</v>
      </c>
      <c r="C620" s="12" t="n">
        <f aca="false">IF(NOT(ISNUMBER(B620)),"",ROUND((INDEX(BP!$D$5:$D$9,MATCH(B620,BP!$A$5:$A$9,1))-INDEX(BP!$C$5:$C$9,MATCH(B620,BP!$A$5:$A$9,1)))/(INDEX(BP!$B$5:$B$9,MATCH(B620,BP!$A$5:$A$9,1))-INDEX(BP!$A$5:$A$9,MATCH(B620,BP!$A$5:$A$9,1)))*(B620-INDEX(BP!$A$5:$A$9,MATCH(B620,BP!$A$5:$A$9,1)))+INDEX(BP!$C$5:$C$9,MATCH(B620,BP!$A$5:$A$9,1)),0))</f>
        <v>35</v>
      </c>
      <c r="D620" s="12" t="str">
        <f aca="false">IF(NOT(ISNUMBER(C620)),"",INDEX(BP!$F$5:$F$9,MATCH(C620,BP!$E$5:$E$9,1)))</f>
        <v>ดี</v>
      </c>
      <c r="E620" s="12" t="n">
        <f aca="false">YEAR(A620)</f>
        <v>2022</v>
      </c>
      <c r="F620" s="12" t="n">
        <f aca="false">MONTH(A620)</f>
        <v>9</v>
      </c>
      <c r="G620" s="12" t="n">
        <v>9.4</v>
      </c>
      <c r="H620" s="12" t="n">
        <v>27</v>
      </c>
      <c r="I620" s="12" t="n">
        <v>194</v>
      </c>
      <c r="J620" s="12" t="n">
        <v>8.5</v>
      </c>
      <c r="K620" s="12" t="n">
        <v>10.4</v>
      </c>
      <c r="L620" s="12" t="s">
        <v>35</v>
      </c>
    </row>
    <row r="621" customFormat="false" ht="15" hidden="false" customHeight="false" outlineLevel="0" collapsed="false">
      <c r="A621" s="11" t="n">
        <v>44816</v>
      </c>
      <c r="B621" s="12" t="n">
        <v>20</v>
      </c>
      <c r="C621" s="12" t="n">
        <f aca="false">IF(NOT(ISNUMBER(B621)),"",ROUND((INDEX(BP!$D$5:$D$9,MATCH(B621,BP!$A$5:$A$9,1))-INDEX(BP!$C$5:$C$9,MATCH(B621,BP!$A$5:$A$9,1)))/(INDEX(BP!$B$5:$B$9,MATCH(B621,BP!$A$5:$A$9,1))-INDEX(BP!$A$5:$A$9,MATCH(B621,BP!$A$5:$A$9,1)))*(B621-INDEX(BP!$A$5:$A$9,MATCH(B621,BP!$A$5:$A$9,1)))+INDEX(BP!$C$5:$C$9,MATCH(B621,BP!$A$5:$A$9,1)),0))</f>
        <v>38</v>
      </c>
      <c r="D621" s="12" t="str">
        <f aca="false">IF(NOT(ISNUMBER(C621)),"",INDEX(BP!$F$5:$F$9,MATCH(C621,BP!$E$5:$E$9,1)))</f>
        <v>ดี</v>
      </c>
      <c r="E621" s="12" t="n">
        <f aca="false">YEAR(A621)</f>
        <v>2022</v>
      </c>
      <c r="F621" s="12" t="n">
        <f aca="false">MONTH(A621)</f>
        <v>9</v>
      </c>
      <c r="G621" s="12" t="n">
        <v>10.2</v>
      </c>
      <c r="H621" s="12" t="n">
        <v>27.4</v>
      </c>
      <c r="I621" s="12" t="n">
        <v>246</v>
      </c>
      <c r="J621" s="12" t="n">
        <v>7.7</v>
      </c>
      <c r="K621" s="12" t="n">
        <v>1</v>
      </c>
      <c r="L621" s="12" t="s">
        <v>36</v>
      </c>
    </row>
    <row r="622" customFormat="false" ht="15" hidden="false" customHeight="false" outlineLevel="0" collapsed="false">
      <c r="A622" s="11" t="n">
        <v>44817</v>
      </c>
      <c r="B622" s="12" t="n">
        <v>16</v>
      </c>
      <c r="C622" s="12" t="n">
        <f aca="false">IF(NOT(ISNUMBER(B622)),"",ROUND((INDEX(BP!$D$5:$D$9,MATCH(B622,BP!$A$5:$A$9,1))-INDEX(BP!$C$5:$C$9,MATCH(B622,BP!$A$5:$A$9,1)))/(INDEX(BP!$B$5:$B$9,MATCH(B622,BP!$A$5:$A$9,1))-INDEX(BP!$A$5:$A$9,MATCH(B622,BP!$A$5:$A$9,1)))*(B622-INDEX(BP!$A$5:$A$9,MATCH(B622,BP!$A$5:$A$9,1)))+INDEX(BP!$C$5:$C$9,MATCH(B622,BP!$A$5:$A$9,1)),0))</f>
        <v>28</v>
      </c>
      <c r="D622" s="12" t="str">
        <f aca="false">IF(NOT(ISNUMBER(C622)),"",INDEX(BP!$F$5:$F$9,MATCH(C622,BP!$E$5:$E$9,1)))</f>
        <v>ดี</v>
      </c>
      <c r="E622" s="12" t="n">
        <f aca="false">YEAR(A622)</f>
        <v>2022</v>
      </c>
      <c r="F622" s="12" t="n">
        <f aca="false">MONTH(A622)</f>
        <v>9</v>
      </c>
      <c r="G622" s="12" t="n">
        <v>13</v>
      </c>
      <c r="H622" s="12" t="n">
        <v>28.4</v>
      </c>
      <c r="I622" s="12" t="n">
        <v>246</v>
      </c>
      <c r="J622" s="12" t="n">
        <v>9.4</v>
      </c>
      <c r="K622" s="12" t="n">
        <v>0</v>
      </c>
      <c r="L622" s="12" t="s">
        <v>36</v>
      </c>
    </row>
    <row r="623" customFormat="false" ht="15" hidden="false" customHeight="false" outlineLevel="0" collapsed="false">
      <c r="A623" s="11" t="n">
        <v>44818</v>
      </c>
      <c r="B623" s="12" t="n">
        <v>17</v>
      </c>
      <c r="C623" s="12" t="n">
        <f aca="false">IF(NOT(ISNUMBER(B623)),"",ROUND((INDEX(BP!$D$5:$D$9,MATCH(B623,BP!$A$5:$A$9,1))-INDEX(BP!$C$5:$C$9,MATCH(B623,BP!$A$5:$A$9,1)))/(INDEX(BP!$B$5:$B$9,MATCH(B623,BP!$A$5:$A$9,1))-INDEX(BP!$A$5:$A$9,MATCH(B623,BP!$A$5:$A$9,1)))*(B623-INDEX(BP!$A$5:$A$9,MATCH(B623,BP!$A$5:$A$9,1)))+INDEX(BP!$C$5:$C$9,MATCH(B623,BP!$A$5:$A$9,1)),0))</f>
        <v>31</v>
      </c>
      <c r="D623" s="12" t="str">
        <f aca="false">IF(NOT(ISNUMBER(C623)),"",INDEX(BP!$F$5:$F$9,MATCH(C623,BP!$E$5:$E$9,1)))</f>
        <v>ดี</v>
      </c>
      <c r="E623" s="12" t="n">
        <f aca="false">YEAR(A623)</f>
        <v>2022</v>
      </c>
      <c r="F623" s="12" t="n">
        <f aca="false">MONTH(A623)</f>
        <v>9</v>
      </c>
      <c r="G623" s="12" t="n">
        <v>17.5</v>
      </c>
      <c r="H623" s="12" t="n">
        <v>41.4</v>
      </c>
      <c r="I623" s="12" t="n">
        <v>238</v>
      </c>
      <c r="J623" s="12" t="n">
        <v>0.8</v>
      </c>
      <c r="K623" s="12" t="n">
        <v>5</v>
      </c>
      <c r="L623" s="12" t="s">
        <v>36</v>
      </c>
    </row>
    <row r="624" customFormat="false" ht="15" hidden="false" customHeight="false" outlineLevel="0" collapsed="false">
      <c r="A624" s="11" t="n">
        <v>44819</v>
      </c>
      <c r="B624" s="12" t="n">
        <v>19</v>
      </c>
      <c r="C624" s="12" t="n">
        <f aca="false">IF(NOT(ISNUMBER(B624)),"",ROUND((INDEX(BP!$D$5:$D$9,MATCH(B624,BP!$A$5:$A$9,1))-INDEX(BP!$C$5:$C$9,MATCH(B624,BP!$A$5:$A$9,1)))/(INDEX(BP!$B$5:$B$9,MATCH(B624,BP!$A$5:$A$9,1))-INDEX(BP!$A$5:$A$9,MATCH(B624,BP!$A$5:$A$9,1)))*(B624-INDEX(BP!$A$5:$A$9,MATCH(B624,BP!$A$5:$A$9,1)))+INDEX(BP!$C$5:$C$9,MATCH(B624,BP!$A$5:$A$9,1)),0))</f>
        <v>35</v>
      </c>
      <c r="D624" s="12" t="str">
        <f aca="false">IF(NOT(ISNUMBER(C624)),"",INDEX(BP!$F$5:$F$9,MATCH(C624,BP!$E$5:$E$9,1)))</f>
        <v>ดี</v>
      </c>
      <c r="E624" s="12" t="n">
        <f aca="false">YEAR(A624)</f>
        <v>2022</v>
      </c>
      <c r="F624" s="12" t="n">
        <f aca="false">MONTH(A624)</f>
        <v>9</v>
      </c>
      <c r="G624" s="12" t="n">
        <v>18.5</v>
      </c>
      <c r="H624" s="12" t="n">
        <v>41.8</v>
      </c>
      <c r="I624" s="12" t="n">
        <v>232</v>
      </c>
      <c r="J624" s="12" t="n">
        <v>2.1</v>
      </c>
      <c r="K624" s="12" t="n">
        <v>0</v>
      </c>
      <c r="L624" s="12" t="s">
        <v>36</v>
      </c>
    </row>
    <row r="625" customFormat="false" ht="15" hidden="false" customHeight="false" outlineLevel="0" collapsed="false">
      <c r="A625" s="11" t="n">
        <v>44820</v>
      </c>
      <c r="B625" s="12" t="n">
        <v>17</v>
      </c>
      <c r="C625" s="12" t="n">
        <f aca="false">IF(NOT(ISNUMBER(B625)),"",ROUND((INDEX(BP!$D$5:$D$9,MATCH(B625,BP!$A$5:$A$9,1))-INDEX(BP!$C$5:$C$9,MATCH(B625,BP!$A$5:$A$9,1)))/(INDEX(BP!$B$5:$B$9,MATCH(B625,BP!$A$5:$A$9,1))-INDEX(BP!$A$5:$A$9,MATCH(B625,BP!$A$5:$A$9,1)))*(B625-INDEX(BP!$A$5:$A$9,MATCH(B625,BP!$A$5:$A$9,1)))+INDEX(BP!$C$5:$C$9,MATCH(B625,BP!$A$5:$A$9,1)),0))</f>
        <v>31</v>
      </c>
      <c r="D625" s="12" t="str">
        <f aca="false">IF(NOT(ISNUMBER(C625)),"",INDEX(BP!$F$5:$F$9,MATCH(C625,BP!$E$5:$E$9,1)))</f>
        <v>ดี</v>
      </c>
      <c r="E625" s="12" t="n">
        <f aca="false">YEAR(A625)</f>
        <v>2022</v>
      </c>
      <c r="F625" s="12" t="n">
        <f aca="false">MONTH(A625)</f>
        <v>9</v>
      </c>
      <c r="G625" s="12" t="n">
        <v>15</v>
      </c>
      <c r="H625" s="12" t="n">
        <v>33.5</v>
      </c>
      <c r="I625" s="12" t="n">
        <v>229</v>
      </c>
      <c r="J625" s="12" t="n">
        <v>7</v>
      </c>
      <c r="K625" s="12" t="n">
        <v>1.4</v>
      </c>
      <c r="L625" s="12" t="s">
        <v>36</v>
      </c>
    </row>
    <row r="626" customFormat="false" ht="15" hidden="false" customHeight="false" outlineLevel="0" collapsed="false">
      <c r="A626" s="11" t="n">
        <v>44821</v>
      </c>
      <c r="B626" s="12" t="n">
        <v>15</v>
      </c>
      <c r="C626" s="12" t="n">
        <f aca="false">IF(NOT(ISNUMBER(B626)),"",ROUND((INDEX(BP!$D$5:$D$9,MATCH(B626,BP!$A$5:$A$9,1))-INDEX(BP!$C$5:$C$9,MATCH(B626,BP!$A$5:$A$9,1)))/(INDEX(BP!$B$5:$B$9,MATCH(B626,BP!$A$5:$A$9,1))-INDEX(BP!$A$5:$A$9,MATCH(B626,BP!$A$5:$A$9,1)))*(B626-INDEX(BP!$A$5:$A$9,MATCH(B626,BP!$A$5:$A$9,1)))+INDEX(BP!$C$5:$C$9,MATCH(B626,BP!$A$5:$A$9,1)),0))</f>
        <v>25</v>
      </c>
      <c r="D626" s="12" t="str">
        <f aca="false">IF(NOT(ISNUMBER(C626)),"",INDEX(BP!$F$5:$F$9,MATCH(C626,BP!$E$5:$E$9,1)))</f>
        <v>ดีมาก</v>
      </c>
      <c r="E626" s="12" t="n">
        <f aca="false">YEAR(A626)</f>
        <v>2022</v>
      </c>
      <c r="F626" s="12" t="n">
        <f aca="false">MONTH(A626)</f>
        <v>9</v>
      </c>
      <c r="G626" s="12" t="n">
        <v>16.5</v>
      </c>
      <c r="H626" s="12" t="n">
        <v>34.2</v>
      </c>
      <c r="I626" s="12" t="n">
        <v>240</v>
      </c>
      <c r="J626" s="12" t="n">
        <v>0.6</v>
      </c>
      <c r="K626" s="12" t="n">
        <v>0.4</v>
      </c>
      <c r="L626" s="12" t="s">
        <v>35</v>
      </c>
    </row>
    <row r="627" customFormat="false" ht="15" hidden="false" customHeight="false" outlineLevel="0" collapsed="false">
      <c r="A627" s="11" t="n">
        <v>44822</v>
      </c>
      <c r="B627" s="12" t="n">
        <v>14</v>
      </c>
      <c r="C627" s="12" t="n">
        <f aca="false">IF(NOT(ISNUMBER(B627)),"",ROUND((INDEX(BP!$D$5:$D$9,MATCH(B627,BP!$A$5:$A$9,1))-INDEX(BP!$C$5:$C$9,MATCH(B627,BP!$A$5:$A$9,1)))/(INDEX(BP!$B$5:$B$9,MATCH(B627,BP!$A$5:$A$9,1))-INDEX(BP!$A$5:$A$9,MATCH(B627,BP!$A$5:$A$9,1)))*(B627-INDEX(BP!$A$5:$A$9,MATCH(B627,BP!$A$5:$A$9,1)))+INDEX(BP!$C$5:$C$9,MATCH(B627,BP!$A$5:$A$9,1)),0))</f>
        <v>23</v>
      </c>
      <c r="D627" s="12" t="str">
        <f aca="false">IF(NOT(ISNUMBER(C627)),"",INDEX(BP!$F$5:$F$9,MATCH(C627,BP!$E$5:$E$9,1)))</f>
        <v>ดีมาก</v>
      </c>
      <c r="E627" s="12" t="n">
        <f aca="false">YEAR(A627)</f>
        <v>2022</v>
      </c>
      <c r="F627" s="12" t="n">
        <f aca="false">MONTH(A627)</f>
        <v>9</v>
      </c>
      <c r="G627" s="12" t="n">
        <v>20.1</v>
      </c>
      <c r="H627" s="12" t="n">
        <v>45.7</v>
      </c>
      <c r="I627" s="12" t="n">
        <v>240</v>
      </c>
      <c r="J627" s="12" t="n">
        <v>0</v>
      </c>
      <c r="K627" s="12" t="n">
        <v>0.2</v>
      </c>
      <c r="L627" s="12" t="s">
        <v>35</v>
      </c>
    </row>
    <row r="628" customFormat="false" ht="15" hidden="false" customHeight="false" outlineLevel="0" collapsed="false">
      <c r="A628" s="11" t="n">
        <v>44823</v>
      </c>
      <c r="B628" s="12" t="n">
        <v>16</v>
      </c>
      <c r="C628" s="12" t="n">
        <f aca="false">IF(NOT(ISNUMBER(B628)),"",ROUND((INDEX(BP!$D$5:$D$9,MATCH(B628,BP!$A$5:$A$9,1))-INDEX(BP!$C$5:$C$9,MATCH(B628,BP!$A$5:$A$9,1)))/(INDEX(BP!$B$5:$B$9,MATCH(B628,BP!$A$5:$A$9,1))-INDEX(BP!$A$5:$A$9,MATCH(B628,BP!$A$5:$A$9,1)))*(B628-INDEX(BP!$A$5:$A$9,MATCH(B628,BP!$A$5:$A$9,1)))+INDEX(BP!$C$5:$C$9,MATCH(B628,BP!$A$5:$A$9,1)),0))</f>
        <v>28</v>
      </c>
      <c r="D628" s="12" t="str">
        <f aca="false">IF(NOT(ISNUMBER(C628)),"",INDEX(BP!$F$5:$F$9,MATCH(C628,BP!$E$5:$E$9,1)))</f>
        <v>ดี</v>
      </c>
      <c r="E628" s="12" t="n">
        <f aca="false">YEAR(A628)</f>
        <v>2022</v>
      </c>
      <c r="F628" s="12" t="n">
        <f aca="false">MONTH(A628)</f>
        <v>9</v>
      </c>
      <c r="G628" s="12" t="n">
        <v>15.6</v>
      </c>
      <c r="H628" s="12" t="n">
        <v>35.6</v>
      </c>
      <c r="I628" s="12" t="n">
        <v>249</v>
      </c>
      <c r="J628" s="12" t="n">
        <v>2.4</v>
      </c>
      <c r="K628" s="12" t="n">
        <v>0</v>
      </c>
      <c r="L628" s="12" t="s">
        <v>36</v>
      </c>
    </row>
    <row r="629" customFormat="false" ht="15" hidden="false" customHeight="false" outlineLevel="0" collapsed="false">
      <c r="A629" s="11" t="n">
        <v>44824</v>
      </c>
      <c r="B629" s="12" t="n">
        <v>18</v>
      </c>
      <c r="C629" s="12" t="n">
        <f aca="false">IF(NOT(ISNUMBER(B629)),"",ROUND((INDEX(BP!$D$5:$D$9,MATCH(B629,BP!$A$5:$A$9,1))-INDEX(BP!$C$5:$C$9,MATCH(B629,BP!$A$5:$A$9,1)))/(INDEX(BP!$B$5:$B$9,MATCH(B629,BP!$A$5:$A$9,1))-INDEX(BP!$A$5:$A$9,MATCH(B629,BP!$A$5:$A$9,1)))*(B629-INDEX(BP!$A$5:$A$9,MATCH(B629,BP!$A$5:$A$9,1)))+INDEX(BP!$C$5:$C$9,MATCH(B629,BP!$A$5:$A$9,1)),0))</f>
        <v>33</v>
      </c>
      <c r="D629" s="12" t="str">
        <f aca="false">IF(NOT(ISNUMBER(C629)),"",INDEX(BP!$F$5:$F$9,MATCH(C629,BP!$E$5:$E$9,1)))</f>
        <v>ดี</v>
      </c>
      <c r="E629" s="12" t="n">
        <f aca="false">YEAR(A629)</f>
        <v>2022</v>
      </c>
      <c r="F629" s="12" t="n">
        <f aca="false">MONTH(A629)</f>
        <v>9</v>
      </c>
      <c r="G629" s="12" t="n">
        <v>13.2</v>
      </c>
      <c r="H629" s="12" t="n">
        <v>33.8</v>
      </c>
      <c r="I629" s="12" t="n">
        <v>252</v>
      </c>
      <c r="J629" s="12" t="n">
        <v>3.4</v>
      </c>
      <c r="K629" s="12" t="n">
        <v>19.4</v>
      </c>
      <c r="L629" s="12" t="s">
        <v>36</v>
      </c>
    </row>
    <row r="630" customFormat="false" ht="15" hidden="false" customHeight="false" outlineLevel="0" collapsed="false">
      <c r="A630" s="11" t="n">
        <v>44825</v>
      </c>
      <c r="B630" s="12" t="n">
        <v>16</v>
      </c>
      <c r="C630" s="12" t="n">
        <f aca="false">IF(NOT(ISNUMBER(B630)),"",ROUND((INDEX(BP!$D$5:$D$9,MATCH(B630,BP!$A$5:$A$9,1))-INDEX(BP!$C$5:$C$9,MATCH(B630,BP!$A$5:$A$9,1)))/(INDEX(BP!$B$5:$B$9,MATCH(B630,BP!$A$5:$A$9,1))-INDEX(BP!$A$5:$A$9,MATCH(B630,BP!$A$5:$A$9,1)))*(B630-INDEX(BP!$A$5:$A$9,MATCH(B630,BP!$A$5:$A$9,1)))+INDEX(BP!$C$5:$C$9,MATCH(B630,BP!$A$5:$A$9,1)),0))</f>
        <v>28</v>
      </c>
      <c r="D630" s="12" t="str">
        <f aca="false">IF(NOT(ISNUMBER(C630)),"",INDEX(BP!$F$5:$F$9,MATCH(C630,BP!$E$5:$E$9,1)))</f>
        <v>ดี</v>
      </c>
      <c r="E630" s="12" t="n">
        <f aca="false">YEAR(A630)</f>
        <v>2022</v>
      </c>
      <c r="F630" s="12" t="n">
        <f aca="false">MONTH(A630)</f>
        <v>9</v>
      </c>
      <c r="G630" s="12" t="n">
        <v>13.1</v>
      </c>
      <c r="H630" s="12" t="n">
        <v>30.6</v>
      </c>
      <c r="I630" s="12" t="n">
        <v>242</v>
      </c>
      <c r="J630" s="12" t="n">
        <v>4.4</v>
      </c>
      <c r="K630" s="12" t="n">
        <v>7.4</v>
      </c>
      <c r="L630" s="12" t="s">
        <v>36</v>
      </c>
    </row>
    <row r="631" customFormat="false" ht="15" hidden="false" customHeight="false" outlineLevel="0" collapsed="false">
      <c r="A631" s="11" t="n">
        <v>44826</v>
      </c>
      <c r="B631" s="12" t="n">
        <v>14</v>
      </c>
      <c r="C631" s="12" t="n">
        <f aca="false">IF(NOT(ISNUMBER(B631)),"",ROUND((INDEX(BP!$D$5:$D$9,MATCH(B631,BP!$A$5:$A$9,1))-INDEX(BP!$C$5:$C$9,MATCH(B631,BP!$A$5:$A$9,1)))/(INDEX(BP!$B$5:$B$9,MATCH(B631,BP!$A$5:$A$9,1))-INDEX(BP!$A$5:$A$9,MATCH(B631,BP!$A$5:$A$9,1)))*(B631-INDEX(BP!$A$5:$A$9,MATCH(B631,BP!$A$5:$A$9,1)))+INDEX(BP!$C$5:$C$9,MATCH(B631,BP!$A$5:$A$9,1)),0))</f>
        <v>23</v>
      </c>
      <c r="D631" s="12" t="str">
        <f aca="false">IF(NOT(ISNUMBER(C631)),"",INDEX(BP!$F$5:$F$9,MATCH(C631,BP!$E$5:$E$9,1)))</f>
        <v>ดีมาก</v>
      </c>
      <c r="E631" s="12" t="n">
        <f aca="false">YEAR(A631)</f>
        <v>2022</v>
      </c>
      <c r="F631" s="12" t="n">
        <f aca="false">MONTH(A631)</f>
        <v>9</v>
      </c>
      <c r="G631" s="12" t="n">
        <v>18.8</v>
      </c>
      <c r="H631" s="12" t="n">
        <v>41.4</v>
      </c>
      <c r="I631" s="12" t="n">
        <v>234</v>
      </c>
      <c r="J631" s="12" t="n">
        <v>0.8</v>
      </c>
      <c r="K631" s="12" t="n">
        <v>2.2</v>
      </c>
      <c r="L631" s="12" t="s">
        <v>36</v>
      </c>
    </row>
    <row r="632" customFormat="false" ht="15" hidden="false" customHeight="false" outlineLevel="0" collapsed="false">
      <c r="A632" s="11" t="n">
        <v>44827</v>
      </c>
      <c r="B632" s="12" t="n">
        <v>16</v>
      </c>
      <c r="C632" s="12" t="n">
        <f aca="false">IF(NOT(ISNUMBER(B632)),"",ROUND((INDEX(BP!$D$5:$D$9,MATCH(B632,BP!$A$5:$A$9,1))-INDEX(BP!$C$5:$C$9,MATCH(B632,BP!$A$5:$A$9,1)))/(INDEX(BP!$B$5:$B$9,MATCH(B632,BP!$A$5:$A$9,1))-INDEX(BP!$A$5:$A$9,MATCH(B632,BP!$A$5:$A$9,1)))*(B632-INDEX(BP!$A$5:$A$9,MATCH(B632,BP!$A$5:$A$9,1)))+INDEX(BP!$C$5:$C$9,MATCH(B632,BP!$A$5:$A$9,1)),0))</f>
        <v>28</v>
      </c>
      <c r="D632" s="12" t="str">
        <f aca="false">IF(NOT(ISNUMBER(C632)),"",INDEX(BP!$F$5:$F$9,MATCH(C632,BP!$E$5:$E$9,1)))</f>
        <v>ดี</v>
      </c>
      <c r="E632" s="12" t="n">
        <f aca="false">YEAR(A632)</f>
        <v>2022</v>
      </c>
      <c r="F632" s="12" t="n">
        <f aca="false">MONTH(A632)</f>
        <v>9</v>
      </c>
      <c r="G632" s="12" t="n">
        <v>18.1</v>
      </c>
      <c r="H632" s="12" t="n">
        <v>38.9</v>
      </c>
      <c r="I632" s="12" t="n">
        <v>234</v>
      </c>
      <c r="J632" s="12" t="n">
        <v>7.4</v>
      </c>
      <c r="K632" s="12" t="n">
        <v>1.4</v>
      </c>
      <c r="L632" s="12" t="s">
        <v>36</v>
      </c>
    </row>
    <row r="633" customFormat="false" ht="15" hidden="false" customHeight="false" outlineLevel="0" collapsed="false">
      <c r="A633" s="11" t="n">
        <v>44828</v>
      </c>
      <c r="B633" s="12" t="n">
        <v>15</v>
      </c>
      <c r="C633" s="12" t="n">
        <f aca="false">IF(NOT(ISNUMBER(B633)),"",ROUND((INDEX(BP!$D$5:$D$9,MATCH(B633,BP!$A$5:$A$9,1))-INDEX(BP!$C$5:$C$9,MATCH(B633,BP!$A$5:$A$9,1)))/(INDEX(BP!$B$5:$B$9,MATCH(B633,BP!$A$5:$A$9,1))-INDEX(BP!$A$5:$A$9,MATCH(B633,BP!$A$5:$A$9,1)))*(B633-INDEX(BP!$A$5:$A$9,MATCH(B633,BP!$A$5:$A$9,1)))+INDEX(BP!$C$5:$C$9,MATCH(B633,BP!$A$5:$A$9,1)),0))</f>
        <v>25</v>
      </c>
      <c r="D633" s="12" t="str">
        <f aca="false">IF(NOT(ISNUMBER(C633)),"",INDEX(BP!$F$5:$F$9,MATCH(C633,BP!$E$5:$E$9,1)))</f>
        <v>ดีมาก</v>
      </c>
      <c r="E633" s="12" t="n">
        <f aca="false">YEAR(A633)</f>
        <v>2022</v>
      </c>
      <c r="F633" s="12" t="n">
        <f aca="false">MONTH(A633)</f>
        <v>9</v>
      </c>
      <c r="G633" s="12" t="n">
        <v>18.2</v>
      </c>
      <c r="H633" s="12" t="n">
        <v>37.4</v>
      </c>
      <c r="I633" s="12" t="n">
        <v>228</v>
      </c>
      <c r="J633" s="12" t="n">
        <v>0.5</v>
      </c>
      <c r="K633" s="12" t="n">
        <v>0.8</v>
      </c>
      <c r="L633" s="12" t="s">
        <v>35</v>
      </c>
    </row>
    <row r="634" customFormat="false" ht="15" hidden="false" customHeight="false" outlineLevel="0" collapsed="false">
      <c r="A634" s="11" t="n">
        <v>44829</v>
      </c>
      <c r="B634" s="12" t="n">
        <v>17</v>
      </c>
      <c r="C634" s="12" t="n">
        <f aca="false">IF(NOT(ISNUMBER(B634)),"",ROUND((INDEX(BP!$D$5:$D$9,MATCH(B634,BP!$A$5:$A$9,1))-INDEX(BP!$C$5:$C$9,MATCH(B634,BP!$A$5:$A$9,1)))/(INDEX(BP!$B$5:$B$9,MATCH(B634,BP!$A$5:$A$9,1))-INDEX(BP!$A$5:$A$9,MATCH(B634,BP!$A$5:$A$9,1)))*(B634-INDEX(BP!$A$5:$A$9,MATCH(B634,BP!$A$5:$A$9,1)))+INDEX(BP!$C$5:$C$9,MATCH(B634,BP!$A$5:$A$9,1)),0))</f>
        <v>31</v>
      </c>
      <c r="D634" s="12" t="str">
        <f aca="false">IF(NOT(ISNUMBER(C634)),"",INDEX(BP!$F$5:$F$9,MATCH(C634,BP!$E$5:$E$9,1)))</f>
        <v>ดี</v>
      </c>
      <c r="E634" s="12" t="n">
        <f aca="false">YEAR(A634)</f>
        <v>2022</v>
      </c>
      <c r="F634" s="12" t="n">
        <f aca="false">MONTH(A634)</f>
        <v>9</v>
      </c>
      <c r="G634" s="12" t="n">
        <v>17.4</v>
      </c>
      <c r="H634" s="12" t="n">
        <v>39.2</v>
      </c>
      <c r="I634" s="12" t="n">
        <v>226</v>
      </c>
      <c r="J634" s="12" t="n">
        <v>0.3</v>
      </c>
      <c r="K634" s="12" t="n">
        <v>0</v>
      </c>
      <c r="L634" s="12" t="s">
        <v>35</v>
      </c>
    </row>
    <row r="635" customFormat="false" ht="15" hidden="false" customHeight="false" outlineLevel="0" collapsed="false">
      <c r="A635" s="11" t="n">
        <v>44830</v>
      </c>
      <c r="B635" s="12" t="n">
        <v>19</v>
      </c>
      <c r="C635" s="12" t="n">
        <f aca="false">IF(NOT(ISNUMBER(B635)),"",ROUND((INDEX(BP!$D$5:$D$9,MATCH(B635,BP!$A$5:$A$9,1))-INDEX(BP!$C$5:$C$9,MATCH(B635,BP!$A$5:$A$9,1)))/(INDEX(BP!$B$5:$B$9,MATCH(B635,BP!$A$5:$A$9,1))-INDEX(BP!$A$5:$A$9,MATCH(B635,BP!$A$5:$A$9,1)))*(B635-INDEX(BP!$A$5:$A$9,MATCH(B635,BP!$A$5:$A$9,1)))+INDEX(BP!$C$5:$C$9,MATCH(B635,BP!$A$5:$A$9,1)),0))</f>
        <v>35</v>
      </c>
      <c r="D635" s="12" t="str">
        <f aca="false">IF(NOT(ISNUMBER(C635)),"",INDEX(BP!$F$5:$F$9,MATCH(C635,BP!$E$5:$E$9,1)))</f>
        <v>ดี</v>
      </c>
      <c r="E635" s="12" t="n">
        <f aca="false">YEAR(A635)</f>
        <v>2022</v>
      </c>
      <c r="F635" s="12" t="n">
        <f aca="false">MONTH(A635)</f>
        <v>9</v>
      </c>
      <c r="G635" s="12" t="n">
        <v>8.2</v>
      </c>
      <c r="H635" s="12" t="n">
        <v>26.3</v>
      </c>
      <c r="I635" s="12" t="n">
        <v>229</v>
      </c>
      <c r="J635" s="12" t="n">
        <v>13.7</v>
      </c>
      <c r="K635" s="12" t="n">
        <v>0</v>
      </c>
      <c r="L635" s="12" t="s">
        <v>36</v>
      </c>
    </row>
    <row r="636" customFormat="false" ht="15" hidden="false" customHeight="false" outlineLevel="0" collapsed="false">
      <c r="A636" s="11" t="n">
        <v>44831</v>
      </c>
      <c r="B636" s="12" t="n">
        <v>21</v>
      </c>
      <c r="C636" s="12" t="n">
        <f aca="false">IF(NOT(ISNUMBER(B636)),"",ROUND((INDEX(BP!$D$5:$D$9,MATCH(B636,BP!$A$5:$A$9,1))-INDEX(BP!$C$5:$C$9,MATCH(B636,BP!$A$5:$A$9,1)))/(INDEX(BP!$B$5:$B$9,MATCH(B636,BP!$A$5:$A$9,1))-INDEX(BP!$A$5:$A$9,MATCH(B636,BP!$A$5:$A$9,1)))*(B636-INDEX(BP!$A$5:$A$9,MATCH(B636,BP!$A$5:$A$9,1)))+INDEX(BP!$C$5:$C$9,MATCH(B636,BP!$A$5:$A$9,1)),0))</f>
        <v>40</v>
      </c>
      <c r="D636" s="12" t="str">
        <f aca="false">IF(NOT(ISNUMBER(C636)),"",INDEX(BP!$F$5:$F$9,MATCH(C636,BP!$E$5:$E$9,1)))</f>
        <v>ดี</v>
      </c>
      <c r="E636" s="12" t="n">
        <f aca="false">YEAR(A636)</f>
        <v>2022</v>
      </c>
      <c r="F636" s="12" t="n">
        <f aca="false">MONTH(A636)</f>
        <v>9</v>
      </c>
      <c r="G636" s="12" t="n">
        <v>14.5</v>
      </c>
      <c r="H636" s="12" t="n">
        <v>26.3</v>
      </c>
      <c r="I636" s="12" t="n">
        <v>253</v>
      </c>
      <c r="J636" s="12" t="n">
        <v>9.5</v>
      </c>
      <c r="K636" s="12" t="n">
        <v>18.2</v>
      </c>
      <c r="L636" s="12" t="s">
        <v>36</v>
      </c>
    </row>
    <row r="637" customFormat="false" ht="15" hidden="false" customHeight="false" outlineLevel="0" collapsed="false">
      <c r="A637" s="11" t="n">
        <v>44832</v>
      </c>
      <c r="B637" s="12" t="n">
        <v>11</v>
      </c>
      <c r="C637" s="12" t="n">
        <f aca="false">IF(NOT(ISNUMBER(B637)),"",ROUND((INDEX(BP!$D$5:$D$9,MATCH(B637,BP!$A$5:$A$9,1))-INDEX(BP!$C$5:$C$9,MATCH(B637,BP!$A$5:$A$9,1)))/(INDEX(BP!$B$5:$B$9,MATCH(B637,BP!$A$5:$A$9,1))-INDEX(BP!$A$5:$A$9,MATCH(B637,BP!$A$5:$A$9,1)))*(B637-INDEX(BP!$A$5:$A$9,MATCH(B637,BP!$A$5:$A$9,1)))+INDEX(BP!$C$5:$C$9,MATCH(B637,BP!$A$5:$A$9,1)),0))</f>
        <v>18</v>
      </c>
      <c r="D637" s="12" t="str">
        <f aca="false">IF(NOT(ISNUMBER(C637)),"",INDEX(BP!$F$5:$F$9,MATCH(C637,BP!$E$5:$E$9,1)))</f>
        <v>ดีมาก</v>
      </c>
      <c r="E637" s="12" t="n">
        <f aca="false">YEAR(A637)</f>
        <v>2022</v>
      </c>
      <c r="F637" s="12" t="n">
        <f aca="false">MONTH(A637)</f>
        <v>9</v>
      </c>
      <c r="G637" s="12" t="n">
        <v>18.4</v>
      </c>
      <c r="H637" s="12" t="n">
        <v>37.4</v>
      </c>
      <c r="I637" s="12" t="n">
        <v>245</v>
      </c>
      <c r="J637" s="12" t="n">
        <v>5.7</v>
      </c>
      <c r="K637" s="12" t="n">
        <v>10.6</v>
      </c>
      <c r="L637" s="12" t="s">
        <v>36</v>
      </c>
    </row>
    <row r="638" customFormat="false" ht="15" hidden="false" customHeight="false" outlineLevel="0" collapsed="false">
      <c r="A638" s="11" t="n">
        <v>44833</v>
      </c>
      <c r="B638" s="12" t="n">
        <v>13</v>
      </c>
      <c r="C638" s="12" t="n">
        <f aca="false">IF(NOT(ISNUMBER(B638)),"",ROUND((INDEX(BP!$D$5:$D$9,MATCH(B638,BP!$A$5:$A$9,1))-INDEX(BP!$C$5:$C$9,MATCH(B638,BP!$A$5:$A$9,1)))/(INDEX(BP!$B$5:$B$9,MATCH(B638,BP!$A$5:$A$9,1))-INDEX(BP!$A$5:$A$9,MATCH(B638,BP!$A$5:$A$9,1)))*(B638-INDEX(BP!$A$5:$A$9,MATCH(B638,BP!$A$5:$A$9,1)))+INDEX(BP!$C$5:$C$9,MATCH(B638,BP!$A$5:$A$9,1)),0))</f>
        <v>22</v>
      </c>
      <c r="D638" s="12" t="str">
        <f aca="false">IF(NOT(ISNUMBER(C638)),"",INDEX(BP!$F$5:$F$9,MATCH(C638,BP!$E$5:$E$9,1)))</f>
        <v>ดีมาก</v>
      </c>
      <c r="E638" s="12" t="n">
        <f aca="false">YEAR(A638)</f>
        <v>2022</v>
      </c>
      <c r="F638" s="12" t="n">
        <f aca="false">MONTH(A638)</f>
        <v>9</v>
      </c>
      <c r="G638" s="12" t="n">
        <v>21.2</v>
      </c>
      <c r="H638" s="12" t="n">
        <v>50</v>
      </c>
      <c r="I638" s="12" t="n">
        <v>246</v>
      </c>
      <c r="J638" s="12" t="n">
        <v>4.9</v>
      </c>
      <c r="K638" s="12" t="n">
        <v>24.2</v>
      </c>
      <c r="L638" s="12" t="s">
        <v>36</v>
      </c>
    </row>
    <row r="639" customFormat="false" ht="15" hidden="false" customHeight="false" outlineLevel="0" collapsed="false">
      <c r="A639" s="11" t="n">
        <v>44834</v>
      </c>
      <c r="B639" s="12" t="n">
        <v>12</v>
      </c>
      <c r="C639" s="12" t="n">
        <f aca="false">IF(NOT(ISNUMBER(B639)),"",ROUND((INDEX(BP!$D$5:$D$9,MATCH(B639,BP!$A$5:$A$9,1))-INDEX(BP!$C$5:$C$9,MATCH(B639,BP!$A$5:$A$9,1)))/(INDEX(BP!$B$5:$B$9,MATCH(B639,BP!$A$5:$A$9,1))-INDEX(BP!$A$5:$A$9,MATCH(B639,BP!$A$5:$A$9,1)))*(B639-INDEX(BP!$A$5:$A$9,MATCH(B639,BP!$A$5:$A$9,1)))+INDEX(BP!$C$5:$C$9,MATCH(B639,BP!$A$5:$A$9,1)),0))</f>
        <v>20</v>
      </c>
      <c r="D639" s="12" t="str">
        <f aca="false">IF(NOT(ISNUMBER(C639)),"",INDEX(BP!$F$5:$F$9,MATCH(C639,BP!$E$5:$E$9,1)))</f>
        <v>ดีมาก</v>
      </c>
      <c r="E639" s="12" t="n">
        <f aca="false">YEAR(A639)</f>
        <v>2022</v>
      </c>
      <c r="F639" s="12" t="n">
        <f aca="false">MONTH(A639)</f>
        <v>9</v>
      </c>
      <c r="G639" s="12" t="n">
        <v>17.3</v>
      </c>
      <c r="H639" s="12" t="n">
        <v>41</v>
      </c>
      <c r="I639" s="12" t="n">
        <v>236</v>
      </c>
      <c r="J639" s="12" t="n">
        <v>8</v>
      </c>
      <c r="K639" s="12" t="n">
        <v>7</v>
      </c>
      <c r="L639" s="12" t="s">
        <v>36</v>
      </c>
    </row>
    <row r="640" customFormat="false" ht="15" hidden="false" customHeight="false" outlineLevel="0" collapsed="false">
      <c r="A640" s="11" t="n">
        <v>44835</v>
      </c>
      <c r="B640" s="12" t="n">
        <v>12</v>
      </c>
      <c r="C640" s="12" t="n">
        <f aca="false">IF(NOT(ISNUMBER(B640)),"",ROUND((INDEX(BP!$D$5:$D$9,MATCH(B640,BP!$A$5:$A$9,1))-INDEX(BP!$C$5:$C$9,MATCH(B640,BP!$A$5:$A$9,1)))/(INDEX(BP!$B$5:$B$9,MATCH(B640,BP!$A$5:$A$9,1))-INDEX(BP!$A$5:$A$9,MATCH(B640,BP!$A$5:$A$9,1)))*(B640-INDEX(BP!$A$5:$A$9,MATCH(B640,BP!$A$5:$A$9,1)))+INDEX(BP!$C$5:$C$9,MATCH(B640,BP!$A$5:$A$9,1)),0))</f>
        <v>20</v>
      </c>
      <c r="D640" s="12" t="str">
        <f aca="false">IF(NOT(ISNUMBER(C640)),"",INDEX(BP!$F$5:$F$9,MATCH(C640,BP!$E$5:$E$9,1)))</f>
        <v>ดีมาก</v>
      </c>
      <c r="E640" s="12" t="n">
        <f aca="false">YEAR(A640)</f>
        <v>2022</v>
      </c>
      <c r="F640" s="12" t="n">
        <f aca="false">MONTH(A640)</f>
        <v>10</v>
      </c>
      <c r="G640" s="12" t="n">
        <v>18.8</v>
      </c>
      <c r="H640" s="12" t="n">
        <v>41.4</v>
      </c>
      <c r="I640" s="12" t="n">
        <v>244</v>
      </c>
      <c r="J640" s="12" t="n">
        <v>6.2</v>
      </c>
      <c r="K640" s="12" t="n">
        <v>0.6</v>
      </c>
      <c r="L640" s="12" t="s">
        <v>35</v>
      </c>
    </row>
    <row r="641" customFormat="false" ht="15" hidden="false" customHeight="false" outlineLevel="0" collapsed="false">
      <c r="A641" s="11" t="n">
        <v>44836</v>
      </c>
      <c r="B641" s="12" t="n">
        <v>14</v>
      </c>
      <c r="C641" s="12" t="n">
        <f aca="false">IF(NOT(ISNUMBER(B641)),"",ROUND((INDEX(BP!$D$5:$D$9,MATCH(B641,BP!$A$5:$A$9,1))-INDEX(BP!$C$5:$C$9,MATCH(B641,BP!$A$5:$A$9,1)))/(INDEX(BP!$B$5:$B$9,MATCH(B641,BP!$A$5:$A$9,1))-INDEX(BP!$A$5:$A$9,MATCH(B641,BP!$A$5:$A$9,1)))*(B641-INDEX(BP!$A$5:$A$9,MATCH(B641,BP!$A$5:$A$9,1)))+INDEX(BP!$C$5:$C$9,MATCH(B641,BP!$A$5:$A$9,1)),0))</f>
        <v>23</v>
      </c>
      <c r="D641" s="12" t="str">
        <f aca="false">IF(NOT(ISNUMBER(C641)),"",INDEX(BP!$F$5:$F$9,MATCH(C641,BP!$E$5:$E$9,1)))</f>
        <v>ดีมาก</v>
      </c>
      <c r="E641" s="12" t="n">
        <f aca="false">YEAR(A641)</f>
        <v>2022</v>
      </c>
      <c r="F641" s="12" t="n">
        <f aca="false">MONTH(A641)</f>
        <v>10</v>
      </c>
      <c r="G641" s="12" t="n">
        <v>11.5</v>
      </c>
      <c r="H641" s="12" t="n">
        <v>29.9</v>
      </c>
      <c r="I641" s="12" t="n">
        <v>254</v>
      </c>
      <c r="J641" s="12" t="n">
        <v>2</v>
      </c>
      <c r="K641" s="12" t="n">
        <v>26.8</v>
      </c>
      <c r="L641" s="12" t="s">
        <v>35</v>
      </c>
    </row>
    <row r="642" customFormat="false" ht="15" hidden="false" customHeight="false" outlineLevel="0" collapsed="false">
      <c r="A642" s="11" t="n">
        <v>44837</v>
      </c>
      <c r="B642" s="12" t="n">
        <v>13</v>
      </c>
      <c r="C642" s="12" t="n">
        <f aca="false">IF(NOT(ISNUMBER(B642)),"",ROUND((INDEX(BP!$D$5:$D$9,MATCH(B642,BP!$A$5:$A$9,1))-INDEX(BP!$C$5:$C$9,MATCH(B642,BP!$A$5:$A$9,1)))/(INDEX(BP!$B$5:$B$9,MATCH(B642,BP!$A$5:$A$9,1))-INDEX(BP!$A$5:$A$9,MATCH(B642,BP!$A$5:$A$9,1)))*(B642-INDEX(BP!$A$5:$A$9,MATCH(B642,BP!$A$5:$A$9,1)))+INDEX(BP!$C$5:$C$9,MATCH(B642,BP!$A$5:$A$9,1)),0))</f>
        <v>22</v>
      </c>
      <c r="D642" s="12" t="str">
        <f aca="false">IF(NOT(ISNUMBER(C642)),"",INDEX(BP!$F$5:$F$9,MATCH(C642,BP!$E$5:$E$9,1)))</f>
        <v>ดีมาก</v>
      </c>
      <c r="E642" s="12" t="n">
        <f aca="false">YEAR(A642)</f>
        <v>2022</v>
      </c>
      <c r="F642" s="12" t="n">
        <f aca="false">MONTH(A642)</f>
        <v>10</v>
      </c>
      <c r="G642" s="12" t="n">
        <v>6.7</v>
      </c>
      <c r="H642" s="12" t="n">
        <v>14</v>
      </c>
      <c r="I642" s="12" t="n">
        <v>169</v>
      </c>
      <c r="J642" s="12" t="n">
        <v>25.1</v>
      </c>
      <c r="K642" s="12" t="n">
        <v>1.4</v>
      </c>
      <c r="L642" s="12" t="s">
        <v>36</v>
      </c>
    </row>
    <row r="643" customFormat="false" ht="15" hidden="false" customHeight="false" outlineLevel="0" collapsed="false">
      <c r="A643" s="11" t="n">
        <v>44838</v>
      </c>
      <c r="B643" s="12" t="n">
        <v>10</v>
      </c>
      <c r="C643" s="12" t="n">
        <f aca="false">IF(NOT(ISNUMBER(B643)),"",ROUND((INDEX(BP!$D$5:$D$9,MATCH(B643,BP!$A$5:$A$9,1))-INDEX(BP!$C$5:$C$9,MATCH(B643,BP!$A$5:$A$9,1)))/(INDEX(BP!$B$5:$B$9,MATCH(B643,BP!$A$5:$A$9,1))-INDEX(BP!$A$5:$A$9,MATCH(B643,BP!$A$5:$A$9,1)))*(B643-INDEX(BP!$A$5:$A$9,MATCH(B643,BP!$A$5:$A$9,1)))+INDEX(BP!$C$5:$C$9,MATCH(B643,BP!$A$5:$A$9,1)),0))</f>
        <v>17</v>
      </c>
      <c r="D643" s="12" t="str">
        <f aca="false">IF(NOT(ISNUMBER(C643)),"",INDEX(BP!$F$5:$F$9,MATCH(C643,BP!$E$5:$E$9,1)))</f>
        <v>ดีมาก</v>
      </c>
      <c r="E643" s="12" t="n">
        <f aca="false">YEAR(A643)</f>
        <v>2022</v>
      </c>
      <c r="F643" s="12" t="n">
        <f aca="false">MONTH(A643)</f>
        <v>10</v>
      </c>
      <c r="G643" s="12" t="n">
        <v>12.6</v>
      </c>
      <c r="H643" s="12" t="n">
        <v>32.4</v>
      </c>
      <c r="I643" s="12" t="n">
        <v>91</v>
      </c>
      <c r="J643" s="12" t="n">
        <v>10</v>
      </c>
      <c r="K643" s="12" t="n">
        <v>0</v>
      </c>
      <c r="L643" s="12" t="s">
        <v>36</v>
      </c>
    </row>
    <row r="644" customFormat="false" ht="15" hidden="false" customHeight="false" outlineLevel="0" collapsed="false">
      <c r="A644" s="11" t="n">
        <v>44839</v>
      </c>
      <c r="B644" s="12" t="n">
        <v>10</v>
      </c>
      <c r="C644" s="12" t="n">
        <f aca="false">IF(NOT(ISNUMBER(B644)),"",ROUND((INDEX(BP!$D$5:$D$9,MATCH(B644,BP!$A$5:$A$9,1))-INDEX(BP!$C$5:$C$9,MATCH(B644,BP!$A$5:$A$9,1)))/(INDEX(BP!$B$5:$B$9,MATCH(B644,BP!$A$5:$A$9,1))-INDEX(BP!$A$5:$A$9,MATCH(B644,BP!$A$5:$A$9,1)))*(B644-INDEX(BP!$A$5:$A$9,MATCH(B644,BP!$A$5:$A$9,1)))+INDEX(BP!$C$5:$C$9,MATCH(B644,BP!$A$5:$A$9,1)),0))</f>
        <v>17</v>
      </c>
      <c r="D644" s="12" t="str">
        <f aca="false">IF(NOT(ISNUMBER(C644)),"",INDEX(BP!$F$5:$F$9,MATCH(C644,BP!$E$5:$E$9,1)))</f>
        <v>ดีมาก</v>
      </c>
      <c r="E644" s="12" t="n">
        <f aca="false">YEAR(A644)</f>
        <v>2022</v>
      </c>
      <c r="F644" s="12" t="n">
        <f aca="false">MONTH(A644)</f>
        <v>10</v>
      </c>
      <c r="G644" s="12" t="n">
        <v>10.7</v>
      </c>
      <c r="H644" s="12" t="n">
        <v>32</v>
      </c>
      <c r="I644" s="12" t="n">
        <v>103</v>
      </c>
      <c r="J644" s="12" t="n">
        <v>20.7</v>
      </c>
      <c r="K644" s="12" t="n">
        <v>7</v>
      </c>
      <c r="L644" s="12" t="s">
        <v>36</v>
      </c>
    </row>
    <row r="645" customFormat="false" ht="15" hidden="false" customHeight="false" outlineLevel="0" collapsed="false">
      <c r="A645" s="11" t="n">
        <v>44840</v>
      </c>
      <c r="B645" s="12" t="n">
        <v>10</v>
      </c>
      <c r="C645" s="12" t="n">
        <f aca="false">IF(NOT(ISNUMBER(B645)),"",ROUND((INDEX(BP!$D$5:$D$9,MATCH(B645,BP!$A$5:$A$9,1))-INDEX(BP!$C$5:$C$9,MATCH(B645,BP!$A$5:$A$9,1)))/(INDEX(BP!$B$5:$B$9,MATCH(B645,BP!$A$5:$A$9,1))-INDEX(BP!$A$5:$A$9,MATCH(B645,BP!$A$5:$A$9,1)))*(B645-INDEX(BP!$A$5:$A$9,MATCH(B645,BP!$A$5:$A$9,1)))+INDEX(BP!$C$5:$C$9,MATCH(B645,BP!$A$5:$A$9,1)),0))</f>
        <v>17</v>
      </c>
      <c r="D645" s="12" t="str">
        <f aca="false">IF(NOT(ISNUMBER(C645)),"",INDEX(BP!$F$5:$F$9,MATCH(C645,BP!$E$5:$E$9,1)))</f>
        <v>ดีมาก</v>
      </c>
      <c r="E645" s="12" t="n">
        <f aca="false">YEAR(A645)</f>
        <v>2022</v>
      </c>
      <c r="F645" s="12" t="n">
        <f aca="false">MONTH(A645)</f>
        <v>10</v>
      </c>
      <c r="G645" s="12" t="n">
        <v>13.7</v>
      </c>
      <c r="H645" s="12" t="n">
        <v>31.7</v>
      </c>
      <c r="I645" s="12" t="n">
        <v>119</v>
      </c>
      <c r="J645" s="12" t="n">
        <v>11.3</v>
      </c>
      <c r="K645" s="12" t="n">
        <v>34.4</v>
      </c>
      <c r="L645" s="12" t="s">
        <v>36</v>
      </c>
    </row>
    <row r="646" customFormat="false" ht="15" hidden="false" customHeight="false" outlineLevel="0" collapsed="false">
      <c r="A646" s="11" t="n">
        <v>44841</v>
      </c>
      <c r="B646" s="12" t="n">
        <v>16</v>
      </c>
      <c r="C646" s="12" t="n">
        <f aca="false">IF(NOT(ISNUMBER(B646)),"",ROUND((INDEX(BP!$D$5:$D$9,MATCH(B646,BP!$A$5:$A$9,1))-INDEX(BP!$C$5:$C$9,MATCH(B646,BP!$A$5:$A$9,1)))/(INDEX(BP!$B$5:$B$9,MATCH(B646,BP!$A$5:$A$9,1))-INDEX(BP!$A$5:$A$9,MATCH(B646,BP!$A$5:$A$9,1)))*(B646-INDEX(BP!$A$5:$A$9,MATCH(B646,BP!$A$5:$A$9,1)))+INDEX(BP!$C$5:$C$9,MATCH(B646,BP!$A$5:$A$9,1)),0))</f>
        <v>28</v>
      </c>
      <c r="D646" s="12" t="str">
        <f aca="false">IF(NOT(ISNUMBER(C646)),"",INDEX(BP!$F$5:$F$9,MATCH(C646,BP!$E$5:$E$9,1)))</f>
        <v>ดี</v>
      </c>
      <c r="E646" s="12" t="n">
        <f aca="false">YEAR(A646)</f>
        <v>2022</v>
      </c>
      <c r="F646" s="12" t="n">
        <f aca="false">MONTH(A646)</f>
        <v>10</v>
      </c>
      <c r="G646" s="12" t="n">
        <v>12.4</v>
      </c>
      <c r="H646" s="12" t="n">
        <v>30.2</v>
      </c>
      <c r="I646" s="12" t="n">
        <v>151</v>
      </c>
      <c r="J646" s="12" t="n">
        <v>24.8</v>
      </c>
      <c r="K646" s="12" t="n">
        <v>32.6</v>
      </c>
      <c r="L646" s="12" t="s">
        <v>36</v>
      </c>
    </row>
    <row r="647" customFormat="false" ht="15" hidden="false" customHeight="false" outlineLevel="0" collapsed="false">
      <c r="A647" s="11" t="n">
        <v>44842</v>
      </c>
      <c r="B647" s="12" t="n">
        <v>13</v>
      </c>
      <c r="C647" s="12" t="n">
        <f aca="false">IF(NOT(ISNUMBER(B647)),"",ROUND((INDEX(BP!$D$5:$D$9,MATCH(B647,BP!$A$5:$A$9,1))-INDEX(BP!$C$5:$C$9,MATCH(B647,BP!$A$5:$A$9,1)))/(INDEX(BP!$B$5:$B$9,MATCH(B647,BP!$A$5:$A$9,1))-INDEX(BP!$A$5:$A$9,MATCH(B647,BP!$A$5:$A$9,1)))*(B647-INDEX(BP!$A$5:$A$9,MATCH(B647,BP!$A$5:$A$9,1)))+INDEX(BP!$C$5:$C$9,MATCH(B647,BP!$A$5:$A$9,1)),0))</f>
        <v>22</v>
      </c>
      <c r="D647" s="12" t="str">
        <f aca="false">IF(NOT(ISNUMBER(C647)),"",INDEX(BP!$F$5:$F$9,MATCH(C647,BP!$E$5:$E$9,1)))</f>
        <v>ดีมาก</v>
      </c>
      <c r="E647" s="12" t="n">
        <f aca="false">YEAR(A647)</f>
        <v>2022</v>
      </c>
      <c r="F647" s="12" t="n">
        <f aca="false">MONTH(A647)</f>
        <v>10</v>
      </c>
      <c r="G647" s="12" t="n">
        <v>10.4</v>
      </c>
      <c r="H647" s="12" t="n">
        <v>19.8</v>
      </c>
      <c r="I647" s="12" t="n">
        <v>229</v>
      </c>
      <c r="J647" s="12" t="n">
        <v>9</v>
      </c>
      <c r="K647" s="12" t="n">
        <v>4</v>
      </c>
      <c r="L647" s="12" t="s">
        <v>35</v>
      </c>
    </row>
    <row r="648" customFormat="false" ht="15" hidden="false" customHeight="false" outlineLevel="0" collapsed="false">
      <c r="A648" s="11" t="n">
        <v>44843</v>
      </c>
      <c r="B648" s="12" t="n">
        <v>14</v>
      </c>
      <c r="C648" s="12" t="n">
        <f aca="false">IF(NOT(ISNUMBER(B648)),"",ROUND((INDEX(BP!$D$5:$D$9,MATCH(B648,BP!$A$5:$A$9,1))-INDEX(BP!$C$5:$C$9,MATCH(B648,BP!$A$5:$A$9,1)))/(INDEX(BP!$B$5:$B$9,MATCH(B648,BP!$A$5:$A$9,1))-INDEX(BP!$A$5:$A$9,MATCH(B648,BP!$A$5:$A$9,1)))*(B648-INDEX(BP!$A$5:$A$9,MATCH(B648,BP!$A$5:$A$9,1)))+INDEX(BP!$C$5:$C$9,MATCH(B648,BP!$A$5:$A$9,1)),0))</f>
        <v>23</v>
      </c>
      <c r="D648" s="12" t="str">
        <f aca="false">IF(NOT(ISNUMBER(C648)),"",INDEX(BP!$F$5:$F$9,MATCH(C648,BP!$E$5:$E$9,1)))</f>
        <v>ดีมาก</v>
      </c>
      <c r="E648" s="12" t="n">
        <f aca="false">YEAR(A648)</f>
        <v>2022</v>
      </c>
      <c r="F648" s="12" t="n">
        <f aca="false">MONTH(A648)</f>
        <v>10</v>
      </c>
      <c r="G648" s="12" t="n">
        <v>10.2</v>
      </c>
      <c r="H648" s="12" t="n">
        <v>21.6</v>
      </c>
      <c r="I648" s="12" t="n">
        <v>204</v>
      </c>
      <c r="J648" s="12" t="n">
        <v>21.8</v>
      </c>
      <c r="K648" s="12" t="n">
        <v>2.8</v>
      </c>
      <c r="L648" s="12" t="s">
        <v>35</v>
      </c>
    </row>
    <row r="649" customFormat="false" ht="15" hidden="false" customHeight="false" outlineLevel="0" collapsed="false">
      <c r="A649" s="11" t="n">
        <v>44844</v>
      </c>
      <c r="B649" s="12" t="n">
        <v>14</v>
      </c>
      <c r="C649" s="12" t="n">
        <f aca="false">IF(NOT(ISNUMBER(B649)),"",ROUND((INDEX(BP!$D$5:$D$9,MATCH(B649,BP!$A$5:$A$9,1))-INDEX(BP!$C$5:$C$9,MATCH(B649,BP!$A$5:$A$9,1)))/(INDEX(BP!$B$5:$B$9,MATCH(B649,BP!$A$5:$A$9,1))-INDEX(BP!$A$5:$A$9,MATCH(B649,BP!$A$5:$A$9,1)))*(B649-INDEX(BP!$A$5:$A$9,MATCH(B649,BP!$A$5:$A$9,1)))+INDEX(BP!$C$5:$C$9,MATCH(B649,BP!$A$5:$A$9,1)),0))</f>
        <v>23</v>
      </c>
      <c r="D649" s="12" t="str">
        <f aca="false">IF(NOT(ISNUMBER(C649)),"",INDEX(BP!$F$5:$F$9,MATCH(C649,BP!$E$5:$E$9,1)))</f>
        <v>ดีมาก</v>
      </c>
      <c r="E649" s="12" t="n">
        <f aca="false">YEAR(A649)</f>
        <v>2022</v>
      </c>
      <c r="F649" s="12" t="n">
        <f aca="false">MONTH(A649)</f>
        <v>10</v>
      </c>
      <c r="G649" s="12" t="n">
        <v>12.6</v>
      </c>
      <c r="H649" s="12" t="n">
        <v>29.2</v>
      </c>
      <c r="I649" s="12" t="n">
        <v>281</v>
      </c>
      <c r="J649" s="12" t="n">
        <v>10.2</v>
      </c>
      <c r="K649" s="12" t="n">
        <v>16.8</v>
      </c>
      <c r="L649" s="12" t="s">
        <v>36</v>
      </c>
    </row>
    <row r="650" customFormat="false" ht="15" hidden="false" customHeight="false" outlineLevel="0" collapsed="false">
      <c r="A650" s="11" t="n">
        <v>44845</v>
      </c>
      <c r="B650" s="12" t="n">
        <v>14</v>
      </c>
      <c r="C650" s="12" t="n">
        <f aca="false">IF(NOT(ISNUMBER(B650)),"",ROUND((INDEX(BP!$D$5:$D$9,MATCH(B650,BP!$A$5:$A$9,1))-INDEX(BP!$C$5:$C$9,MATCH(B650,BP!$A$5:$A$9,1)))/(INDEX(BP!$B$5:$B$9,MATCH(B650,BP!$A$5:$A$9,1))-INDEX(BP!$A$5:$A$9,MATCH(B650,BP!$A$5:$A$9,1)))*(B650-INDEX(BP!$A$5:$A$9,MATCH(B650,BP!$A$5:$A$9,1)))+INDEX(BP!$C$5:$C$9,MATCH(B650,BP!$A$5:$A$9,1)),0))</f>
        <v>23</v>
      </c>
      <c r="D650" s="12" t="str">
        <f aca="false">IF(NOT(ISNUMBER(C650)),"",INDEX(BP!$F$5:$F$9,MATCH(C650,BP!$E$5:$E$9,1)))</f>
        <v>ดีมาก</v>
      </c>
      <c r="E650" s="12" t="n">
        <f aca="false">YEAR(A650)</f>
        <v>2022</v>
      </c>
      <c r="F650" s="12" t="n">
        <f aca="false">MONTH(A650)</f>
        <v>10</v>
      </c>
      <c r="G650" s="12" t="n">
        <v>11.5</v>
      </c>
      <c r="H650" s="12" t="n">
        <v>29.2</v>
      </c>
      <c r="I650" s="12" t="n">
        <v>311</v>
      </c>
      <c r="J650" s="12" t="n">
        <v>7.4</v>
      </c>
      <c r="K650" s="12" t="n">
        <v>4.4</v>
      </c>
      <c r="L650" s="12" t="s">
        <v>36</v>
      </c>
    </row>
    <row r="651" customFormat="false" ht="15" hidden="false" customHeight="false" outlineLevel="0" collapsed="false">
      <c r="A651" s="11" t="n">
        <v>44846</v>
      </c>
      <c r="B651" s="12" t="n">
        <v>10</v>
      </c>
      <c r="C651" s="12" t="n">
        <f aca="false">IF(NOT(ISNUMBER(B651)),"",ROUND((INDEX(BP!$D$5:$D$9,MATCH(B651,BP!$A$5:$A$9,1))-INDEX(BP!$C$5:$C$9,MATCH(B651,BP!$A$5:$A$9,1)))/(INDEX(BP!$B$5:$B$9,MATCH(B651,BP!$A$5:$A$9,1))-INDEX(BP!$A$5:$A$9,MATCH(B651,BP!$A$5:$A$9,1)))*(B651-INDEX(BP!$A$5:$A$9,MATCH(B651,BP!$A$5:$A$9,1)))+INDEX(BP!$C$5:$C$9,MATCH(B651,BP!$A$5:$A$9,1)),0))</f>
        <v>17</v>
      </c>
      <c r="D651" s="12" t="str">
        <f aca="false">IF(NOT(ISNUMBER(C651)),"",INDEX(BP!$F$5:$F$9,MATCH(C651,BP!$E$5:$E$9,1)))</f>
        <v>ดีมาก</v>
      </c>
      <c r="E651" s="12" t="n">
        <f aca="false">YEAR(A651)</f>
        <v>2022</v>
      </c>
      <c r="F651" s="12" t="n">
        <f aca="false">MONTH(A651)</f>
        <v>10</v>
      </c>
      <c r="G651" s="12" t="n">
        <v>10.8</v>
      </c>
      <c r="H651" s="12" t="n">
        <v>26.3</v>
      </c>
      <c r="I651" s="12" t="n">
        <v>306</v>
      </c>
      <c r="J651" s="12" t="n">
        <v>5.9</v>
      </c>
      <c r="K651" s="12" t="n">
        <v>3.4</v>
      </c>
      <c r="L651" s="12" t="s">
        <v>36</v>
      </c>
    </row>
    <row r="652" customFormat="false" ht="15" hidden="false" customHeight="false" outlineLevel="0" collapsed="false">
      <c r="A652" s="11" t="n">
        <v>44847</v>
      </c>
      <c r="B652" s="12" t="n">
        <v>14</v>
      </c>
      <c r="C652" s="12" t="n">
        <f aca="false">IF(NOT(ISNUMBER(B652)),"",ROUND((INDEX(BP!$D$5:$D$9,MATCH(B652,BP!$A$5:$A$9,1))-INDEX(BP!$C$5:$C$9,MATCH(B652,BP!$A$5:$A$9,1)))/(INDEX(BP!$B$5:$B$9,MATCH(B652,BP!$A$5:$A$9,1))-INDEX(BP!$A$5:$A$9,MATCH(B652,BP!$A$5:$A$9,1)))*(B652-INDEX(BP!$A$5:$A$9,MATCH(B652,BP!$A$5:$A$9,1)))+INDEX(BP!$C$5:$C$9,MATCH(B652,BP!$A$5:$A$9,1)),0))</f>
        <v>23</v>
      </c>
      <c r="D652" s="12" t="str">
        <f aca="false">IF(NOT(ISNUMBER(C652)),"",INDEX(BP!$F$5:$F$9,MATCH(C652,BP!$E$5:$E$9,1)))</f>
        <v>ดีมาก</v>
      </c>
      <c r="E652" s="12" t="n">
        <f aca="false">YEAR(A652)</f>
        <v>2022</v>
      </c>
      <c r="F652" s="12" t="n">
        <f aca="false">MONTH(A652)</f>
        <v>10</v>
      </c>
      <c r="G652" s="12" t="n">
        <v>11.4</v>
      </c>
      <c r="H652" s="12" t="n">
        <v>24.8</v>
      </c>
      <c r="I652" s="12" t="n">
        <v>291</v>
      </c>
      <c r="J652" s="12" t="n">
        <v>19.7</v>
      </c>
      <c r="K652" s="12" t="n">
        <v>0.2</v>
      </c>
      <c r="L652" s="12" t="s">
        <v>34</v>
      </c>
    </row>
    <row r="653" customFormat="false" ht="15" hidden="false" customHeight="false" outlineLevel="0" collapsed="false">
      <c r="A653" s="11" t="n">
        <v>44848</v>
      </c>
      <c r="B653" s="12" t="n">
        <v>15</v>
      </c>
      <c r="C653" s="12" t="n">
        <f aca="false">IF(NOT(ISNUMBER(B653)),"",ROUND((INDEX(BP!$D$5:$D$9,MATCH(B653,BP!$A$5:$A$9,1))-INDEX(BP!$C$5:$C$9,MATCH(B653,BP!$A$5:$A$9,1)))/(INDEX(BP!$B$5:$B$9,MATCH(B653,BP!$A$5:$A$9,1))-INDEX(BP!$A$5:$A$9,MATCH(B653,BP!$A$5:$A$9,1)))*(B653-INDEX(BP!$A$5:$A$9,MATCH(B653,BP!$A$5:$A$9,1)))+INDEX(BP!$C$5:$C$9,MATCH(B653,BP!$A$5:$A$9,1)),0))</f>
        <v>25</v>
      </c>
      <c r="D653" s="12" t="str">
        <f aca="false">IF(NOT(ISNUMBER(C653)),"",INDEX(BP!$F$5:$F$9,MATCH(C653,BP!$E$5:$E$9,1)))</f>
        <v>ดีมาก</v>
      </c>
      <c r="E653" s="12" t="n">
        <f aca="false">YEAR(A653)</f>
        <v>2022</v>
      </c>
      <c r="F653" s="12" t="n">
        <f aca="false">MONTH(A653)</f>
        <v>10</v>
      </c>
      <c r="G653" s="12" t="n">
        <v>14.3</v>
      </c>
      <c r="H653" s="12" t="n">
        <v>29.5</v>
      </c>
      <c r="I653" s="12" t="n">
        <v>256</v>
      </c>
      <c r="J653" s="12" t="n">
        <v>4.4</v>
      </c>
      <c r="K653" s="12" t="n">
        <v>0</v>
      </c>
      <c r="L653" s="12" t="s">
        <v>34</v>
      </c>
    </row>
    <row r="654" customFormat="false" ht="15" hidden="false" customHeight="false" outlineLevel="0" collapsed="false">
      <c r="A654" s="11" t="n">
        <v>44849</v>
      </c>
      <c r="B654" s="12" t="n">
        <v>14</v>
      </c>
      <c r="C654" s="12" t="n">
        <f aca="false">IF(NOT(ISNUMBER(B654)),"",ROUND((INDEX(BP!$D$5:$D$9,MATCH(B654,BP!$A$5:$A$9,1))-INDEX(BP!$C$5:$C$9,MATCH(B654,BP!$A$5:$A$9,1)))/(INDEX(BP!$B$5:$B$9,MATCH(B654,BP!$A$5:$A$9,1))-INDEX(BP!$A$5:$A$9,MATCH(B654,BP!$A$5:$A$9,1)))*(B654-INDEX(BP!$A$5:$A$9,MATCH(B654,BP!$A$5:$A$9,1)))+INDEX(BP!$C$5:$C$9,MATCH(B654,BP!$A$5:$A$9,1)),0))</f>
        <v>23</v>
      </c>
      <c r="D654" s="12" t="str">
        <f aca="false">IF(NOT(ISNUMBER(C654)),"",INDEX(BP!$F$5:$F$9,MATCH(C654,BP!$E$5:$E$9,1)))</f>
        <v>ดีมาก</v>
      </c>
      <c r="E654" s="12" t="n">
        <f aca="false">YEAR(A654)</f>
        <v>2022</v>
      </c>
      <c r="F654" s="12" t="n">
        <f aca="false">MONTH(A654)</f>
        <v>10</v>
      </c>
      <c r="G654" s="12" t="n">
        <v>12</v>
      </c>
      <c r="H654" s="12" t="n">
        <v>32.4</v>
      </c>
      <c r="I654" s="12" t="n">
        <v>265</v>
      </c>
      <c r="J654" s="12" t="n">
        <v>7.1</v>
      </c>
      <c r="K654" s="12" t="n">
        <v>3.8</v>
      </c>
      <c r="L654" s="12" t="s">
        <v>35</v>
      </c>
    </row>
    <row r="655" customFormat="false" ht="15" hidden="false" customHeight="false" outlineLevel="0" collapsed="false">
      <c r="A655" s="11" t="n">
        <v>44850</v>
      </c>
      <c r="B655" s="12" t="n">
        <v>9</v>
      </c>
      <c r="C655" s="12" t="n">
        <f aca="false">IF(NOT(ISNUMBER(B655)),"",ROUND((INDEX(BP!$D$5:$D$9,MATCH(B655,BP!$A$5:$A$9,1))-INDEX(BP!$C$5:$C$9,MATCH(B655,BP!$A$5:$A$9,1)))/(INDEX(BP!$B$5:$B$9,MATCH(B655,BP!$A$5:$A$9,1))-INDEX(BP!$A$5:$A$9,MATCH(B655,BP!$A$5:$A$9,1)))*(B655-INDEX(BP!$A$5:$A$9,MATCH(B655,BP!$A$5:$A$9,1)))+INDEX(BP!$C$5:$C$9,MATCH(B655,BP!$A$5:$A$9,1)),0))</f>
        <v>15</v>
      </c>
      <c r="D655" s="12" t="str">
        <f aca="false">IF(NOT(ISNUMBER(C655)),"",INDEX(BP!$F$5:$F$9,MATCH(C655,BP!$E$5:$E$9,1)))</f>
        <v>ดีมาก</v>
      </c>
      <c r="E655" s="12" t="n">
        <f aca="false">YEAR(A655)</f>
        <v>2022</v>
      </c>
      <c r="F655" s="12" t="n">
        <f aca="false">MONTH(A655)</f>
        <v>10</v>
      </c>
      <c r="G655" s="12" t="n">
        <v>17.2</v>
      </c>
      <c r="H655" s="12" t="n">
        <v>40.3</v>
      </c>
      <c r="I655" s="12" t="n">
        <v>252</v>
      </c>
      <c r="J655" s="12" t="n">
        <v>14.4</v>
      </c>
      <c r="K655" s="12" t="n">
        <v>7</v>
      </c>
      <c r="L655" s="12" t="s">
        <v>35</v>
      </c>
    </row>
    <row r="656" customFormat="false" ht="15" hidden="false" customHeight="false" outlineLevel="0" collapsed="false">
      <c r="A656" s="11" t="n">
        <v>44851</v>
      </c>
      <c r="B656" s="12" t="n">
        <v>12</v>
      </c>
      <c r="C656" s="12" t="n">
        <f aca="false">IF(NOT(ISNUMBER(B656)),"",ROUND((INDEX(BP!$D$5:$D$9,MATCH(B656,BP!$A$5:$A$9,1))-INDEX(BP!$C$5:$C$9,MATCH(B656,BP!$A$5:$A$9,1)))/(INDEX(BP!$B$5:$B$9,MATCH(B656,BP!$A$5:$A$9,1))-INDEX(BP!$A$5:$A$9,MATCH(B656,BP!$A$5:$A$9,1)))*(B656-INDEX(BP!$A$5:$A$9,MATCH(B656,BP!$A$5:$A$9,1)))+INDEX(BP!$C$5:$C$9,MATCH(B656,BP!$A$5:$A$9,1)),0))</f>
        <v>20</v>
      </c>
      <c r="D656" s="12" t="str">
        <f aca="false">IF(NOT(ISNUMBER(C656)),"",INDEX(BP!$F$5:$F$9,MATCH(C656,BP!$E$5:$E$9,1)))</f>
        <v>ดีมาก</v>
      </c>
      <c r="E656" s="12" t="n">
        <f aca="false">YEAR(A656)</f>
        <v>2022</v>
      </c>
      <c r="F656" s="12" t="n">
        <f aca="false">MONTH(A656)</f>
        <v>10</v>
      </c>
      <c r="G656" s="12" t="n">
        <v>15</v>
      </c>
      <c r="H656" s="12" t="n">
        <v>34.6</v>
      </c>
      <c r="I656" s="12" t="n">
        <v>280</v>
      </c>
      <c r="J656" s="12" t="n">
        <v>13.8</v>
      </c>
      <c r="K656" s="12" t="n">
        <v>10.4</v>
      </c>
      <c r="L656" s="12" t="s">
        <v>36</v>
      </c>
    </row>
    <row r="657" customFormat="false" ht="15" hidden="false" customHeight="false" outlineLevel="0" collapsed="false">
      <c r="A657" s="11" t="n">
        <v>44852</v>
      </c>
      <c r="B657" s="12" t="n">
        <v>11</v>
      </c>
      <c r="C657" s="12" t="n">
        <f aca="false">IF(NOT(ISNUMBER(B657)),"",ROUND((INDEX(BP!$D$5:$D$9,MATCH(B657,BP!$A$5:$A$9,1))-INDEX(BP!$C$5:$C$9,MATCH(B657,BP!$A$5:$A$9,1)))/(INDEX(BP!$B$5:$B$9,MATCH(B657,BP!$A$5:$A$9,1))-INDEX(BP!$A$5:$A$9,MATCH(B657,BP!$A$5:$A$9,1)))*(B657-INDEX(BP!$A$5:$A$9,MATCH(B657,BP!$A$5:$A$9,1)))+INDEX(BP!$C$5:$C$9,MATCH(B657,BP!$A$5:$A$9,1)),0))</f>
        <v>18</v>
      </c>
      <c r="D657" s="12" t="str">
        <f aca="false">IF(NOT(ISNUMBER(C657)),"",INDEX(BP!$F$5:$F$9,MATCH(C657,BP!$E$5:$E$9,1)))</f>
        <v>ดีมาก</v>
      </c>
      <c r="E657" s="12" t="n">
        <f aca="false">YEAR(A657)</f>
        <v>2022</v>
      </c>
      <c r="F657" s="12" t="n">
        <f aca="false">MONTH(A657)</f>
        <v>10</v>
      </c>
      <c r="G657" s="12" t="n">
        <v>21.1</v>
      </c>
      <c r="H657" s="12" t="n">
        <v>46.1</v>
      </c>
      <c r="I657" s="12" t="n">
        <v>243</v>
      </c>
      <c r="J657" s="12" t="n">
        <v>3.3</v>
      </c>
      <c r="K657" s="12" t="n">
        <v>22.4</v>
      </c>
      <c r="L657" s="12" t="s">
        <v>36</v>
      </c>
    </row>
    <row r="658" customFormat="false" ht="15" hidden="false" customHeight="false" outlineLevel="0" collapsed="false">
      <c r="A658" s="11" t="n">
        <v>44853</v>
      </c>
      <c r="B658" s="12" t="n">
        <v>12</v>
      </c>
      <c r="C658" s="12" t="n">
        <f aca="false">IF(NOT(ISNUMBER(B658)),"",ROUND((INDEX(BP!$D$5:$D$9,MATCH(B658,BP!$A$5:$A$9,1))-INDEX(BP!$C$5:$C$9,MATCH(B658,BP!$A$5:$A$9,1)))/(INDEX(BP!$B$5:$B$9,MATCH(B658,BP!$A$5:$A$9,1))-INDEX(BP!$A$5:$A$9,MATCH(B658,BP!$A$5:$A$9,1)))*(B658-INDEX(BP!$A$5:$A$9,MATCH(B658,BP!$A$5:$A$9,1)))+INDEX(BP!$C$5:$C$9,MATCH(B658,BP!$A$5:$A$9,1)),0))</f>
        <v>20</v>
      </c>
      <c r="D658" s="12" t="str">
        <f aca="false">IF(NOT(ISNUMBER(C658)),"",INDEX(BP!$F$5:$F$9,MATCH(C658,BP!$E$5:$E$9,1)))</f>
        <v>ดีมาก</v>
      </c>
      <c r="E658" s="12" t="n">
        <f aca="false">YEAR(A658)</f>
        <v>2022</v>
      </c>
      <c r="F658" s="12" t="n">
        <f aca="false">MONTH(A658)</f>
        <v>10</v>
      </c>
      <c r="G658" s="12" t="n">
        <v>14.5</v>
      </c>
      <c r="H658" s="12" t="n">
        <v>39.2</v>
      </c>
      <c r="I658" s="12" t="n">
        <v>249</v>
      </c>
      <c r="J658" s="12" t="n">
        <v>22.6</v>
      </c>
      <c r="K658" s="12" t="n">
        <v>6.4</v>
      </c>
      <c r="L658" s="12" t="s">
        <v>36</v>
      </c>
    </row>
    <row r="659" customFormat="false" ht="15" hidden="false" customHeight="false" outlineLevel="0" collapsed="false">
      <c r="A659" s="11" t="n">
        <v>44854</v>
      </c>
      <c r="B659" s="12" t="n">
        <v>14</v>
      </c>
      <c r="C659" s="12" t="n">
        <f aca="false">IF(NOT(ISNUMBER(B659)),"",ROUND((INDEX(BP!$D$5:$D$9,MATCH(B659,BP!$A$5:$A$9,1))-INDEX(BP!$C$5:$C$9,MATCH(B659,BP!$A$5:$A$9,1)))/(INDEX(BP!$B$5:$B$9,MATCH(B659,BP!$A$5:$A$9,1))-INDEX(BP!$A$5:$A$9,MATCH(B659,BP!$A$5:$A$9,1)))*(B659-INDEX(BP!$A$5:$A$9,MATCH(B659,BP!$A$5:$A$9,1)))+INDEX(BP!$C$5:$C$9,MATCH(B659,BP!$A$5:$A$9,1)),0))</f>
        <v>23</v>
      </c>
      <c r="D659" s="12" t="str">
        <f aca="false">IF(NOT(ISNUMBER(C659)),"",INDEX(BP!$F$5:$F$9,MATCH(C659,BP!$E$5:$E$9,1)))</f>
        <v>ดีมาก</v>
      </c>
      <c r="E659" s="12" t="n">
        <f aca="false">YEAR(A659)</f>
        <v>2022</v>
      </c>
      <c r="F659" s="12" t="n">
        <f aca="false">MONTH(A659)</f>
        <v>10</v>
      </c>
      <c r="G659" s="12" t="n">
        <v>8.4</v>
      </c>
      <c r="H659" s="12" t="n">
        <v>26.6</v>
      </c>
      <c r="I659" s="12" t="n">
        <v>89</v>
      </c>
      <c r="J659" s="12" t="n">
        <v>14.6</v>
      </c>
      <c r="K659" s="12" t="n">
        <v>1.2</v>
      </c>
      <c r="L659" s="12" t="s">
        <v>36</v>
      </c>
    </row>
    <row r="660" customFormat="false" ht="15" hidden="false" customHeight="false" outlineLevel="0" collapsed="false">
      <c r="A660" s="11" t="n">
        <v>44855</v>
      </c>
      <c r="B660" s="12" t="n">
        <v>13</v>
      </c>
      <c r="C660" s="12" t="n">
        <f aca="false">IF(NOT(ISNUMBER(B660)),"",ROUND((INDEX(BP!$D$5:$D$9,MATCH(B660,BP!$A$5:$A$9,1))-INDEX(BP!$C$5:$C$9,MATCH(B660,BP!$A$5:$A$9,1)))/(INDEX(BP!$B$5:$B$9,MATCH(B660,BP!$A$5:$A$9,1))-INDEX(BP!$A$5:$A$9,MATCH(B660,BP!$A$5:$A$9,1)))*(B660-INDEX(BP!$A$5:$A$9,MATCH(B660,BP!$A$5:$A$9,1)))+INDEX(BP!$C$5:$C$9,MATCH(B660,BP!$A$5:$A$9,1)),0))</f>
        <v>22</v>
      </c>
      <c r="D660" s="12" t="str">
        <f aca="false">IF(NOT(ISNUMBER(C660)),"",INDEX(BP!$F$5:$F$9,MATCH(C660,BP!$E$5:$E$9,1)))</f>
        <v>ดีมาก</v>
      </c>
      <c r="E660" s="12" t="n">
        <f aca="false">YEAR(A660)</f>
        <v>2022</v>
      </c>
      <c r="F660" s="12" t="n">
        <f aca="false">MONTH(A660)</f>
        <v>10</v>
      </c>
      <c r="G660" s="12" t="n">
        <v>11.3</v>
      </c>
      <c r="H660" s="12" t="n">
        <v>28.8</v>
      </c>
      <c r="I660" s="12" t="n">
        <v>60</v>
      </c>
      <c r="J660" s="12" t="n">
        <v>23.8</v>
      </c>
      <c r="K660" s="12" t="n">
        <v>3.4</v>
      </c>
      <c r="L660" s="12" t="s">
        <v>36</v>
      </c>
    </row>
    <row r="661" customFormat="false" ht="15" hidden="false" customHeight="false" outlineLevel="0" collapsed="false">
      <c r="A661" s="11" t="n">
        <v>44856</v>
      </c>
      <c r="B661" s="12" t="n">
        <v>10</v>
      </c>
      <c r="C661" s="12" t="n">
        <f aca="false">IF(NOT(ISNUMBER(B661)),"",ROUND((INDEX(BP!$D$5:$D$9,MATCH(B661,BP!$A$5:$A$9,1))-INDEX(BP!$C$5:$C$9,MATCH(B661,BP!$A$5:$A$9,1)))/(INDEX(BP!$B$5:$B$9,MATCH(B661,BP!$A$5:$A$9,1))-INDEX(BP!$A$5:$A$9,MATCH(B661,BP!$A$5:$A$9,1)))*(B661-INDEX(BP!$A$5:$A$9,MATCH(B661,BP!$A$5:$A$9,1)))+INDEX(BP!$C$5:$C$9,MATCH(B661,BP!$A$5:$A$9,1)),0))</f>
        <v>17</v>
      </c>
      <c r="D661" s="12" t="str">
        <f aca="false">IF(NOT(ISNUMBER(C661)),"",INDEX(BP!$F$5:$F$9,MATCH(C661,BP!$E$5:$E$9,1)))</f>
        <v>ดีมาก</v>
      </c>
      <c r="E661" s="12" t="n">
        <f aca="false">YEAR(A661)</f>
        <v>2022</v>
      </c>
      <c r="F661" s="12" t="n">
        <f aca="false">MONTH(A661)</f>
        <v>10</v>
      </c>
      <c r="G661" s="12" t="n">
        <v>10.9</v>
      </c>
      <c r="H661" s="12" t="n">
        <v>23.4</v>
      </c>
      <c r="I661" s="12" t="n">
        <v>51</v>
      </c>
      <c r="J661" s="12" t="n">
        <v>2.7</v>
      </c>
      <c r="K661" s="12" t="n">
        <v>3.2</v>
      </c>
      <c r="L661" s="12" t="s">
        <v>35</v>
      </c>
    </row>
    <row r="662" customFormat="false" ht="15" hidden="false" customHeight="false" outlineLevel="0" collapsed="false">
      <c r="A662" s="11" t="n">
        <v>44857</v>
      </c>
      <c r="B662" s="12" t="n">
        <v>10</v>
      </c>
      <c r="C662" s="12" t="n">
        <f aca="false">IF(NOT(ISNUMBER(B662)),"",ROUND((INDEX(BP!$D$5:$D$9,MATCH(B662,BP!$A$5:$A$9,1))-INDEX(BP!$C$5:$C$9,MATCH(B662,BP!$A$5:$A$9,1)))/(INDEX(BP!$B$5:$B$9,MATCH(B662,BP!$A$5:$A$9,1))-INDEX(BP!$A$5:$A$9,MATCH(B662,BP!$A$5:$A$9,1)))*(B662-INDEX(BP!$A$5:$A$9,MATCH(B662,BP!$A$5:$A$9,1)))+INDEX(BP!$C$5:$C$9,MATCH(B662,BP!$A$5:$A$9,1)),0))</f>
        <v>17</v>
      </c>
      <c r="D662" s="12" t="str">
        <f aca="false">IF(NOT(ISNUMBER(C662)),"",INDEX(BP!$F$5:$F$9,MATCH(C662,BP!$E$5:$E$9,1)))</f>
        <v>ดีมาก</v>
      </c>
      <c r="E662" s="12" t="n">
        <f aca="false">YEAR(A662)</f>
        <v>2022</v>
      </c>
      <c r="F662" s="12" t="n">
        <f aca="false">MONTH(A662)</f>
        <v>10</v>
      </c>
      <c r="G662" s="12" t="n">
        <v>11.6</v>
      </c>
      <c r="H662" s="12" t="n">
        <v>23.8</v>
      </c>
      <c r="I662" s="12" t="n">
        <v>32</v>
      </c>
      <c r="J662" s="12" t="n">
        <v>4.9</v>
      </c>
      <c r="K662" s="12" t="n">
        <v>0.2</v>
      </c>
      <c r="L662" s="12" t="s">
        <v>34</v>
      </c>
    </row>
    <row r="663" customFormat="false" ht="15" hidden="false" customHeight="false" outlineLevel="0" collapsed="false">
      <c r="A663" s="11" t="n">
        <v>44858</v>
      </c>
      <c r="B663" s="12" t="n">
        <v>13</v>
      </c>
      <c r="C663" s="12" t="n">
        <f aca="false">IF(NOT(ISNUMBER(B663)),"",ROUND((INDEX(BP!$D$5:$D$9,MATCH(B663,BP!$A$5:$A$9,1))-INDEX(BP!$C$5:$C$9,MATCH(B663,BP!$A$5:$A$9,1)))/(INDEX(BP!$B$5:$B$9,MATCH(B663,BP!$A$5:$A$9,1))-INDEX(BP!$A$5:$A$9,MATCH(B663,BP!$A$5:$A$9,1)))*(B663-INDEX(BP!$A$5:$A$9,MATCH(B663,BP!$A$5:$A$9,1)))+INDEX(BP!$C$5:$C$9,MATCH(B663,BP!$A$5:$A$9,1)),0))</f>
        <v>22</v>
      </c>
      <c r="D663" s="12" t="str">
        <f aca="false">IF(NOT(ISNUMBER(C663)),"",INDEX(BP!$F$5:$F$9,MATCH(C663,BP!$E$5:$E$9,1)))</f>
        <v>ดีมาก</v>
      </c>
      <c r="E663" s="12" t="n">
        <f aca="false">YEAR(A663)</f>
        <v>2022</v>
      </c>
      <c r="F663" s="12" t="n">
        <f aca="false">MONTH(A663)</f>
        <v>10</v>
      </c>
      <c r="G663" s="12" t="n">
        <v>10</v>
      </c>
      <c r="H663" s="12" t="n">
        <v>24.1</v>
      </c>
      <c r="I663" s="12" t="n">
        <v>288</v>
      </c>
      <c r="J663" s="12" t="n">
        <v>5</v>
      </c>
      <c r="K663" s="12" t="n">
        <v>0.6</v>
      </c>
      <c r="L663" s="12" t="s">
        <v>34</v>
      </c>
    </row>
    <row r="664" customFormat="false" ht="15" hidden="false" customHeight="false" outlineLevel="0" collapsed="false">
      <c r="A664" s="11" t="n">
        <v>44859</v>
      </c>
      <c r="B664" s="12" t="n">
        <v>14</v>
      </c>
      <c r="C664" s="12" t="n">
        <f aca="false">IF(NOT(ISNUMBER(B664)),"",ROUND((INDEX(BP!$D$5:$D$9,MATCH(B664,BP!$A$5:$A$9,1))-INDEX(BP!$C$5:$C$9,MATCH(B664,BP!$A$5:$A$9,1)))/(INDEX(BP!$B$5:$B$9,MATCH(B664,BP!$A$5:$A$9,1))-INDEX(BP!$A$5:$A$9,MATCH(B664,BP!$A$5:$A$9,1)))*(B664-INDEX(BP!$A$5:$A$9,MATCH(B664,BP!$A$5:$A$9,1)))+INDEX(BP!$C$5:$C$9,MATCH(B664,BP!$A$5:$A$9,1)),0))</f>
        <v>23</v>
      </c>
      <c r="D664" s="12" t="str">
        <f aca="false">IF(NOT(ISNUMBER(C664)),"",INDEX(BP!$F$5:$F$9,MATCH(C664,BP!$E$5:$E$9,1)))</f>
        <v>ดีมาก</v>
      </c>
      <c r="E664" s="12" t="n">
        <f aca="false">YEAR(A664)</f>
        <v>2022</v>
      </c>
      <c r="F664" s="12" t="n">
        <f aca="false">MONTH(A664)</f>
        <v>10</v>
      </c>
      <c r="G664" s="12" t="n">
        <v>13.8</v>
      </c>
      <c r="H664" s="12" t="n">
        <v>25.9</v>
      </c>
      <c r="I664" s="12" t="n">
        <v>290</v>
      </c>
      <c r="J664" s="12" t="n">
        <v>17</v>
      </c>
      <c r="K664" s="12" t="n">
        <v>0.4</v>
      </c>
      <c r="L664" s="12" t="s">
        <v>36</v>
      </c>
    </row>
    <row r="665" customFormat="false" ht="15" hidden="false" customHeight="false" outlineLevel="0" collapsed="false">
      <c r="A665" s="11" t="n">
        <v>44860</v>
      </c>
      <c r="B665" s="12" t="n">
        <v>13</v>
      </c>
      <c r="C665" s="12" t="n">
        <f aca="false">IF(NOT(ISNUMBER(B665)),"",ROUND((INDEX(BP!$D$5:$D$9,MATCH(B665,BP!$A$5:$A$9,1))-INDEX(BP!$C$5:$C$9,MATCH(B665,BP!$A$5:$A$9,1)))/(INDEX(BP!$B$5:$B$9,MATCH(B665,BP!$A$5:$A$9,1))-INDEX(BP!$A$5:$A$9,MATCH(B665,BP!$A$5:$A$9,1)))*(B665-INDEX(BP!$A$5:$A$9,MATCH(B665,BP!$A$5:$A$9,1)))+INDEX(BP!$C$5:$C$9,MATCH(B665,BP!$A$5:$A$9,1)),0))</f>
        <v>22</v>
      </c>
      <c r="D665" s="12" t="str">
        <f aca="false">IF(NOT(ISNUMBER(C665)),"",INDEX(BP!$F$5:$F$9,MATCH(C665,BP!$E$5:$E$9,1)))</f>
        <v>ดีมาก</v>
      </c>
      <c r="E665" s="12" t="n">
        <f aca="false">YEAR(A665)</f>
        <v>2022</v>
      </c>
      <c r="F665" s="12" t="n">
        <f aca="false">MONTH(A665)</f>
        <v>10</v>
      </c>
      <c r="G665" s="12" t="n">
        <v>11.2</v>
      </c>
      <c r="H665" s="12" t="n">
        <v>26.6</v>
      </c>
      <c r="I665" s="12" t="n">
        <v>236</v>
      </c>
      <c r="J665" s="12" t="n">
        <v>0.7</v>
      </c>
      <c r="K665" s="12" t="n">
        <v>15.2</v>
      </c>
      <c r="L665" s="12" t="s">
        <v>36</v>
      </c>
    </row>
    <row r="666" customFormat="false" ht="15" hidden="false" customHeight="false" outlineLevel="0" collapsed="false">
      <c r="A666" s="11" t="n">
        <v>44861</v>
      </c>
      <c r="B666" s="12" t="n">
        <v>18</v>
      </c>
      <c r="C666" s="12" t="n">
        <f aca="false">IF(NOT(ISNUMBER(B666)),"",ROUND((INDEX(BP!$D$5:$D$9,MATCH(B666,BP!$A$5:$A$9,1))-INDEX(BP!$C$5:$C$9,MATCH(B666,BP!$A$5:$A$9,1)))/(INDEX(BP!$B$5:$B$9,MATCH(B666,BP!$A$5:$A$9,1))-INDEX(BP!$A$5:$A$9,MATCH(B666,BP!$A$5:$A$9,1)))*(B666-INDEX(BP!$A$5:$A$9,MATCH(B666,BP!$A$5:$A$9,1)))+INDEX(BP!$C$5:$C$9,MATCH(B666,BP!$A$5:$A$9,1)),0))</f>
        <v>33</v>
      </c>
      <c r="D666" s="12" t="str">
        <f aca="false">IF(NOT(ISNUMBER(C666)),"",INDEX(BP!$F$5:$F$9,MATCH(C666,BP!$E$5:$E$9,1)))</f>
        <v>ดี</v>
      </c>
      <c r="E666" s="12" t="n">
        <f aca="false">YEAR(A666)</f>
        <v>2022</v>
      </c>
      <c r="F666" s="12" t="n">
        <f aca="false">MONTH(A666)</f>
        <v>10</v>
      </c>
      <c r="G666" s="12" t="n">
        <v>10.5</v>
      </c>
      <c r="H666" s="12" t="n">
        <v>25.2</v>
      </c>
      <c r="I666" s="12" t="n">
        <v>292</v>
      </c>
      <c r="J666" s="12" t="n">
        <v>4.6</v>
      </c>
      <c r="K666" s="12" t="n">
        <v>8</v>
      </c>
      <c r="L666" s="12" t="s">
        <v>36</v>
      </c>
    </row>
    <row r="667" customFormat="false" ht="15" hidden="false" customHeight="false" outlineLevel="0" collapsed="false">
      <c r="A667" s="11" t="n">
        <v>44862</v>
      </c>
      <c r="B667" s="12" t="n">
        <v>17</v>
      </c>
      <c r="C667" s="12" t="n">
        <f aca="false">IF(NOT(ISNUMBER(B667)),"",ROUND((INDEX(BP!$D$5:$D$9,MATCH(B667,BP!$A$5:$A$9,1))-INDEX(BP!$C$5:$C$9,MATCH(B667,BP!$A$5:$A$9,1)))/(INDEX(BP!$B$5:$B$9,MATCH(B667,BP!$A$5:$A$9,1))-INDEX(BP!$A$5:$A$9,MATCH(B667,BP!$A$5:$A$9,1)))*(B667-INDEX(BP!$A$5:$A$9,MATCH(B667,BP!$A$5:$A$9,1)))+INDEX(BP!$C$5:$C$9,MATCH(B667,BP!$A$5:$A$9,1)),0))</f>
        <v>31</v>
      </c>
      <c r="D667" s="12" t="str">
        <f aca="false">IF(NOT(ISNUMBER(C667)),"",INDEX(BP!$F$5:$F$9,MATCH(C667,BP!$E$5:$E$9,1)))</f>
        <v>ดี</v>
      </c>
      <c r="E667" s="12" t="n">
        <f aca="false">YEAR(A667)</f>
        <v>2022</v>
      </c>
      <c r="F667" s="12" t="n">
        <f aca="false">MONTH(A667)</f>
        <v>10</v>
      </c>
      <c r="G667" s="12" t="n">
        <v>13</v>
      </c>
      <c r="H667" s="12" t="n">
        <v>29.5</v>
      </c>
      <c r="I667" s="12" t="n">
        <v>29</v>
      </c>
      <c r="J667" s="12" t="n">
        <v>15.5</v>
      </c>
      <c r="K667" s="12" t="n">
        <v>5</v>
      </c>
      <c r="L667" s="12" t="s">
        <v>36</v>
      </c>
    </row>
    <row r="668" customFormat="false" ht="15" hidden="false" customHeight="false" outlineLevel="0" collapsed="false">
      <c r="A668" s="11" t="n">
        <v>44863</v>
      </c>
      <c r="B668" s="12" t="n">
        <v>9</v>
      </c>
      <c r="C668" s="12" t="n">
        <f aca="false">IF(NOT(ISNUMBER(B668)),"",ROUND((INDEX(BP!$D$5:$D$9,MATCH(B668,BP!$A$5:$A$9,1))-INDEX(BP!$C$5:$C$9,MATCH(B668,BP!$A$5:$A$9,1)))/(INDEX(BP!$B$5:$B$9,MATCH(B668,BP!$A$5:$A$9,1))-INDEX(BP!$A$5:$A$9,MATCH(B668,BP!$A$5:$A$9,1)))*(B668-INDEX(BP!$A$5:$A$9,MATCH(B668,BP!$A$5:$A$9,1)))+INDEX(BP!$C$5:$C$9,MATCH(B668,BP!$A$5:$A$9,1)),0))</f>
        <v>15</v>
      </c>
      <c r="D668" s="12" t="str">
        <f aca="false">IF(NOT(ISNUMBER(C668)),"",INDEX(BP!$F$5:$F$9,MATCH(C668,BP!$E$5:$E$9,1)))</f>
        <v>ดีมาก</v>
      </c>
      <c r="E668" s="12" t="n">
        <f aca="false">YEAR(A668)</f>
        <v>2022</v>
      </c>
      <c r="F668" s="12" t="n">
        <f aca="false">MONTH(A668)</f>
        <v>10</v>
      </c>
      <c r="G668" s="12" t="n">
        <v>13.1</v>
      </c>
      <c r="H668" s="12" t="n">
        <v>31.3</v>
      </c>
      <c r="I668" s="12" t="n">
        <v>82</v>
      </c>
      <c r="J668" s="12" t="n">
        <v>10.3</v>
      </c>
      <c r="K668" s="12" t="n">
        <v>15.4</v>
      </c>
      <c r="L668" s="12" t="s">
        <v>35</v>
      </c>
    </row>
    <row r="669" customFormat="false" ht="15" hidden="false" customHeight="false" outlineLevel="0" collapsed="false">
      <c r="A669" s="11" t="n">
        <v>44864</v>
      </c>
      <c r="B669" s="12" t="n">
        <v>10</v>
      </c>
      <c r="C669" s="12" t="n">
        <f aca="false">IF(NOT(ISNUMBER(B669)),"",ROUND((INDEX(BP!$D$5:$D$9,MATCH(B669,BP!$A$5:$A$9,1))-INDEX(BP!$C$5:$C$9,MATCH(B669,BP!$A$5:$A$9,1)))/(INDEX(BP!$B$5:$B$9,MATCH(B669,BP!$A$5:$A$9,1))-INDEX(BP!$A$5:$A$9,MATCH(B669,BP!$A$5:$A$9,1)))*(B669-INDEX(BP!$A$5:$A$9,MATCH(B669,BP!$A$5:$A$9,1)))+INDEX(BP!$C$5:$C$9,MATCH(B669,BP!$A$5:$A$9,1)),0))</f>
        <v>17</v>
      </c>
      <c r="D669" s="12" t="str">
        <f aca="false">IF(NOT(ISNUMBER(C669)),"",INDEX(BP!$F$5:$F$9,MATCH(C669,BP!$E$5:$E$9,1)))</f>
        <v>ดีมาก</v>
      </c>
      <c r="E669" s="12" t="n">
        <f aca="false">YEAR(A669)</f>
        <v>2022</v>
      </c>
      <c r="F669" s="12" t="n">
        <f aca="false">MONTH(A669)</f>
        <v>10</v>
      </c>
      <c r="G669" s="12" t="n">
        <v>12.9</v>
      </c>
      <c r="H669" s="12" t="n">
        <v>31.7</v>
      </c>
      <c r="I669" s="12" t="n">
        <v>37</v>
      </c>
      <c r="J669" s="12" t="n">
        <v>1.3</v>
      </c>
      <c r="K669" s="12" t="n">
        <v>0</v>
      </c>
      <c r="L669" s="12" t="s">
        <v>35</v>
      </c>
    </row>
    <row r="670" customFormat="false" ht="15" hidden="false" customHeight="false" outlineLevel="0" collapsed="false">
      <c r="A670" s="11" t="n">
        <v>44865</v>
      </c>
      <c r="B670" s="12" t="n">
        <v>14</v>
      </c>
      <c r="C670" s="12" t="n">
        <f aca="false">IF(NOT(ISNUMBER(B670)),"",ROUND((INDEX(BP!$D$5:$D$9,MATCH(B670,BP!$A$5:$A$9,1))-INDEX(BP!$C$5:$C$9,MATCH(B670,BP!$A$5:$A$9,1)))/(INDEX(BP!$B$5:$B$9,MATCH(B670,BP!$A$5:$A$9,1))-INDEX(BP!$A$5:$A$9,MATCH(B670,BP!$A$5:$A$9,1)))*(B670-INDEX(BP!$A$5:$A$9,MATCH(B670,BP!$A$5:$A$9,1)))+INDEX(BP!$C$5:$C$9,MATCH(B670,BP!$A$5:$A$9,1)),0))</f>
        <v>23</v>
      </c>
      <c r="D670" s="12" t="str">
        <f aca="false">IF(NOT(ISNUMBER(C670)),"",INDEX(BP!$F$5:$F$9,MATCH(C670,BP!$E$5:$E$9,1)))</f>
        <v>ดีมาก</v>
      </c>
      <c r="E670" s="12" t="n">
        <f aca="false">YEAR(A670)</f>
        <v>2022</v>
      </c>
      <c r="F670" s="12" t="n">
        <f aca="false">MONTH(A670)</f>
        <v>10</v>
      </c>
      <c r="G670" s="12" t="n">
        <v>9.5</v>
      </c>
      <c r="H670" s="12" t="n">
        <v>24.1</v>
      </c>
      <c r="I670" s="12" t="n">
        <v>196</v>
      </c>
      <c r="J670" s="12" t="n">
        <v>15.8</v>
      </c>
      <c r="K670" s="12" t="n">
        <v>0.6</v>
      </c>
      <c r="L670" s="12" t="s">
        <v>36</v>
      </c>
    </row>
    <row r="671" customFormat="false" ht="15" hidden="false" customHeight="false" outlineLevel="0" collapsed="false">
      <c r="A671" s="11" t="n">
        <v>44866</v>
      </c>
      <c r="B671" s="12" t="n">
        <v>19</v>
      </c>
      <c r="C671" s="12" t="n">
        <f aca="false">IF(NOT(ISNUMBER(B671)),"",ROUND((INDEX(BP!$D$5:$D$9,MATCH(B671,BP!$A$5:$A$9,1))-INDEX(BP!$C$5:$C$9,MATCH(B671,BP!$A$5:$A$9,1)))/(INDEX(BP!$B$5:$B$9,MATCH(B671,BP!$A$5:$A$9,1))-INDEX(BP!$A$5:$A$9,MATCH(B671,BP!$A$5:$A$9,1)))*(B671-INDEX(BP!$A$5:$A$9,MATCH(B671,BP!$A$5:$A$9,1)))+INDEX(BP!$C$5:$C$9,MATCH(B671,BP!$A$5:$A$9,1)),0))</f>
        <v>35</v>
      </c>
      <c r="D671" s="12" t="str">
        <f aca="false">IF(NOT(ISNUMBER(C671)),"",INDEX(BP!$F$5:$F$9,MATCH(C671,BP!$E$5:$E$9,1)))</f>
        <v>ดี</v>
      </c>
      <c r="E671" s="12" t="n">
        <f aca="false">YEAR(A671)</f>
        <v>2022</v>
      </c>
      <c r="F671" s="12" t="n">
        <f aca="false">MONTH(A671)</f>
        <v>11</v>
      </c>
      <c r="G671" s="12" t="n">
        <v>12.1</v>
      </c>
      <c r="H671" s="12" t="n">
        <v>27.4</v>
      </c>
      <c r="I671" s="12" t="n">
        <v>0</v>
      </c>
      <c r="J671" s="12" t="n">
        <v>1</v>
      </c>
      <c r="K671" s="12" t="n">
        <v>0</v>
      </c>
      <c r="L671" s="12" t="s">
        <v>36</v>
      </c>
    </row>
    <row r="672" customFormat="false" ht="15" hidden="false" customHeight="false" outlineLevel="0" collapsed="false">
      <c r="A672" s="11" t="n">
        <v>44867</v>
      </c>
      <c r="B672" s="12" t="n">
        <v>19</v>
      </c>
      <c r="C672" s="12" t="n">
        <f aca="false">IF(NOT(ISNUMBER(B672)),"",ROUND((INDEX(BP!$D$5:$D$9,MATCH(B672,BP!$A$5:$A$9,1))-INDEX(BP!$C$5:$C$9,MATCH(B672,BP!$A$5:$A$9,1)))/(INDEX(BP!$B$5:$B$9,MATCH(B672,BP!$A$5:$A$9,1))-INDEX(BP!$A$5:$A$9,MATCH(B672,BP!$A$5:$A$9,1)))*(B672-INDEX(BP!$A$5:$A$9,MATCH(B672,BP!$A$5:$A$9,1)))+INDEX(BP!$C$5:$C$9,MATCH(B672,BP!$A$5:$A$9,1)),0))</f>
        <v>35</v>
      </c>
      <c r="D672" s="12" t="str">
        <f aca="false">IF(NOT(ISNUMBER(C672)),"",INDEX(BP!$F$5:$F$9,MATCH(C672,BP!$E$5:$E$9,1)))</f>
        <v>ดี</v>
      </c>
      <c r="E672" s="12" t="n">
        <f aca="false">YEAR(A672)</f>
        <v>2022</v>
      </c>
      <c r="F672" s="12" t="n">
        <f aca="false">MONTH(A672)</f>
        <v>11</v>
      </c>
      <c r="G672" s="12" t="n">
        <v>13.3</v>
      </c>
      <c r="H672" s="12" t="n">
        <v>29.2</v>
      </c>
      <c r="I672" s="12" t="n">
        <v>22</v>
      </c>
      <c r="J672" s="12" t="n">
        <v>8.5</v>
      </c>
      <c r="K672" s="12" t="n">
        <v>0</v>
      </c>
      <c r="L672" s="12" t="s">
        <v>36</v>
      </c>
    </row>
    <row r="673" customFormat="false" ht="15" hidden="false" customHeight="false" outlineLevel="0" collapsed="false">
      <c r="A673" s="11" t="n">
        <v>44868</v>
      </c>
      <c r="B673" s="12" t="n">
        <v>16</v>
      </c>
      <c r="C673" s="12" t="n">
        <f aca="false">IF(NOT(ISNUMBER(B673)),"",ROUND((INDEX(BP!$D$5:$D$9,MATCH(B673,BP!$A$5:$A$9,1))-INDEX(BP!$C$5:$C$9,MATCH(B673,BP!$A$5:$A$9,1)))/(INDEX(BP!$B$5:$B$9,MATCH(B673,BP!$A$5:$A$9,1))-INDEX(BP!$A$5:$A$9,MATCH(B673,BP!$A$5:$A$9,1)))*(B673-INDEX(BP!$A$5:$A$9,MATCH(B673,BP!$A$5:$A$9,1)))+INDEX(BP!$C$5:$C$9,MATCH(B673,BP!$A$5:$A$9,1)),0))</f>
        <v>28</v>
      </c>
      <c r="D673" s="12" t="str">
        <f aca="false">IF(NOT(ISNUMBER(C673)),"",INDEX(BP!$F$5:$F$9,MATCH(C673,BP!$E$5:$E$9,1)))</f>
        <v>ดี</v>
      </c>
      <c r="E673" s="12" t="n">
        <f aca="false">YEAR(A673)</f>
        <v>2022</v>
      </c>
      <c r="F673" s="12" t="n">
        <f aca="false">MONTH(A673)</f>
        <v>11</v>
      </c>
      <c r="G673" s="12" t="n">
        <v>11.4</v>
      </c>
      <c r="H673" s="12" t="n">
        <v>27.4</v>
      </c>
      <c r="I673" s="12" t="n">
        <v>65</v>
      </c>
      <c r="J673" s="12" t="n">
        <v>20.1</v>
      </c>
      <c r="K673" s="12" t="n">
        <v>1.2</v>
      </c>
      <c r="L673" s="12" t="s">
        <v>36</v>
      </c>
    </row>
    <row r="674" customFormat="false" ht="15" hidden="false" customHeight="false" outlineLevel="0" collapsed="false">
      <c r="A674" s="11" t="n">
        <v>44869</v>
      </c>
      <c r="B674" s="12" t="n">
        <v>12</v>
      </c>
      <c r="C674" s="12" t="n">
        <f aca="false">IF(NOT(ISNUMBER(B674)),"",ROUND((INDEX(BP!$D$5:$D$9,MATCH(B674,BP!$A$5:$A$9,1))-INDEX(BP!$C$5:$C$9,MATCH(B674,BP!$A$5:$A$9,1)))/(INDEX(BP!$B$5:$B$9,MATCH(B674,BP!$A$5:$A$9,1))-INDEX(BP!$A$5:$A$9,MATCH(B674,BP!$A$5:$A$9,1)))*(B674-INDEX(BP!$A$5:$A$9,MATCH(B674,BP!$A$5:$A$9,1)))+INDEX(BP!$C$5:$C$9,MATCH(B674,BP!$A$5:$A$9,1)),0))</f>
        <v>20</v>
      </c>
      <c r="D674" s="12" t="str">
        <f aca="false">IF(NOT(ISNUMBER(C674)),"",INDEX(BP!$F$5:$F$9,MATCH(C674,BP!$E$5:$E$9,1)))</f>
        <v>ดีมาก</v>
      </c>
      <c r="E674" s="12" t="n">
        <f aca="false">YEAR(A674)</f>
        <v>2022</v>
      </c>
      <c r="F674" s="12" t="n">
        <f aca="false">MONTH(A674)</f>
        <v>11</v>
      </c>
      <c r="G674" s="12" t="n">
        <v>14</v>
      </c>
      <c r="H674" s="12" t="n">
        <v>31.7</v>
      </c>
      <c r="I674" s="12" t="n">
        <v>68</v>
      </c>
      <c r="J674" s="12" t="n">
        <v>24.1</v>
      </c>
      <c r="K674" s="12" t="n">
        <v>5.2</v>
      </c>
      <c r="L674" s="12" t="s">
        <v>36</v>
      </c>
    </row>
    <row r="675" customFormat="false" ht="15" hidden="false" customHeight="false" outlineLevel="0" collapsed="false">
      <c r="A675" s="11" t="n">
        <v>44870</v>
      </c>
      <c r="B675" s="12" t="n">
        <v>12</v>
      </c>
      <c r="C675" s="12" t="n">
        <f aca="false">IF(NOT(ISNUMBER(B675)),"",ROUND((INDEX(BP!$D$5:$D$9,MATCH(B675,BP!$A$5:$A$9,1))-INDEX(BP!$C$5:$C$9,MATCH(B675,BP!$A$5:$A$9,1)))/(INDEX(BP!$B$5:$B$9,MATCH(B675,BP!$A$5:$A$9,1))-INDEX(BP!$A$5:$A$9,MATCH(B675,BP!$A$5:$A$9,1)))*(B675-INDEX(BP!$A$5:$A$9,MATCH(B675,BP!$A$5:$A$9,1)))+INDEX(BP!$C$5:$C$9,MATCH(B675,BP!$A$5:$A$9,1)),0))</f>
        <v>20</v>
      </c>
      <c r="D675" s="12" t="str">
        <f aca="false">IF(NOT(ISNUMBER(C675)),"",INDEX(BP!$F$5:$F$9,MATCH(C675,BP!$E$5:$E$9,1)))</f>
        <v>ดีมาก</v>
      </c>
      <c r="E675" s="12" t="n">
        <f aca="false">YEAR(A675)</f>
        <v>2022</v>
      </c>
      <c r="F675" s="12" t="n">
        <f aca="false">MONTH(A675)</f>
        <v>11</v>
      </c>
      <c r="G675" s="12" t="n">
        <v>12.3</v>
      </c>
      <c r="H675" s="12" t="n">
        <v>27.4</v>
      </c>
      <c r="I675" s="12" t="n">
        <v>120</v>
      </c>
      <c r="J675" s="12" t="n">
        <v>30.8</v>
      </c>
      <c r="K675" s="12" t="n">
        <v>49.6</v>
      </c>
      <c r="L675" s="12" t="s">
        <v>35</v>
      </c>
    </row>
    <row r="676" customFormat="false" ht="15" hidden="false" customHeight="false" outlineLevel="0" collapsed="false">
      <c r="A676" s="11" t="n">
        <v>44871</v>
      </c>
      <c r="B676" s="12" t="n">
        <v>12</v>
      </c>
      <c r="C676" s="12" t="n">
        <f aca="false">IF(NOT(ISNUMBER(B676)),"",ROUND((INDEX(BP!$D$5:$D$9,MATCH(B676,BP!$A$5:$A$9,1))-INDEX(BP!$C$5:$C$9,MATCH(B676,BP!$A$5:$A$9,1)))/(INDEX(BP!$B$5:$B$9,MATCH(B676,BP!$A$5:$A$9,1))-INDEX(BP!$A$5:$A$9,MATCH(B676,BP!$A$5:$A$9,1)))*(B676-INDEX(BP!$A$5:$A$9,MATCH(B676,BP!$A$5:$A$9,1)))+INDEX(BP!$C$5:$C$9,MATCH(B676,BP!$A$5:$A$9,1)),0))</f>
        <v>20</v>
      </c>
      <c r="D676" s="12" t="str">
        <f aca="false">IF(NOT(ISNUMBER(C676)),"",INDEX(BP!$F$5:$F$9,MATCH(C676,BP!$E$5:$E$9,1)))</f>
        <v>ดีมาก</v>
      </c>
      <c r="E676" s="12" t="n">
        <f aca="false">YEAR(A676)</f>
        <v>2022</v>
      </c>
      <c r="F676" s="12" t="n">
        <f aca="false">MONTH(A676)</f>
        <v>11</v>
      </c>
      <c r="G676" s="12" t="n">
        <v>10.8</v>
      </c>
      <c r="H676" s="12" t="n">
        <v>25.9</v>
      </c>
      <c r="I676" s="12" t="n">
        <v>124</v>
      </c>
      <c r="J676" s="12" t="n">
        <v>16.9</v>
      </c>
      <c r="K676" s="12" t="n">
        <v>62.4</v>
      </c>
      <c r="L676" s="12" t="s">
        <v>35</v>
      </c>
    </row>
    <row r="677" customFormat="false" ht="15" hidden="false" customHeight="false" outlineLevel="0" collapsed="false">
      <c r="A677" s="11" t="n">
        <v>44872</v>
      </c>
      <c r="B677" s="12" t="n">
        <v>15</v>
      </c>
      <c r="C677" s="12" t="n">
        <f aca="false">IF(NOT(ISNUMBER(B677)),"",ROUND((INDEX(BP!$D$5:$D$9,MATCH(B677,BP!$A$5:$A$9,1))-INDEX(BP!$C$5:$C$9,MATCH(B677,BP!$A$5:$A$9,1)))/(INDEX(BP!$B$5:$B$9,MATCH(B677,BP!$A$5:$A$9,1))-INDEX(BP!$A$5:$A$9,MATCH(B677,BP!$A$5:$A$9,1)))*(B677-INDEX(BP!$A$5:$A$9,MATCH(B677,BP!$A$5:$A$9,1)))+INDEX(BP!$C$5:$C$9,MATCH(B677,BP!$A$5:$A$9,1)),0))</f>
        <v>25</v>
      </c>
      <c r="D677" s="12" t="str">
        <f aca="false">IF(NOT(ISNUMBER(C677)),"",INDEX(BP!$F$5:$F$9,MATCH(C677,BP!$E$5:$E$9,1)))</f>
        <v>ดีมาก</v>
      </c>
      <c r="E677" s="12" t="n">
        <f aca="false">YEAR(A677)</f>
        <v>2022</v>
      </c>
      <c r="F677" s="12" t="n">
        <f aca="false">MONTH(A677)</f>
        <v>11</v>
      </c>
      <c r="G677" s="12" t="n">
        <v>10.6</v>
      </c>
      <c r="H677" s="12" t="n">
        <v>26.6</v>
      </c>
      <c r="I677" s="12" t="n">
        <v>129</v>
      </c>
      <c r="J677" s="12" t="n">
        <v>9.4</v>
      </c>
      <c r="K677" s="12" t="n">
        <v>0</v>
      </c>
      <c r="L677" s="12" t="s">
        <v>36</v>
      </c>
    </row>
    <row r="678" customFormat="false" ht="15" hidden="false" customHeight="false" outlineLevel="0" collapsed="false">
      <c r="A678" s="11" t="n">
        <v>44873</v>
      </c>
      <c r="B678" s="12" t="n">
        <v>15</v>
      </c>
      <c r="C678" s="12" t="n">
        <f aca="false">IF(NOT(ISNUMBER(B678)),"",ROUND((INDEX(BP!$D$5:$D$9,MATCH(B678,BP!$A$5:$A$9,1))-INDEX(BP!$C$5:$C$9,MATCH(B678,BP!$A$5:$A$9,1)))/(INDEX(BP!$B$5:$B$9,MATCH(B678,BP!$A$5:$A$9,1))-INDEX(BP!$A$5:$A$9,MATCH(B678,BP!$A$5:$A$9,1)))*(B678-INDEX(BP!$A$5:$A$9,MATCH(B678,BP!$A$5:$A$9,1)))+INDEX(BP!$C$5:$C$9,MATCH(B678,BP!$A$5:$A$9,1)),0))</f>
        <v>25</v>
      </c>
      <c r="D678" s="12" t="str">
        <f aca="false">IF(NOT(ISNUMBER(C678)),"",INDEX(BP!$F$5:$F$9,MATCH(C678,BP!$E$5:$E$9,1)))</f>
        <v>ดีมาก</v>
      </c>
      <c r="E678" s="12" t="n">
        <f aca="false">YEAR(A678)</f>
        <v>2022</v>
      </c>
      <c r="F678" s="12" t="n">
        <f aca="false">MONTH(A678)</f>
        <v>11</v>
      </c>
      <c r="G678" s="12" t="n">
        <v>17.3</v>
      </c>
      <c r="H678" s="12" t="n">
        <v>35.3</v>
      </c>
      <c r="I678" s="12" t="n">
        <v>77</v>
      </c>
      <c r="J678" s="12" t="n">
        <v>2.8</v>
      </c>
      <c r="K678" s="12" t="n">
        <v>7.1</v>
      </c>
      <c r="L678" s="12" t="s">
        <v>36</v>
      </c>
    </row>
    <row r="679" customFormat="false" ht="15" hidden="false" customHeight="false" outlineLevel="0" collapsed="false">
      <c r="A679" s="11" t="n">
        <v>44874</v>
      </c>
      <c r="B679" s="12" t="n">
        <v>15</v>
      </c>
      <c r="C679" s="12" t="n">
        <f aca="false">IF(NOT(ISNUMBER(B679)),"",ROUND((INDEX(BP!$D$5:$D$9,MATCH(B679,BP!$A$5:$A$9,1))-INDEX(BP!$C$5:$C$9,MATCH(B679,BP!$A$5:$A$9,1)))/(INDEX(BP!$B$5:$B$9,MATCH(B679,BP!$A$5:$A$9,1))-INDEX(BP!$A$5:$A$9,MATCH(B679,BP!$A$5:$A$9,1)))*(B679-INDEX(BP!$A$5:$A$9,MATCH(B679,BP!$A$5:$A$9,1)))+INDEX(BP!$C$5:$C$9,MATCH(B679,BP!$A$5:$A$9,1)),0))</f>
        <v>25</v>
      </c>
      <c r="D679" s="12" t="str">
        <f aca="false">IF(NOT(ISNUMBER(C679)),"",INDEX(BP!$F$5:$F$9,MATCH(C679,BP!$E$5:$E$9,1)))</f>
        <v>ดีมาก</v>
      </c>
      <c r="E679" s="12" t="n">
        <f aca="false">YEAR(A679)</f>
        <v>2022</v>
      </c>
      <c r="F679" s="12" t="n">
        <f aca="false">MONTH(A679)</f>
        <v>11</v>
      </c>
      <c r="G679" s="12" t="n">
        <v>15</v>
      </c>
      <c r="H679" s="12" t="n">
        <v>33.1</v>
      </c>
      <c r="I679" s="12" t="n">
        <v>59</v>
      </c>
      <c r="J679" s="12" t="n">
        <v>15.3</v>
      </c>
      <c r="K679" s="12" t="n">
        <v>10.4</v>
      </c>
      <c r="L679" s="12" t="s">
        <v>36</v>
      </c>
    </row>
    <row r="680" customFormat="false" ht="15" hidden="false" customHeight="false" outlineLevel="0" collapsed="false">
      <c r="A680" s="11" t="n">
        <v>44875</v>
      </c>
      <c r="B680" s="12" t="n">
        <v>15</v>
      </c>
      <c r="C680" s="12" t="n">
        <f aca="false">IF(NOT(ISNUMBER(B680)),"",ROUND((INDEX(BP!$D$5:$D$9,MATCH(B680,BP!$A$5:$A$9,1))-INDEX(BP!$C$5:$C$9,MATCH(B680,BP!$A$5:$A$9,1)))/(INDEX(BP!$B$5:$B$9,MATCH(B680,BP!$A$5:$A$9,1))-INDEX(BP!$A$5:$A$9,MATCH(B680,BP!$A$5:$A$9,1)))*(B680-INDEX(BP!$A$5:$A$9,MATCH(B680,BP!$A$5:$A$9,1)))+INDEX(BP!$C$5:$C$9,MATCH(B680,BP!$A$5:$A$9,1)),0))</f>
        <v>25</v>
      </c>
      <c r="D680" s="12" t="str">
        <f aca="false">IF(NOT(ISNUMBER(C680)),"",INDEX(BP!$F$5:$F$9,MATCH(C680,BP!$E$5:$E$9,1)))</f>
        <v>ดีมาก</v>
      </c>
      <c r="E680" s="12" t="n">
        <f aca="false">YEAR(A680)</f>
        <v>2022</v>
      </c>
      <c r="F680" s="12" t="n">
        <f aca="false">MONTH(A680)</f>
        <v>11</v>
      </c>
      <c r="G680" s="12" t="n">
        <v>17.1</v>
      </c>
      <c r="H680" s="12" t="n">
        <v>41.8</v>
      </c>
      <c r="I680" s="12" t="n">
        <v>55</v>
      </c>
      <c r="J680" s="12" t="n">
        <v>21.2</v>
      </c>
      <c r="K680" s="12" t="n">
        <v>15.2</v>
      </c>
      <c r="L680" s="12" t="s">
        <v>36</v>
      </c>
    </row>
    <row r="681" customFormat="false" ht="15" hidden="false" customHeight="false" outlineLevel="0" collapsed="false">
      <c r="A681" s="11" t="n">
        <v>44876</v>
      </c>
      <c r="B681" s="12" t="n">
        <v>12</v>
      </c>
      <c r="C681" s="12" t="n">
        <f aca="false">IF(NOT(ISNUMBER(B681)),"",ROUND((INDEX(BP!$D$5:$D$9,MATCH(B681,BP!$A$5:$A$9,1))-INDEX(BP!$C$5:$C$9,MATCH(B681,BP!$A$5:$A$9,1)))/(INDEX(BP!$B$5:$B$9,MATCH(B681,BP!$A$5:$A$9,1))-INDEX(BP!$A$5:$A$9,MATCH(B681,BP!$A$5:$A$9,1)))*(B681-INDEX(BP!$A$5:$A$9,MATCH(B681,BP!$A$5:$A$9,1)))+INDEX(BP!$C$5:$C$9,MATCH(B681,BP!$A$5:$A$9,1)),0))</f>
        <v>20</v>
      </c>
      <c r="D681" s="12" t="str">
        <f aca="false">IF(NOT(ISNUMBER(C681)),"",INDEX(BP!$F$5:$F$9,MATCH(C681,BP!$E$5:$E$9,1)))</f>
        <v>ดีมาก</v>
      </c>
      <c r="E681" s="12" t="n">
        <f aca="false">YEAR(A681)</f>
        <v>2022</v>
      </c>
      <c r="F681" s="12" t="n">
        <f aca="false">MONTH(A681)</f>
        <v>11</v>
      </c>
      <c r="G681" s="12" t="n">
        <v>20.5</v>
      </c>
      <c r="H681" s="12" t="n">
        <v>42.8</v>
      </c>
      <c r="I681" s="12" t="n">
        <v>62</v>
      </c>
      <c r="J681" s="12" t="n">
        <v>25.9</v>
      </c>
      <c r="K681" s="12" t="n">
        <v>25.2</v>
      </c>
      <c r="L681" s="12" t="s">
        <v>36</v>
      </c>
    </row>
    <row r="682" customFormat="false" ht="15" hidden="false" customHeight="false" outlineLevel="0" collapsed="false">
      <c r="A682" s="11" t="n">
        <v>44877</v>
      </c>
      <c r="B682" s="12" t="n">
        <v>9</v>
      </c>
      <c r="C682" s="12" t="n">
        <f aca="false">IF(NOT(ISNUMBER(B682)),"",ROUND((INDEX(BP!$D$5:$D$9,MATCH(B682,BP!$A$5:$A$9,1))-INDEX(BP!$C$5:$C$9,MATCH(B682,BP!$A$5:$A$9,1)))/(INDEX(BP!$B$5:$B$9,MATCH(B682,BP!$A$5:$A$9,1))-INDEX(BP!$A$5:$A$9,MATCH(B682,BP!$A$5:$A$9,1)))*(B682-INDEX(BP!$A$5:$A$9,MATCH(B682,BP!$A$5:$A$9,1)))+INDEX(BP!$C$5:$C$9,MATCH(B682,BP!$A$5:$A$9,1)),0))</f>
        <v>15</v>
      </c>
      <c r="D682" s="12" t="str">
        <f aca="false">IF(NOT(ISNUMBER(C682)),"",INDEX(BP!$F$5:$F$9,MATCH(C682,BP!$E$5:$E$9,1)))</f>
        <v>ดีมาก</v>
      </c>
      <c r="E682" s="12" t="n">
        <f aca="false">YEAR(A682)</f>
        <v>2022</v>
      </c>
      <c r="F682" s="12" t="n">
        <f aca="false">MONTH(A682)</f>
        <v>11</v>
      </c>
      <c r="G682" s="12" t="n">
        <v>16.6</v>
      </c>
      <c r="H682" s="12" t="n">
        <v>40.3</v>
      </c>
      <c r="I682" s="12" t="n">
        <v>76</v>
      </c>
      <c r="J682" s="12" t="n">
        <v>21.7</v>
      </c>
      <c r="K682" s="12" t="n">
        <v>41.2</v>
      </c>
      <c r="L682" s="12" t="s">
        <v>35</v>
      </c>
    </row>
    <row r="683" customFormat="false" ht="15" hidden="false" customHeight="false" outlineLevel="0" collapsed="false">
      <c r="A683" s="11" t="n">
        <v>44878</v>
      </c>
      <c r="B683" s="12" t="n">
        <v>9</v>
      </c>
      <c r="C683" s="12" t="n">
        <f aca="false">IF(NOT(ISNUMBER(B683)),"",ROUND((INDEX(BP!$D$5:$D$9,MATCH(B683,BP!$A$5:$A$9,1))-INDEX(BP!$C$5:$C$9,MATCH(B683,BP!$A$5:$A$9,1)))/(INDEX(BP!$B$5:$B$9,MATCH(B683,BP!$A$5:$A$9,1))-INDEX(BP!$A$5:$A$9,MATCH(B683,BP!$A$5:$A$9,1)))*(B683-INDEX(BP!$A$5:$A$9,MATCH(B683,BP!$A$5:$A$9,1)))+INDEX(BP!$C$5:$C$9,MATCH(B683,BP!$A$5:$A$9,1)),0))</f>
        <v>15</v>
      </c>
      <c r="D683" s="12" t="str">
        <f aca="false">IF(NOT(ISNUMBER(C683)),"",INDEX(BP!$F$5:$F$9,MATCH(C683,BP!$E$5:$E$9,1)))</f>
        <v>ดีมาก</v>
      </c>
      <c r="E683" s="12" t="n">
        <f aca="false">YEAR(A683)</f>
        <v>2022</v>
      </c>
      <c r="F683" s="12" t="n">
        <f aca="false">MONTH(A683)</f>
        <v>11</v>
      </c>
      <c r="G683" s="12" t="n">
        <v>16</v>
      </c>
      <c r="H683" s="12" t="n">
        <v>36.4</v>
      </c>
      <c r="I683" s="12" t="n">
        <v>71</v>
      </c>
      <c r="J683" s="12" t="n">
        <v>21.5</v>
      </c>
      <c r="K683" s="12" t="n">
        <v>12.4</v>
      </c>
      <c r="L683" s="12" t="s">
        <v>35</v>
      </c>
    </row>
    <row r="684" customFormat="false" ht="15" hidden="false" customHeight="false" outlineLevel="0" collapsed="false">
      <c r="A684" s="11" t="n">
        <v>44879</v>
      </c>
      <c r="B684" s="12" t="n">
        <v>9</v>
      </c>
      <c r="C684" s="12" t="n">
        <f aca="false">IF(NOT(ISNUMBER(B684)),"",ROUND((INDEX(BP!$D$5:$D$9,MATCH(B684,BP!$A$5:$A$9,1))-INDEX(BP!$C$5:$C$9,MATCH(B684,BP!$A$5:$A$9,1)))/(INDEX(BP!$B$5:$B$9,MATCH(B684,BP!$A$5:$A$9,1))-INDEX(BP!$A$5:$A$9,MATCH(B684,BP!$A$5:$A$9,1)))*(B684-INDEX(BP!$A$5:$A$9,MATCH(B684,BP!$A$5:$A$9,1)))+INDEX(BP!$C$5:$C$9,MATCH(B684,BP!$A$5:$A$9,1)),0))</f>
        <v>15</v>
      </c>
      <c r="D684" s="12" t="str">
        <f aca="false">IF(NOT(ISNUMBER(C684)),"",INDEX(BP!$F$5:$F$9,MATCH(C684,BP!$E$5:$E$9,1)))</f>
        <v>ดีมาก</v>
      </c>
      <c r="E684" s="12" t="n">
        <f aca="false">YEAR(A684)</f>
        <v>2022</v>
      </c>
      <c r="F684" s="12" t="n">
        <f aca="false">MONTH(A684)</f>
        <v>11</v>
      </c>
      <c r="G684" s="12" t="n">
        <v>13.4</v>
      </c>
      <c r="H684" s="12" t="n">
        <v>31.3</v>
      </c>
      <c r="I684" s="12" t="n">
        <v>92</v>
      </c>
      <c r="J684" s="12" t="n">
        <v>10.3</v>
      </c>
      <c r="K684" s="12" t="n">
        <v>50</v>
      </c>
      <c r="L684" s="12" t="s">
        <v>36</v>
      </c>
    </row>
    <row r="685" customFormat="false" ht="15" hidden="false" customHeight="false" outlineLevel="0" collapsed="false">
      <c r="A685" s="11" t="n">
        <v>44880</v>
      </c>
      <c r="B685" s="12" t="n">
        <v>10</v>
      </c>
      <c r="C685" s="12" t="n">
        <f aca="false">IF(NOT(ISNUMBER(B685)),"",ROUND((INDEX(BP!$D$5:$D$9,MATCH(B685,BP!$A$5:$A$9,1))-INDEX(BP!$C$5:$C$9,MATCH(B685,BP!$A$5:$A$9,1)))/(INDEX(BP!$B$5:$B$9,MATCH(B685,BP!$A$5:$A$9,1))-INDEX(BP!$A$5:$A$9,MATCH(B685,BP!$A$5:$A$9,1)))*(B685-INDEX(BP!$A$5:$A$9,MATCH(B685,BP!$A$5:$A$9,1)))+INDEX(BP!$C$5:$C$9,MATCH(B685,BP!$A$5:$A$9,1)),0))</f>
        <v>17</v>
      </c>
      <c r="D685" s="12" t="str">
        <f aca="false">IF(NOT(ISNUMBER(C685)),"",INDEX(BP!$F$5:$F$9,MATCH(C685,BP!$E$5:$E$9,1)))</f>
        <v>ดีมาก</v>
      </c>
      <c r="E685" s="12" t="n">
        <f aca="false">YEAR(A685)</f>
        <v>2022</v>
      </c>
      <c r="F685" s="12" t="n">
        <f aca="false">MONTH(A685)</f>
        <v>11</v>
      </c>
      <c r="G685" s="12" t="n">
        <v>10.7</v>
      </c>
      <c r="H685" s="12" t="n">
        <v>27</v>
      </c>
      <c r="I685" s="12" t="n">
        <v>134</v>
      </c>
      <c r="J685" s="12" t="n">
        <v>44.9</v>
      </c>
      <c r="K685" s="12" t="n">
        <v>1.6</v>
      </c>
      <c r="L685" s="12" t="s">
        <v>36</v>
      </c>
    </row>
    <row r="686" customFormat="false" ht="15" hidden="false" customHeight="false" outlineLevel="0" collapsed="false">
      <c r="A686" s="11" t="n">
        <v>44881</v>
      </c>
      <c r="B686" s="12" t="n">
        <v>12</v>
      </c>
      <c r="C686" s="12" t="n">
        <f aca="false">IF(NOT(ISNUMBER(B686)),"",ROUND((INDEX(BP!$D$5:$D$9,MATCH(B686,BP!$A$5:$A$9,1))-INDEX(BP!$C$5:$C$9,MATCH(B686,BP!$A$5:$A$9,1)))/(INDEX(BP!$B$5:$B$9,MATCH(B686,BP!$A$5:$A$9,1))-INDEX(BP!$A$5:$A$9,MATCH(B686,BP!$A$5:$A$9,1)))*(B686-INDEX(BP!$A$5:$A$9,MATCH(B686,BP!$A$5:$A$9,1)))+INDEX(BP!$C$5:$C$9,MATCH(B686,BP!$A$5:$A$9,1)),0))</f>
        <v>20</v>
      </c>
      <c r="D686" s="12" t="str">
        <f aca="false">IF(NOT(ISNUMBER(C686)),"",INDEX(BP!$F$5:$F$9,MATCH(C686,BP!$E$5:$E$9,1)))</f>
        <v>ดีมาก</v>
      </c>
      <c r="E686" s="12" t="n">
        <f aca="false">YEAR(A686)</f>
        <v>2022</v>
      </c>
      <c r="F686" s="12" t="n">
        <f aca="false">MONTH(A686)</f>
        <v>11</v>
      </c>
      <c r="G686" s="12" t="n">
        <v>12.5</v>
      </c>
      <c r="H686" s="12" t="n">
        <v>29.9</v>
      </c>
      <c r="I686" s="12" t="n">
        <v>90</v>
      </c>
      <c r="J686" s="12" t="n">
        <v>10.3</v>
      </c>
      <c r="K686" s="12" t="n">
        <v>36.2</v>
      </c>
      <c r="L686" s="12" t="s">
        <v>36</v>
      </c>
    </row>
    <row r="687" customFormat="false" ht="15" hidden="false" customHeight="false" outlineLevel="0" collapsed="false">
      <c r="A687" s="11" t="n">
        <v>44882</v>
      </c>
      <c r="B687" s="12" t="n">
        <v>13</v>
      </c>
      <c r="C687" s="12" t="n">
        <f aca="false">IF(NOT(ISNUMBER(B687)),"",ROUND((INDEX(BP!$D$5:$D$9,MATCH(B687,BP!$A$5:$A$9,1))-INDEX(BP!$C$5:$C$9,MATCH(B687,BP!$A$5:$A$9,1)))/(INDEX(BP!$B$5:$B$9,MATCH(B687,BP!$A$5:$A$9,1))-INDEX(BP!$A$5:$A$9,MATCH(B687,BP!$A$5:$A$9,1)))*(B687-INDEX(BP!$A$5:$A$9,MATCH(B687,BP!$A$5:$A$9,1)))+INDEX(BP!$C$5:$C$9,MATCH(B687,BP!$A$5:$A$9,1)),0))</f>
        <v>22</v>
      </c>
      <c r="D687" s="12" t="str">
        <f aca="false">IF(NOT(ISNUMBER(C687)),"",INDEX(BP!$F$5:$F$9,MATCH(C687,BP!$E$5:$E$9,1)))</f>
        <v>ดีมาก</v>
      </c>
      <c r="E687" s="12" t="n">
        <f aca="false">YEAR(A687)</f>
        <v>2022</v>
      </c>
      <c r="F687" s="12" t="n">
        <f aca="false">MONTH(A687)</f>
        <v>11</v>
      </c>
      <c r="G687" s="12" t="n">
        <v>10.5</v>
      </c>
      <c r="H687" s="12" t="n">
        <v>23.4</v>
      </c>
      <c r="I687" s="12" t="n">
        <v>82</v>
      </c>
      <c r="J687" s="12" t="n">
        <v>7.7</v>
      </c>
      <c r="K687" s="12" t="n">
        <v>7.4</v>
      </c>
      <c r="L687" s="12" t="s">
        <v>36</v>
      </c>
    </row>
    <row r="688" customFormat="false" ht="15" hidden="false" customHeight="false" outlineLevel="0" collapsed="false">
      <c r="A688" s="11" t="n">
        <v>44883</v>
      </c>
      <c r="B688" s="12" t="n">
        <v>12</v>
      </c>
      <c r="C688" s="12" t="n">
        <f aca="false">IF(NOT(ISNUMBER(B688)),"",ROUND((INDEX(BP!$D$5:$D$9,MATCH(B688,BP!$A$5:$A$9,1))-INDEX(BP!$C$5:$C$9,MATCH(B688,BP!$A$5:$A$9,1)))/(INDEX(BP!$B$5:$B$9,MATCH(B688,BP!$A$5:$A$9,1))-INDEX(BP!$A$5:$A$9,MATCH(B688,BP!$A$5:$A$9,1)))*(B688-INDEX(BP!$A$5:$A$9,MATCH(B688,BP!$A$5:$A$9,1)))+INDEX(BP!$C$5:$C$9,MATCH(B688,BP!$A$5:$A$9,1)),0))</f>
        <v>20</v>
      </c>
      <c r="D688" s="12" t="str">
        <f aca="false">IF(NOT(ISNUMBER(C688)),"",INDEX(BP!$F$5:$F$9,MATCH(C688,BP!$E$5:$E$9,1)))</f>
        <v>ดีมาก</v>
      </c>
      <c r="E688" s="12" t="n">
        <f aca="false">YEAR(A688)</f>
        <v>2022</v>
      </c>
      <c r="F688" s="12" t="n">
        <f aca="false">MONTH(A688)</f>
        <v>11</v>
      </c>
      <c r="G688" s="12" t="n">
        <v>9.2</v>
      </c>
      <c r="H688" s="12" t="n">
        <v>22.7</v>
      </c>
      <c r="I688" s="12" t="n">
        <v>23</v>
      </c>
      <c r="J688" s="12" t="n">
        <v>5</v>
      </c>
      <c r="K688" s="12" t="n">
        <v>6.2</v>
      </c>
      <c r="L688" s="12" t="s">
        <v>36</v>
      </c>
    </row>
    <row r="689" customFormat="false" ht="15" hidden="false" customHeight="false" outlineLevel="0" collapsed="false">
      <c r="A689" s="11" t="n">
        <v>44884</v>
      </c>
      <c r="B689" s="12" t="n">
        <v>9</v>
      </c>
      <c r="C689" s="12" t="n">
        <f aca="false">IF(NOT(ISNUMBER(B689)),"",ROUND((INDEX(BP!$D$5:$D$9,MATCH(B689,BP!$A$5:$A$9,1))-INDEX(BP!$C$5:$C$9,MATCH(B689,BP!$A$5:$A$9,1)))/(INDEX(BP!$B$5:$B$9,MATCH(B689,BP!$A$5:$A$9,1))-INDEX(BP!$A$5:$A$9,MATCH(B689,BP!$A$5:$A$9,1)))*(B689-INDEX(BP!$A$5:$A$9,MATCH(B689,BP!$A$5:$A$9,1)))+INDEX(BP!$C$5:$C$9,MATCH(B689,BP!$A$5:$A$9,1)),0))</f>
        <v>15</v>
      </c>
      <c r="D689" s="12" t="str">
        <f aca="false">IF(NOT(ISNUMBER(C689)),"",INDEX(BP!$F$5:$F$9,MATCH(C689,BP!$E$5:$E$9,1)))</f>
        <v>ดีมาก</v>
      </c>
      <c r="E689" s="12" t="n">
        <f aca="false">YEAR(A689)</f>
        <v>2022</v>
      </c>
      <c r="F689" s="12" t="n">
        <f aca="false">MONTH(A689)</f>
        <v>11</v>
      </c>
      <c r="G689" s="12" t="n">
        <v>11</v>
      </c>
      <c r="H689" s="12" t="n">
        <v>28.4</v>
      </c>
      <c r="I689" s="12" t="n">
        <v>21</v>
      </c>
      <c r="J689" s="12" t="n">
        <v>8.7</v>
      </c>
      <c r="K689" s="12" t="n">
        <v>0.2</v>
      </c>
      <c r="L689" s="12" t="s">
        <v>35</v>
      </c>
    </row>
    <row r="690" customFormat="false" ht="15" hidden="false" customHeight="false" outlineLevel="0" collapsed="false">
      <c r="A690" s="11" t="n">
        <v>44885</v>
      </c>
      <c r="B690" s="12" t="n">
        <v>14</v>
      </c>
      <c r="C690" s="12" t="n">
        <f aca="false">IF(NOT(ISNUMBER(B690)),"",ROUND((INDEX(BP!$D$5:$D$9,MATCH(B690,BP!$A$5:$A$9,1))-INDEX(BP!$C$5:$C$9,MATCH(B690,BP!$A$5:$A$9,1)))/(INDEX(BP!$B$5:$B$9,MATCH(B690,BP!$A$5:$A$9,1))-INDEX(BP!$A$5:$A$9,MATCH(B690,BP!$A$5:$A$9,1)))*(B690-INDEX(BP!$A$5:$A$9,MATCH(B690,BP!$A$5:$A$9,1)))+INDEX(BP!$C$5:$C$9,MATCH(B690,BP!$A$5:$A$9,1)),0))</f>
        <v>23</v>
      </c>
      <c r="D690" s="12" t="str">
        <f aca="false">IF(NOT(ISNUMBER(C690)),"",INDEX(BP!$F$5:$F$9,MATCH(C690,BP!$E$5:$E$9,1)))</f>
        <v>ดีมาก</v>
      </c>
      <c r="E690" s="12" t="n">
        <f aca="false">YEAR(A690)</f>
        <v>2022</v>
      </c>
      <c r="F690" s="12" t="n">
        <f aca="false">MONTH(A690)</f>
        <v>11</v>
      </c>
      <c r="G690" s="12" t="n">
        <v>16.3</v>
      </c>
      <c r="H690" s="12" t="n">
        <v>36</v>
      </c>
      <c r="I690" s="12" t="n">
        <v>310</v>
      </c>
      <c r="J690" s="12" t="n">
        <v>2.2</v>
      </c>
      <c r="K690" s="12" t="n">
        <v>18.8</v>
      </c>
      <c r="L690" s="12" t="s">
        <v>35</v>
      </c>
    </row>
    <row r="691" customFormat="false" ht="15" hidden="false" customHeight="false" outlineLevel="0" collapsed="false">
      <c r="A691" s="11" t="n">
        <v>44886</v>
      </c>
      <c r="B691" s="12" t="n">
        <v>18</v>
      </c>
      <c r="C691" s="12" t="n">
        <f aca="false">IF(NOT(ISNUMBER(B691)),"",ROUND((INDEX(BP!$D$5:$D$9,MATCH(B691,BP!$A$5:$A$9,1))-INDEX(BP!$C$5:$C$9,MATCH(B691,BP!$A$5:$A$9,1)))/(INDEX(BP!$B$5:$B$9,MATCH(B691,BP!$A$5:$A$9,1))-INDEX(BP!$A$5:$A$9,MATCH(B691,BP!$A$5:$A$9,1)))*(B691-INDEX(BP!$A$5:$A$9,MATCH(B691,BP!$A$5:$A$9,1)))+INDEX(BP!$C$5:$C$9,MATCH(B691,BP!$A$5:$A$9,1)),0))</f>
        <v>33</v>
      </c>
      <c r="D691" s="12" t="str">
        <f aca="false">IF(NOT(ISNUMBER(C691)),"",INDEX(BP!$F$5:$F$9,MATCH(C691,BP!$E$5:$E$9,1)))</f>
        <v>ดี</v>
      </c>
      <c r="E691" s="12" t="n">
        <f aca="false">YEAR(A691)</f>
        <v>2022</v>
      </c>
      <c r="F691" s="12" t="n">
        <f aca="false">MONTH(A691)</f>
        <v>11</v>
      </c>
      <c r="G691" s="12" t="n">
        <v>10.2</v>
      </c>
      <c r="H691" s="12" t="n">
        <v>25.6</v>
      </c>
      <c r="I691" s="12" t="n">
        <v>274</v>
      </c>
      <c r="J691" s="12" t="n">
        <v>0.1</v>
      </c>
      <c r="K691" s="12" t="n">
        <v>0.2</v>
      </c>
      <c r="L691" s="12" t="s">
        <v>36</v>
      </c>
    </row>
    <row r="692" customFormat="false" ht="15" hidden="false" customHeight="false" outlineLevel="0" collapsed="false">
      <c r="A692" s="11" t="n">
        <v>44887</v>
      </c>
      <c r="B692" s="12" t="n">
        <v>12</v>
      </c>
      <c r="C692" s="12" t="n">
        <f aca="false">IF(NOT(ISNUMBER(B692)),"",ROUND((INDEX(BP!$D$5:$D$9,MATCH(B692,BP!$A$5:$A$9,1))-INDEX(BP!$C$5:$C$9,MATCH(B692,BP!$A$5:$A$9,1)))/(INDEX(BP!$B$5:$B$9,MATCH(B692,BP!$A$5:$A$9,1))-INDEX(BP!$A$5:$A$9,MATCH(B692,BP!$A$5:$A$9,1)))*(B692-INDEX(BP!$A$5:$A$9,MATCH(B692,BP!$A$5:$A$9,1)))+INDEX(BP!$C$5:$C$9,MATCH(B692,BP!$A$5:$A$9,1)),0))</f>
        <v>20</v>
      </c>
      <c r="D692" s="12" t="str">
        <f aca="false">IF(NOT(ISNUMBER(C692)),"",INDEX(BP!$F$5:$F$9,MATCH(C692,BP!$E$5:$E$9,1)))</f>
        <v>ดีมาก</v>
      </c>
      <c r="E692" s="12" t="n">
        <f aca="false">YEAR(A692)</f>
        <v>2022</v>
      </c>
      <c r="F692" s="12" t="n">
        <f aca="false">MONTH(A692)</f>
        <v>11</v>
      </c>
      <c r="G692" s="12" t="n">
        <v>15.5</v>
      </c>
      <c r="H692" s="12" t="n">
        <v>34.2</v>
      </c>
      <c r="I692" s="12" t="n">
        <v>250</v>
      </c>
      <c r="J692" s="12" t="n">
        <v>18.5</v>
      </c>
      <c r="K692" s="12" t="n">
        <v>0</v>
      </c>
      <c r="L692" s="12" t="s">
        <v>36</v>
      </c>
    </row>
    <row r="693" customFormat="false" ht="15" hidden="false" customHeight="false" outlineLevel="0" collapsed="false">
      <c r="A693" s="11" t="n">
        <v>44888</v>
      </c>
      <c r="B693" s="12" t="n">
        <v>13</v>
      </c>
      <c r="C693" s="12" t="n">
        <f aca="false">IF(NOT(ISNUMBER(B693)),"",ROUND((INDEX(BP!$D$5:$D$9,MATCH(B693,BP!$A$5:$A$9,1))-INDEX(BP!$C$5:$C$9,MATCH(B693,BP!$A$5:$A$9,1)))/(INDEX(BP!$B$5:$B$9,MATCH(B693,BP!$A$5:$A$9,1))-INDEX(BP!$A$5:$A$9,MATCH(B693,BP!$A$5:$A$9,1)))*(B693-INDEX(BP!$A$5:$A$9,MATCH(B693,BP!$A$5:$A$9,1)))+INDEX(BP!$C$5:$C$9,MATCH(B693,BP!$A$5:$A$9,1)),0))</f>
        <v>22</v>
      </c>
      <c r="D693" s="12" t="str">
        <f aca="false">IF(NOT(ISNUMBER(C693)),"",INDEX(BP!$F$5:$F$9,MATCH(C693,BP!$E$5:$E$9,1)))</f>
        <v>ดีมาก</v>
      </c>
      <c r="E693" s="12" t="n">
        <f aca="false">YEAR(A693)</f>
        <v>2022</v>
      </c>
      <c r="F693" s="12" t="n">
        <f aca="false">MONTH(A693)</f>
        <v>11</v>
      </c>
      <c r="G693" s="12" t="n">
        <v>13.7</v>
      </c>
      <c r="H693" s="12" t="n">
        <v>28.4</v>
      </c>
      <c r="I693" s="12" t="n">
        <v>234</v>
      </c>
      <c r="J693" s="12" t="n">
        <v>18.3</v>
      </c>
      <c r="K693" s="12" t="n">
        <v>6.2</v>
      </c>
      <c r="L693" s="12" t="s">
        <v>36</v>
      </c>
    </row>
    <row r="694" customFormat="false" ht="15" hidden="false" customHeight="false" outlineLevel="0" collapsed="false">
      <c r="A694" s="11" t="n">
        <v>44889</v>
      </c>
      <c r="B694" s="12" t="n">
        <v>16</v>
      </c>
      <c r="C694" s="12" t="n">
        <f aca="false">IF(NOT(ISNUMBER(B694)),"",ROUND((INDEX(BP!$D$5:$D$9,MATCH(B694,BP!$A$5:$A$9,1))-INDEX(BP!$C$5:$C$9,MATCH(B694,BP!$A$5:$A$9,1)))/(INDEX(BP!$B$5:$B$9,MATCH(B694,BP!$A$5:$A$9,1))-INDEX(BP!$A$5:$A$9,MATCH(B694,BP!$A$5:$A$9,1)))*(B694-INDEX(BP!$A$5:$A$9,MATCH(B694,BP!$A$5:$A$9,1)))+INDEX(BP!$C$5:$C$9,MATCH(B694,BP!$A$5:$A$9,1)),0))</f>
        <v>28</v>
      </c>
      <c r="D694" s="12" t="str">
        <f aca="false">IF(NOT(ISNUMBER(C694)),"",INDEX(BP!$F$5:$F$9,MATCH(C694,BP!$E$5:$E$9,1)))</f>
        <v>ดี</v>
      </c>
      <c r="E694" s="12" t="n">
        <f aca="false">YEAR(A694)</f>
        <v>2022</v>
      </c>
      <c r="F694" s="12" t="n">
        <f aca="false">MONTH(A694)</f>
        <v>11</v>
      </c>
      <c r="G694" s="12" t="n">
        <v>12.2</v>
      </c>
      <c r="H694" s="12" t="n">
        <v>34.2</v>
      </c>
      <c r="I694" s="12" t="n">
        <v>231</v>
      </c>
      <c r="J694" s="12" t="n">
        <v>19</v>
      </c>
      <c r="K694" s="12" t="n">
        <v>1</v>
      </c>
      <c r="L694" s="12" t="s">
        <v>36</v>
      </c>
    </row>
    <row r="695" customFormat="false" ht="15" hidden="false" customHeight="false" outlineLevel="0" collapsed="false">
      <c r="A695" s="11" t="n">
        <v>44890</v>
      </c>
      <c r="B695" s="12" t="n">
        <v>17</v>
      </c>
      <c r="C695" s="12" t="n">
        <f aca="false">IF(NOT(ISNUMBER(B695)),"",ROUND((INDEX(BP!$D$5:$D$9,MATCH(B695,BP!$A$5:$A$9,1))-INDEX(BP!$C$5:$C$9,MATCH(B695,BP!$A$5:$A$9,1)))/(INDEX(BP!$B$5:$B$9,MATCH(B695,BP!$A$5:$A$9,1))-INDEX(BP!$A$5:$A$9,MATCH(B695,BP!$A$5:$A$9,1)))*(B695-INDEX(BP!$A$5:$A$9,MATCH(B695,BP!$A$5:$A$9,1)))+INDEX(BP!$C$5:$C$9,MATCH(B695,BP!$A$5:$A$9,1)),0))</f>
        <v>31</v>
      </c>
      <c r="D695" s="12" t="str">
        <f aca="false">IF(NOT(ISNUMBER(C695)),"",INDEX(BP!$F$5:$F$9,MATCH(C695,BP!$E$5:$E$9,1)))</f>
        <v>ดี</v>
      </c>
      <c r="E695" s="12" t="n">
        <f aca="false">YEAR(A695)</f>
        <v>2022</v>
      </c>
      <c r="F695" s="12" t="n">
        <f aca="false">MONTH(A695)</f>
        <v>11</v>
      </c>
      <c r="G695" s="12" t="n">
        <v>10.6</v>
      </c>
      <c r="H695" s="12" t="n">
        <v>23.4</v>
      </c>
      <c r="I695" s="12" t="n">
        <v>191</v>
      </c>
      <c r="J695" s="12" t="n">
        <v>10.8</v>
      </c>
      <c r="K695" s="12" t="n">
        <v>0.4</v>
      </c>
      <c r="L695" s="12" t="s">
        <v>36</v>
      </c>
    </row>
    <row r="696" customFormat="false" ht="15" hidden="false" customHeight="false" outlineLevel="0" collapsed="false">
      <c r="A696" s="11" t="n">
        <v>44891</v>
      </c>
      <c r="B696" s="12" t="n">
        <v>17</v>
      </c>
      <c r="C696" s="12" t="n">
        <f aca="false">IF(NOT(ISNUMBER(B696)),"",ROUND((INDEX(BP!$D$5:$D$9,MATCH(B696,BP!$A$5:$A$9,1))-INDEX(BP!$C$5:$C$9,MATCH(B696,BP!$A$5:$A$9,1)))/(INDEX(BP!$B$5:$B$9,MATCH(B696,BP!$A$5:$A$9,1))-INDEX(BP!$A$5:$A$9,MATCH(B696,BP!$A$5:$A$9,1)))*(B696-INDEX(BP!$A$5:$A$9,MATCH(B696,BP!$A$5:$A$9,1)))+INDEX(BP!$C$5:$C$9,MATCH(B696,BP!$A$5:$A$9,1)),0))</f>
        <v>31</v>
      </c>
      <c r="D696" s="12" t="str">
        <f aca="false">IF(NOT(ISNUMBER(C696)),"",INDEX(BP!$F$5:$F$9,MATCH(C696,BP!$E$5:$E$9,1)))</f>
        <v>ดี</v>
      </c>
      <c r="E696" s="12" t="n">
        <f aca="false">YEAR(A696)</f>
        <v>2022</v>
      </c>
      <c r="F696" s="12" t="n">
        <f aca="false">MONTH(A696)</f>
        <v>11</v>
      </c>
      <c r="G696" s="12" t="n">
        <v>10.3</v>
      </c>
      <c r="H696" s="12" t="n">
        <v>23.8</v>
      </c>
      <c r="I696" s="12" t="n">
        <v>181</v>
      </c>
      <c r="J696" s="12" t="n">
        <v>15</v>
      </c>
      <c r="K696" s="12" t="n">
        <v>1.4</v>
      </c>
      <c r="L696" s="12" t="s">
        <v>35</v>
      </c>
    </row>
    <row r="697" customFormat="false" ht="15" hidden="false" customHeight="false" outlineLevel="0" collapsed="false">
      <c r="A697" s="11" t="n">
        <v>44892</v>
      </c>
      <c r="B697" s="12" t="n">
        <v>16</v>
      </c>
      <c r="C697" s="12" t="n">
        <f aca="false">IF(NOT(ISNUMBER(B697)),"",ROUND((INDEX(BP!$D$5:$D$9,MATCH(B697,BP!$A$5:$A$9,1))-INDEX(BP!$C$5:$C$9,MATCH(B697,BP!$A$5:$A$9,1)))/(INDEX(BP!$B$5:$B$9,MATCH(B697,BP!$A$5:$A$9,1))-INDEX(BP!$A$5:$A$9,MATCH(B697,BP!$A$5:$A$9,1)))*(B697-INDEX(BP!$A$5:$A$9,MATCH(B697,BP!$A$5:$A$9,1)))+INDEX(BP!$C$5:$C$9,MATCH(B697,BP!$A$5:$A$9,1)),0))</f>
        <v>28</v>
      </c>
      <c r="D697" s="12" t="str">
        <f aca="false">IF(NOT(ISNUMBER(C697)),"",INDEX(BP!$F$5:$F$9,MATCH(C697,BP!$E$5:$E$9,1)))</f>
        <v>ดี</v>
      </c>
      <c r="E697" s="12" t="n">
        <f aca="false">YEAR(A697)</f>
        <v>2022</v>
      </c>
      <c r="F697" s="12" t="n">
        <f aca="false">MONTH(A697)</f>
        <v>11</v>
      </c>
      <c r="G697" s="12" t="n">
        <v>9.1</v>
      </c>
      <c r="H697" s="12" t="n">
        <v>23.4</v>
      </c>
      <c r="I697" s="12" t="n">
        <v>139</v>
      </c>
      <c r="J697" s="12" t="n">
        <v>10.4</v>
      </c>
      <c r="K697" s="12" t="n">
        <v>0</v>
      </c>
      <c r="L697" s="12" t="s">
        <v>35</v>
      </c>
    </row>
    <row r="698" customFormat="false" ht="15" hidden="false" customHeight="false" outlineLevel="0" collapsed="false">
      <c r="A698" s="11" t="n">
        <v>44893</v>
      </c>
      <c r="B698" s="12" t="n">
        <v>16</v>
      </c>
      <c r="C698" s="12" t="n">
        <f aca="false">IF(NOT(ISNUMBER(B698)),"",ROUND((INDEX(BP!$D$5:$D$9,MATCH(B698,BP!$A$5:$A$9,1))-INDEX(BP!$C$5:$C$9,MATCH(B698,BP!$A$5:$A$9,1)))/(INDEX(BP!$B$5:$B$9,MATCH(B698,BP!$A$5:$A$9,1))-INDEX(BP!$A$5:$A$9,MATCH(B698,BP!$A$5:$A$9,1)))*(B698-INDEX(BP!$A$5:$A$9,MATCH(B698,BP!$A$5:$A$9,1)))+INDEX(BP!$C$5:$C$9,MATCH(B698,BP!$A$5:$A$9,1)),0))</f>
        <v>28</v>
      </c>
      <c r="D698" s="12" t="str">
        <f aca="false">IF(NOT(ISNUMBER(C698)),"",INDEX(BP!$F$5:$F$9,MATCH(C698,BP!$E$5:$E$9,1)))</f>
        <v>ดี</v>
      </c>
      <c r="E698" s="12" t="n">
        <f aca="false">YEAR(A698)</f>
        <v>2022</v>
      </c>
      <c r="F698" s="12" t="n">
        <f aca="false">MONTH(A698)</f>
        <v>11</v>
      </c>
      <c r="G698" s="12" t="n">
        <v>11.3</v>
      </c>
      <c r="H698" s="12" t="n">
        <v>26.6</v>
      </c>
      <c r="I698" s="12" t="n">
        <v>63</v>
      </c>
      <c r="J698" s="12" t="n">
        <v>0.3</v>
      </c>
      <c r="K698" s="12" t="n">
        <v>0</v>
      </c>
      <c r="L698" s="12" t="s">
        <v>36</v>
      </c>
    </row>
    <row r="699" customFormat="false" ht="15" hidden="false" customHeight="false" outlineLevel="0" collapsed="false">
      <c r="A699" s="11" t="n">
        <v>44894</v>
      </c>
      <c r="B699" s="12" t="n">
        <v>14</v>
      </c>
      <c r="C699" s="12" t="n">
        <f aca="false">IF(NOT(ISNUMBER(B699)),"",ROUND((INDEX(BP!$D$5:$D$9,MATCH(B699,BP!$A$5:$A$9,1))-INDEX(BP!$C$5:$C$9,MATCH(B699,BP!$A$5:$A$9,1)))/(INDEX(BP!$B$5:$B$9,MATCH(B699,BP!$A$5:$A$9,1))-INDEX(BP!$A$5:$A$9,MATCH(B699,BP!$A$5:$A$9,1)))*(B699-INDEX(BP!$A$5:$A$9,MATCH(B699,BP!$A$5:$A$9,1)))+INDEX(BP!$C$5:$C$9,MATCH(B699,BP!$A$5:$A$9,1)),0))</f>
        <v>23</v>
      </c>
      <c r="D699" s="12" t="str">
        <f aca="false">IF(NOT(ISNUMBER(C699)),"",INDEX(BP!$F$5:$F$9,MATCH(C699,BP!$E$5:$E$9,1)))</f>
        <v>ดีมาก</v>
      </c>
      <c r="E699" s="12" t="n">
        <f aca="false">YEAR(A699)</f>
        <v>2022</v>
      </c>
      <c r="F699" s="12" t="n">
        <f aca="false">MONTH(A699)</f>
        <v>11</v>
      </c>
      <c r="G699" s="12" t="n">
        <v>14.8</v>
      </c>
      <c r="H699" s="12" t="n">
        <v>32.4</v>
      </c>
      <c r="I699" s="12" t="n">
        <v>74</v>
      </c>
      <c r="J699" s="12" t="n">
        <v>0.9</v>
      </c>
      <c r="K699" s="12" t="n">
        <v>0.6</v>
      </c>
      <c r="L699" s="12" t="s">
        <v>36</v>
      </c>
    </row>
    <row r="700" customFormat="false" ht="15" hidden="false" customHeight="false" outlineLevel="0" collapsed="false">
      <c r="A700" s="11" t="n">
        <v>44895</v>
      </c>
      <c r="B700" s="12" t="n">
        <v>15</v>
      </c>
      <c r="C700" s="12" t="n">
        <f aca="false">IF(NOT(ISNUMBER(B700)),"",ROUND((INDEX(BP!$D$5:$D$9,MATCH(B700,BP!$A$5:$A$9,1))-INDEX(BP!$C$5:$C$9,MATCH(B700,BP!$A$5:$A$9,1)))/(INDEX(BP!$B$5:$B$9,MATCH(B700,BP!$A$5:$A$9,1))-INDEX(BP!$A$5:$A$9,MATCH(B700,BP!$A$5:$A$9,1)))*(B700-INDEX(BP!$A$5:$A$9,MATCH(B700,BP!$A$5:$A$9,1)))+INDEX(BP!$C$5:$C$9,MATCH(B700,BP!$A$5:$A$9,1)),0))</f>
        <v>25</v>
      </c>
      <c r="D700" s="12" t="str">
        <f aca="false">IF(NOT(ISNUMBER(C700)),"",INDEX(BP!$F$5:$F$9,MATCH(C700,BP!$E$5:$E$9,1)))</f>
        <v>ดีมาก</v>
      </c>
      <c r="E700" s="12" t="n">
        <f aca="false">YEAR(A700)</f>
        <v>2022</v>
      </c>
      <c r="F700" s="12" t="n">
        <f aca="false">MONTH(A700)</f>
        <v>11</v>
      </c>
      <c r="G700" s="12" t="n">
        <v>17.9</v>
      </c>
      <c r="H700" s="12" t="n">
        <v>36</v>
      </c>
      <c r="I700" s="12" t="n">
        <v>76</v>
      </c>
      <c r="J700" s="12" t="n">
        <v>2.8</v>
      </c>
      <c r="K700" s="12" t="n">
        <v>0</v>
      </c>
      <c r="L700" s="12" t="s">
        <v>36</v>
      </c>
    </row>
    <row r="701" customFormat="false" ht="15" hidden="false" customHeight="false" outlineLevel="0" collapsed="false">
      <c r="A701" s="11" t="n">
        <v>44896</v>
      </c>
      <c r="B701" s="12" t="n">
        <v>12</v>
      </c>
      <c r="C701" s="12" t="n">
        <f aca="false">IF(NOT(ISNUMBER(B701)),"",ROUND((INDEX(BP!$D$5:$D$9,MATCH(B701,BP!$A$5:$A$9,1))-INDEX(BP!$C$5:$C$9,MATCH(B701,BP!$A$5:$A$9,1)))/(INDEX(BP!$B$5:$B$9,MATCH(B701,BP!$A$5:$A$9,1))-INDEX(BP!$A$5:$A$9,MATCH(B701,BP!$A$5:$A$9,1)))*(B701-INDEX(BP!$A$5:$A$9,MATCH(B701,BP!$A$5:$A$9,1)))+INDEX(BP!$C$5:$C$9,MATCH(B701,BP!$A$5:$A$9,1)),0))</f>
        <v>20</v>
      </c>
      <c r="D701" s="12" t="str">
        <f aca="false">IF(NOT(ISNUMBER(C701)),"",INDEX(BP!$F$5:$F$9,MATCH(C701,BP!$E$5:$E$9,1)))</f>
        <v>ดีมาก</v>
      </c>
      <c r="E701" s="12" t="n">
        <f aca="false">YEAR(A701)</f>
        <v>2022</v>
      </c>
      <c r="F701" s="12" t="n">
        <f aca="false">MONTH(A701)</f>
        <v>12</v>
      </c>
      <c r="G701" s="12" t="n">
        <v>18</v>
      </c>
      <c r="H701" s="12" t="n">
        <v>34.2</v>
      </c>
      <c r="I701" s="12" t="n">
        <v>66</v>
      </c>
      <c r="J701" s="12" t="n">
        <v>17.6</v>
      </c>
      <c r="K701" s="12" t="n">
        <v>9.6</v>
      </c>
      <c r="L701" s="12" t="s">
        <v>36</v>
      </c>
    </row>
    <row r="702" customFormat="false" ht="15" hidden="false" customHeight="false" outlineLevel="0" collapsed="false">
      <c r="A702" s="11" t="n">
        <v>44897</v>
      </c>
      <c r="B702" s="12" t="n">
        <v>11</v>
      </c>
      <c r="C702" s="12" t="n">
        <f aca="false">IF(NOT(ISNUMBER(B702)),"",ROUND((INDEX(BP!$D$5:$D$9,MATCH(B702,BP!$A$5:$A$9,1))-INDEX(BP!$C$5:$C$9,MATCH(B702,BP!$A$5:$A$9,1)))/(INDEX(BP!$B$5:$B$9,MATCH(B702,BP!$A$5:$A$9,1))-INDEX(BP!$A$5:$A$9,MATCH(B702,BP!$A$5:$A$9,1)))*(B702-INDEX(BP!$A$5:$A$9,MATCH(B702,BP!$A$5:$A$9,1)))+INDEX(BP!$C$5:$C$9,MATCH(B702,BP!$A$5:$A$9,1)),0))</f>
        <v>18</v>
      </c>
      <c r="D702" s="12" t="str">
        <f aca="false">IF(NOT(ISNUMBER(C702)),"",INDEX(BP!$F$5:$F$9,MATCH(C702,BP!$E$5:$E$9,1)))</f>
        <v>ดีมาก</v>
      </c>
      <c r="E702" s="12" t="n">
        <f aca="false">YEAR(A702)</f>
        <v>2022</v>
      </c>
      <c r="F702" s="12" t="n">
        <f aca="false">MONTH(A702)</f>
        <v>12</v>
      </c>
      <c r="G702" s="12" t="n">
        <v>17.3</v>
      </c>
      <c r="H702" s="12" t="n">
        <v>38.9</v>
      </c>
      <c r="I702" s="12" t="n">
        <v>83</v>
      </c>
      <c r="J702" s="12" t="n">
        <v>19.1</v>
      </c>
      <c r="K702" s="12" t="n">
        <v>24.6</v>
      </c>
      <c r="L702" s="12" t="s">
        <v>36</v>
      </c>
    </row>
    <row r="703" customFormat="false" ht="15" hidden="false" customHeight="false" outlineLevel="0" collapsed="false">
      <c r="A703" s="11" t="n">
        <v>44898</v>
      </c>
      <c r="B703" s="12" t="n">
        <v>10</v>
      </c>
      <c r="C703" s="12" t="n">
        <f aca="false">IF(NOT(ISNUMBER(B703)),"",ROUND((INDEX(BP!$D$5:$D$9,MATCH(B703,BP!$A$5:$A$9,1))-INDEX(BP!$C$5:$C$9,MATCH(B703,BP!$A$5:$A$9,1)))/(INDEX(BP!$B$5:$B$9,MATCH(B703,BP!$A$5:$A$9,1))-INDEX(BP!$A$5:$A$9,MATCH(B703,BP!$A$5:$A$9,1)))*(B703-INDEX(BP!$A$5:$A$9,MATCH(B703,BP!$A$5:$A$9,1)))+INDEX(BP!$C$5:$C$9,MATCH(B703,BP!$A$5:$A$9,1)),0))</f>
        <v>17</v>
      </c>
      <c r="D703" s="12" t="str">
        <f aca="false">IF(NOT(ISNUMBER(C703)),"",INDEX(BP!$F$5:$F$9,MATCH(C703,BP!$E$5:$E$9,1)))</f>
        <v>ดีมาก</v>
      </c>
      <c r="E703" s="12" t="n">
        <f aca="false">YEAR(A703)</f>
        <v>2022</v>
      </c>
      <c r="F703" s="12" t="n">
        <f aca="false">MONTH(A703)</f>
        <v>12</v>
      </c>
      <c r="G703" s="12" t="n">
        <v>20.7</v>
      </c>
      <c r="H703" s="12" t="n">
        <v>37.1</v>
      </c>
      <c r="I703" s="12" t="n">
        <v>66</v>
      </c>
      <c r="J703" s="12" t="n">
        <v>63.5</v>
      </c>
      <c r="K703" s="12" t="n">
        <v>22</v>
      </c>
      <c r="L703" s="12" t="s">
        <v>35</v>
      </c>
    </row>
    <row r="704" customFormat="false" ht="15" hidden="false" customHeight="false" outlineLevel="0" collapsed="false">
      <c r="A704" s="11" t="n">
        <v>44899</v>
      </c>
      <c r="B704" s="12" t="n">
        <v>10</v>
      </c>
      <c r="C704" s="12" t="n">
        <f aca="false">IF(NOT(ISNUMBER(B704)),"",ROUND((INDEX(BP!$D$5:$D$9,MATCH(B704,BP!$A$5:$A$9,1))-INDEX(BP!$C$5:$C$9,MATCH(B704,BP!$A$5:$A$9,1)))/(INDEX(BP!$B$5:$B$9,MATCH(B704,BP!$A$5:$A$9,1))-INDEX(BP!$A$5:$A$9,MATCH(B704,BP!$A$5:$A$9,1)))*(B704-INDEX(BP!$A$5:$A$9,MATCH(B704,BP!$A$5:$A$9,1)))+INDEX(BP!$C$5:$C$9,MATCH(B704,BP!$A$5:$A$9,1)),0))</f>
        <v>17</v>
      </c>
      <c r="D704" s="12" t="str">
        <f aca="false">IF(NOT(ISNUMBER(C704)),"",INDEX(BP!$F$5:$F$9,MATCH(C704,BP!$E$5:$E$9,1)))</f>
        <v>ดีมาก</v>
      </c>
      <c r="E704" s="12" t="n">
        <f aca="false">YEAR(A704)</f>
        <v>2022</v>
      </c>
      <c r="F704" s="12" t="n">
        <f aca="false">MONTH(A704)</f>
        <v>12</v>
      </c>
      <c r="G704" s="12" t="n">
        <v>16.7</v>
      </c>
      <c r="H704" s="12" t="n">
        <v>31.7</v>
      </c>
      <c r="I704" s="12" t="n">
        <v>106</v>
      </c>
      <c r="J704" s="12" t="n">
        <v>43.8</v>
      </c>
      <c r="K704" s="12" t="n">
        <v>4.8</v>
      </c>
      <c r="L704" s="12" t="s">
        <v>35</v>
      </c>
    </row>
    <row r="705" customFormat="false" ht="15" hidden="false" customHeight="false" outlineLevel="0" collapsed="false">
      <c r="A705" s="11" t="n">
        <v>44900</v>
      </c>
      <c r="B705" s="12" t="n">
        <v>11</v>
      </c>
      <c r="C705" s="12" t="n">
        <f aca="false">IF(NOT(ISNUMBER(B705)),"",ROUND((INDEX(BP!$D$5:$D$9,MATCH(B705,BP!$A$5:$A$9,1))-INDEX(BP!$C$5:$C$9,MATCH(B705,BP!$A$5:$A$9,1)))/(INDEX(BP!$B$5:$B$9,MATCH(B705,BP!$A$5:$A$9,1))-INDEX(BP!$A$5:$A$9,MATCH(B705,BP!$A$5:$A$9,1)))*(B705-INDEX(BP!$A$5:$A$9,MATCH(B705,BP!$A$5:$A$9,1)))+INDEX(BP!$C$5:$C$9,MATCH(B705,BP!$A$5:$A$9,1)),0))</f>
        <v>18</v>
      </c>
      <c r="D705" s="12" t="str">
        <f aca="false">IF(NOT(ISNUMBER(C705)),"",INDEX(BP!$F$5:$F$9,MATCH(C705,BP!$E$5:$E$9,1)))</f>
        <v>ดีมาก</v>
      </c>
      <c r="E705" s="12" t="n">
        <f aca="false">YEAR(A705)</f>
        <v>2022</v>
      </c>
      <c r="F705" s="12" t="n">
        <f aca="false">MONTH(A705)</f>
        <v>12</v>
      </c>
      <c r="G705" s="12" t="n">
        <v>18.8</v>
      </c>
      <c r="H705" s="12" t="n">
        <v>37.1</v>
      </c>
      <c r="I705" s="12" t="n">
        <v>105</v>
      </c>
      <c r="J705" s="12" t="n">
        <v>19.9</v>
      </c>
      <c r="K705" s="12" t="n">
        <v>0</v>
      </c>
      <c r="L705" s="12" t="s">
        <v>34</v>
      </c>
    </row>
    <row r="706" customFormat="false" ht="15" hidden="false" customHeight="false" outlineLevel="0" collapsed="false">
      <c r="A706" s="11" t="n">
        <v>44901</v>
      </c>
      <c r="B706" s="12" t="n">
        <v>10</v>
      </c>
      <c r="C706" s="12" t="n">
        <f aca="false">IF(NOT(ISNUMBER(B706)),"",ROUND((INDEX(BP!$D$5:$D$9,MATCH(B706,BP!$A$5:$A$9,1))-INDEX(BP!$C$5:$C$9,MATCH(B706,BP!$A$5:$A$9,1)))/(INDEX(BP!$B$5:$B$9,MATCH(B706,BP!$A$5:$A$9,1))-INDEX(BP!$A$5:$A$9,MATCH(B706,BP!$A$5:$A$9,1)))*(B706-INDEX(BP!$A$5:$A$9,MATCH(B706,BP!$A$5:$A$9,1)))+INDEX(BP!$C$5:$C$9,MATCH(B706,BP!$A$5:$A$9,1)),0))</f>
        <v>17</v>
      </c>
      <c r="D706" s="12" t="str">
        <f aca="false">IF(NOT(ISNUMBER(C706)),"",INDEX(BP!$F$5:$F$9,MATCH(C706,BP!$E$5:$E$9,1)))</f>
        <v>ดีมาก</v>
      </c>
      <c r="E706" s="12" t="n">
        <f aca="false">YEAR(A706)</f>
        <v>2022</v>
      </c>
      <c r="F706" s="12" t="n">
        <f aca="false">MONTH(A706)</f>
        <v>12</v>
      </c>
      <c r="G706" s="12" t="n">
        <v>16.1</v>
      </c>
      <c r="H706" s="12" t="n">
        <v>34.9</v>
      </c>
      <c r="I706" s="12" t="n">
        <v>95</v>
      </c>
      <c r="J706" s="12" t="n">
        <v>4.4</v>
      </c>
      <c r="K706" s="12" t="n">
        <v>4</v>
      </c>
      <c r="L706" s="12" t="s">
        <v>36</v>
      </c>
    </row>
    <row r="707" customFormat="false" ht="15" hidden="false" customHeight="false" outlineLevel="0" collapsed="false">
      <c r="A707" s="11" t="n">
        <v>44902</v>
      </c>
      <c r="B707" s="12" t="n">
        <v>11</v>
      </c>
      <c r="C707" s="12" t="n">
        <f aca="false">IF(NOT(ISNUMBER(B707)),"",ROUND((INDEX(BP!$D$5:$D$9,MATCH(B707,BP!$A$5:$A$9,1))-INDEX(BP!$C$5:$C$9,MATCH(B707,BP!$A$5:$A$9,1)))/(INDEX(BP!$B$5:$B$9,MATCH(B707,BP!$A$5:$A$9,1))-INDEX(BP!$A$5:$A$9,MATCH(B707,BP!$A$5:$A$9,1)))*(B707-INDEX(BP!$A$5:$A$9,MATCH(B707,BP!$A$5:$A$9,1)))+INDEX(BP!$C$5:$C$9,MATCH(B707,BP!$A$5:$A$9,1)),0))</f>
        <v>18</v>
      </c>
      <c r="D707" s="12" t="str">
        <f aca="false">IF(NOT(ISNUMBER(C707)),"",INDEX(BP!$F$5:$F$9,MATCH(C707,BP!$E$5:$E$9,1)))</f>
        <v>ดีมาก</v>
      </c>
      <c r="E707" s="12" t="n">
        <f aca="false">YEAR(A707)</f>
        <v>2022</v>
      </c>
      <c r="F707" s="12" t="n">
        <f aca="false">MONTH(A707)</f>
        <v>12</v>
      </c>
      <c r="G707" s="12" t="n">
        <v>21.3</v>
      </c>
      <c r="H707" s="12" t="n">
        <v>41.8</v>
      </c>
      <c r="I707" s="12" t="n">
        <v>88</v>
      </c>
      <c r="J707" s="12" t="n">
        <v>9.9</v>
      </c>
      <c r="K707" s="12" t="n">
        <v>0</v>
      </c>
      <c r="L707" s="12" t="s">
        <v>36</v>
      </c>
    </row>
    <row r="708" customFormat="false" ht="15" hidden="false" customHeight="false" outlineLevel="0" collapsed="false">
      <c r="A708" s="11" t="n">
        <v>44903</v>
      </c>
      <c r="B708" s="12" t="n">
        <v>9</v>
      </c>
      <c r="C708" s="12" t="n">
        <f aca="false">IF(NOT(ISNUMBER(B708)),"",ROUND((INDEX(BP!$D$5:$D$9,MATCH(B708,BP!$A$5:$A$9,1))-INDEX(BP!$C$5:$C$9,MATCH(B708,BP!$A$5:$A$9,1)))/(INDEX(BP!$B$5:$B$9,MATCH(B708,BP!$A$5:$A$9,1))-INDEX(BP!$A$5:$A$9,MATCH(B708,BP!$A$5:$A$9,1)))*(B708-INDEX(BP!$A$5:$A$9,MATCH(B708,BP!$A$5:$A$9,1)))+INDEX(BP!$C$5:$C$9,MATCH(B708,BP!$A$5:$A$9,1)),0))</f>
        <v>15</v>
      </c>
      <c r="D708" s="12" t="str">
        <f aca="false">IF(NOT(ISNUMBER(C708)),"",INDEX(BP!$F$5:$F$9,MATCH(C708,BP!$E$5:$E$9,1)))</f>
        <v>ดีมาก</v>
      </c>
      <c r="E708" s="12" t="n">
        <f aca="false">YEAR(A708)</f>
        <v>2022</v>
      </c>
      <c r="F708" s="12" t="n">
        <f aca="false">MONTH(A708)</f>
        <v>12</v>
      </c>
      <c r="G708" s="12" t="n">
        <v>15.6</v>
      </c>
      <c r="H708" s="12" t="n">
        <v>32</v>
      </c>
      <c r="I708" s="12" t="n">
        <v>49</v>
      </c>
      <c r="J708" s="12" t="n">
        <v>59.2</v>
      </c>
      <c r="K708" s="12" t="n">
        <v>89.6</v>
      </c>
      <c r="L708" s="12" t="s">
        <v>36</v>
      </c>
    </row>
    <row r="709" customFormat="false" ht="15" hidden="false" customHeight="false" outlineLevel="0" collapsed="false">
      <c r="A709" s="11" t="n">
        <v>44904</v>
      </c>
      <c r="B709" s="12" t="n">
        <v>11</v>
      </c>
      <c r="C709" s="12" t="n">
        <f aca="false">IF(NOT(ISNUMBER(B709)),"",ROUND((INDEX(BP!$D$5:$D$9,MATCH(B709,BP!$A$5:$A$9,1))-INDEX(BP!$C$5:$C$9,MATCH(B709,BP!$A$5:$A$9,1)))/(INDEX(BP!$B$5:$B$9,MATCH(B709,BP!$A$5:$A$9,1))-INDEX(BP!$A$5:$A$9,MATCH(B709,BP!$A$5:$A$9,1)))*(B709-INDEX(BP!$A$5:$A$9,MATCH(B709,BP!$A$5:$A$9,1)))+INDEX(BP!$C$5:$C$9,MATCH(B709,BP!$A$5:$A$9,1)),0))</f>
        <v>18</v>
      </c>
      <c r="D709" s="12" t="str">
        <f aca="false">IF(NOT(ISNUMBER(C709)),"",INDEX(BP!$F$5:$F$9,MATCH(C709,BP!$E$5:$E$9,1)))</f>
        <v>ดีมาก</v>
      </c>
      <c r="E709" s="12" t="n">
        <f aca="false">YEAR(A709)</f>
        <v>2022</v>
      </c>
      <c r="F709" s="12" t="n">
        <f aca="false">MONTH(A709)</f>
        <v>12</v>
      </c>
      <c r="G709" s="12" t="n">
        <v>14.8</v>
      </c>
      <c r="H709" s="12" t="n">
        <v>31</v>
      </c>
      <c r="I709" s="12" t="n">
        <v>39</v>
      </c>
      <c r="J709" s="12" t="n">
        <v>61.9</v>
      </c>
      <c r="K709" s="12" t="n">
        <v>34.2</v>
      </c>
      <c r="L709" s="12" t="s">
        <v>36</v>
      </c>
    </row>
    <row r="710" customFormat="false" ht="15" hidden="false" customHeight="false" outlineLevel="0" collapsed="false">
      <c r="A710" s="11" t="n">
        <v>44905</v>
      </c>
      <c r="B710" s="12" t="n">
        <v>14</v>
      </c>
      <c r="C710" s="12" t="n">
        <f aca="false">IF(NOT(ISNUMBER(B710)),"",ROUND((INDEX(BP!$D$5:$D$9,MATCH(B710,BP!$A$5:$A$9,1))-INDEX(BP!$C$5:$C$9,MATCH(B710,BP!$A$5:$A$9,1)))/(INDEX(BP!$B$5:$B$9,MATCH(B710,BP!$A$5:$A$9,1))-INDEX(BP!$A$5:$A$9,MATCH(B710,BP!$A$5:$A$9,1)))*(B710-INDEX(BP!$A$5:$A$9,MATCH(B710,BP!$A$5:$A$9,1)))+INDEX(BP!$C$5:$C$9,MATCH(B710,BP!$A$5:$A$9,1)),0))</f>
        <v>23</v>
      </c>
      <c r="D710" s="12" t="str">
        <f aca="false">IF(NOT(ISNUMBER(C710)),"",INDEX(BP!$F$5:$F$9,MATCH(C710,BP!$E$5:$E$9,1)))</f>
        <v>ดีมาก</v>
      </c>
      <c r="E710" s="12" t="n">
        <f aca="false">YEAR(A710)</f>
        <v>2022</v>
      </c>
      <c r="F710" s="12" t="n">
        <f aca="false">MONTH(A710)</f>
        <v>12</v>
      </c>
      <c r="G710" s="12" t="n">
        <v>15.3</v>
      </c>
      <c r="H710" s="12" t="n">
        <v>33.5</v>
      </c>
      <c r="I710" s="12" t="n">
        <v>52</v>
      </c>
      <c r="J710" s="12" t="n">
        <v>30.6</v>
      </c>
      <c r="K710" s="12" t="n">
        <v>39.8</v>
      </c>
      <c r="L710" s="12" t="s">
        <v>34</v>
      </c>
    </row>
    <row r="711" customFormat="false" ht="15" hidden="false" customHeight="false" outlineLevel="0" collapsed="false">
      <c r="A711" s="11" t="n">
        <v>44906</v>
      </c>
      <c r="B711" s="12" t="n">
        <v>14</v>
      </c>
      <c r="C711" s="12" t="n">
        <f aca="false">IF(NOT(ISNUMBER(B711)),"",ROUND((INDEX(BP!$D$5:$D$9,MATCH(B711,BP!$A$5:$A$9,1))-INDEX(BP!$C$5:$C$9,MATCH(B711,BP!$A$5:$A$9,1)))/(INDEX(BP!$B$5:$B$9,MATCH(B711,BP!$A$5:$A$9,1))-INDEX(BP!$A$5:$A$9,MATCH(B711,BP!$A$5:$A$9,1)))*(B711-INDEX(BP!$A$5:$A$9,MATCH(B711,BP!$A$5:$A$9,1)))+INDEX(BP!$C$5:$C$9,MATCH(B711,BP!$A$5:$A$9,1)),0))</f>
        <v>23</v>
      </c>
      <c r="D711" s="12" t="str">
        <f aca="false">IF(NOT(ISNUMBER(C711)),"",INDEX(BP!$F$5:$F$9,MATCH(C711,BP!$E$5:$E$9,1)))</f>
        <v>ดีมาก</v>
      </c>
      <c r="E711" s="12" t="n">
        <f aca="false">YEAR(A711)</f>
        <v>2022</v>
      </c>
      <c r="F711" s="12" t="n">
        <f aca="false">MONTH(A711)</f>
        <v>12</v>
      </c>
      <c r="G711" s="12" t="n">
        <v>19.2</v>
      </c>
      <c r="H711" s="12" t="n">
        <v>39.6</v>
      </c>
      <c r="I711" s="12" t="n">
        <v>75</v>
      </c>
      <c r="J711" s="12" t="n">
        <v>14.4</v>
      </c>
      <c r="K711" s="12" t="n">
        <v>2</v>
      </c>
      <c r="L711" s="12" t="s">
        <v>35</v>
      </c>
    </row>
    <row r="712" customFormat="false" ht="15" hidden="false" customHeight="false" outlineLevel="0" collapsed="false">
      <c r="A712" s="11" t="n">
        <v>44907</v>
      </c>
      <c r="B712" s="12" t="n">
        <v>13</v>
      </c>
      <c r="C712" s="12" t="n">
        <f aca="false">IF(NOT(ISNUMBER(B712)),"",ROUND((INDEX(BP!$D$5:$D$9,MATCH(B712,BP!$A$5:$A$9,1))-INDEX(BP!$C$5:$C$9,MATCH(B712,BP!$A$5:$A$9,1)))/(INDEX(BP!$B$5:$B$9,MATCH(B712,BP!$A$5:$A$9,1))-INDEX(BP!$A$5:$A$9,MATCH(B712,BP!$A$5:$A$9,1)))*(B712-INDEX(BP!$A$5:$A$9,MATCH(B712,BP!$A$5:$A$9,1)))+INDEX(BP!$C$5:$C$9,MATCH(B712,BP!$A$5:$A$9,1)),0))</f>
        <v>22</v>
      </c>
      <c r="D712" s="12" t="str">
        <f aca="false">IF(NOT(ISNUMBER(C712)),"",INDEX(BP!$F$5:$F$9,MATCH(C712,BP!$E$5:$E$9,1)))</f>
        <v>ดีมาก</v>
      </c>
      <c r="E712" s="12" t="n">
        <f aca="false">YEAR(A712)</f>
        <v>2022</v>
      </c>
      <c r="F712" s="12" t="n">
        <f aca="false">MONTH(A712)</f>
        <v>12</v>
      </c>
      <c r="G712" s="12" t="n">
        <v>20.2</v>
      </c>
      <c r="H712" s="12" t="n">
        <v>42.8</v>
      </c>
      <c r="I712" s="12" t="n">
        <v>94</v>
      </c>
      <c r="J712" s="12" t="n">
        <v>15.1</v>
      </c>
      <c r="K712" s="12" t="n">
        <v>18.4</v>
      </c>
      <c r="L712" s="12" t="s">
        <v>34</v>
      </c>
    </row>
    <row r="713" customFormat="false" ht="15" hidden="false" customHeight="false" outlineLevel="0" collapsed="false">
      <c r="A713" s="11" t="n">
        <v>44908</v>
      </c>
      <c r="B713" s="12" t="n">
        <v>17</v>
      </c>
      <c r="C713" s="12" t="n">
        <f aca="false">IF(NOT(ISNUMBER(B713)),"",ROUND((INDEX(BP!$D$5:$D$9,MATCH(B713,BP!$A$5:$A$9,1))-INDEX(BP!$C$5:$C$9,MATCH(B713,BP!$A$5:$A$9,1)))/(INDEX(BP!$B$5:$B$9,MATCH(B713,BP!$A$5:$A$9,1))-INDEX(BP!$A$5:$A$9,MATCH(B713,BP!$A$5:$A$9,1)))*(B713-INDEX(BP!$A$5:$A$9,MATCH(B713,BP!$A$5:$A$9,1)))+INDEX(BP!$C$5:$C$9,MATCH(B713,BP!$A$5:$A$9,1)),0))</f>
        <v>31</v>
      </c>
      <c r="D713" s="12" t="str">
        <f aca="false">IF(NOT(ISNUMBER(C713)),"",INDEX(BP!$F$5:$F$9,MATCH(C713,BP!$E$5:$E$9,1)))</f>
        <v>ดี</v>
      </c>
      <c r="E713" s="12" t="n">
        <f aca="false">YEAR(A713)</f>
        <v>2022</v>
      </c>
      <c r="F713" s="12" t="n">
        <f aca="false">MONTH(A713)</f>
        <v>12</v>
      </c>
      <c r="G713" s="12" t="n">
        <v>27</v>
      </c>
      <c r="H713" s="12" t="n">
        <v>53.3</v>
      </c>
      <c r="I713" s="12" t="n">
        <v>85</v>
      </c>
      <c r="J713" s="12" t="n">
        <v>3.3</v>
      </c>
      <c r="K713" s="12" t="n">
        <v>6.4</v>
      </c>
      <c r="L713" s="12" t="s">
        <v>36</v>
      </c>
    </row>
    <row r="714" customFormat="false" ht="15" hidden="false" customHeight="false" outlineLevel="0" collapsed="false">
      <c r="A714" s="11" t="n">
        <v>44909</v>
      </c>
      <c r="B714" s="12" t="n">
        <v>15</v>
      </c>
      <c r="C714" s="12" t="n">
        <f aca="false">IF(NOT(ISNUMBER(B714)),"",ROUND((INDEX(BP!$D$5:$D$9,MATCH(B714,BP!$A$5:$A$9,1))-INDEX(BP!$C$5:$C$9,MATCH(B714,BP!$A$5:$A$9,1)))/(INDEX(BP!$B$5:$B$9,MATCH(B714,BP!$A$5:$A$9,1))-INDEX(BP!$A$5:$A$9,MATCH(B714,BP!$A$5:$A$9,1)))*(B714-INDEX(BP!$A$5:$A$9,MATCH(B714,BP!$A$5:$A$9,1)))+INDEX(BP!$C$5:$C$9,MATCH(B714,BP!$A$5:$A$9,1)),0))</f>
        <v>25</v>
      </c>
      <c r="D714" s="12" t="str">
        <f aca="false">IF(NOT(ISNUMBER(C714)),"",INDEX(BP!$F$5:$F$9,MATCH(C714,BP!$E$5:$E$9,1)))</f>
        <v>ดีมาก</v>
      </c>
      <c r="E714" s="12" t="n">
        <f aca="false">YEAR(A714)</f>
        <v>2022</v>
      </c>
      <c r="F714" s="12" t="n">
        <f aca="false">MONTH(A714)</f>
        <v>12</v>
      </c>
      <c r="G714" s="12" t="n">
        <v>23.8</v>
      </c>
      <c r="H714" s="12" t="n">
        <v>47.5</v>
      </c>
      <c r="I714" s="12" t="n">
        <v>76</v>
      </c>
      <c r="J714" s="12" t="n">
        <v>1.9</v>
      </c>
      <c r="K714" s="12" t="n">
        <v>0</v>
      </c>
      <c r="L714" s="12" t="s">
        <v>36</v>
      </c>
    </row>
    <row r="715" customFormat="false" ht="15" hidden="false" customHeight="false" outlineLevel="0" collapsed="false">
      <c r="A715" s="11" t="n">
        <v>44910</v>
      </c>
      <c r="B715" s="12" t="n">
        <v>14</v>
      </c>
      <c r="C715" s="12" t="n">
        <f aca="false">IF(NOT(ISNUMBER(B715)),"",ROUND((INDEX(BP!$D$5:$D$9,MATCH(B715,BP!$A$5:$A$9,1))-INDEX(BP!$C$5:$C$9,MATCH(B715,BP!$A$5:$A$9,1)))/(INDEX(BP!$B$5:$B$9,MATCH(B715,BP!$A$5:$A$9,1))-INDEX(BP!$A$5:$A$9,MATCH(B715,BP!$A$5:$A$9,1)))*(B715-INDEX(BP!$A$5:$A$9,MATCH(B715,BP!$A$5:$A$9,1)))+INDEX(BP!$C$5:$C$9,MATCH(B715,BP!$A$5:$A$9,1)),0))</f>
        <v>23</v>
      </c>
      <c r="D715" s="12" t="str">
        <f aca="false">IF(NOT(ISNUMBER(C715)),"",INDEX(BP!$F$5:$F$9,MATCH(C715,BP!$E$5:$E$9,1)))</f>
        <v>ดีมาก</v>
      </c>
      <c r="E715" s="12" t="n">
        <f aca="false">YEAR(A715)</f>
        <v>2022</v>
      </c>
      <c r="F715" s="12" t="n">
        <f aca="false">MONTH(A715)</f>
        <v>12</v>
      </c>
      <c r="G715" s="12" t="n">
        <v>26.6</v>
      </c>
      <c r="H715" s="12" t="n">
        <v>52.2</v>
      </c>
      <c r="I715" s="12" t="n">
        <v>90</v>
      </c>
      <c r="J715" s="12" t="n">
        <v>10.1</v>
      </c>
      <c r="K715" s="12" t="n">
        <v>0.2</v>
      </c>
      <c r="L715" s="12" t="s">
        <v>36</v>
      </c>
    </row>
    <row r="716" customFormat="false" ht="15" hidden="false" customHeight="false" outlineLevel="0" collapsed="false">
      <c r="A716" s="11" t="n">
        <v>44911</v>
      </c>
      <c r="B716" s="12" t="n">
        <v>14</v>
      </c>
      <c r="C716" s="12" t="n">
        <f aca="false">IF(NOT(ISNUMBER(B716)),"",ROUND((INDEX(BP!$D$5:$D$9,MATCH(B716,BP!$A$5:$A$9,1))-INDEX(BP!$C$5:$C$9,MATCH(B716,BP!$A$5:$A$9,1)))/(INDEX(BP!$B$5:$B$9,MATCH(B716,BP!$A$5:$A$9,1))-INDEX(BP!$A$5:$A$9,MATCH(B716,BP!$A$5:$A$9,1)))*(B716-INDEX(BP!$A$5:$A$9,MATCH(B716,BP!$A$5:$A$9,1)))+INDEX(BP!$C$5:$C$9,MATCH(B716,BP!$A$5:$A$9,1)),0))</f>
        <v>23</v>
      </c>
      <c r="D716" s="12" t="str">
        <f aca="false">IF(NOT(ISNUMBER(C716)),"",INDEX(BP!$F$5:$F$9,MATCH(C716,BP!$E$5:$E$9,1)))</f>
        <v>ดีมาก</v>
      </c>
      <c r="E716" s="12" t="n">
        <f aca="false">YEAR(A716)</f>
        <v>2022</v>
      </c>
      <c r="F716" s="12" t="n">
        <f aca="false">MONTH(A716)</f>
        <v>12</v>
      </c>
      <c r="G716" s="12" t="n">
        <v>26</v>
      </c>
      <c r="H716" s="12" t="n">
        <v>50.8</v>
      </c>
      <c r="I716" s="12" t="n">
        <v>84</v>
      </c>
      <c r="J716" s="12" t="n">
        <v>3.1</v>
      </c>
      <c r="K716" s="12" t="n">
        <v>18.8</v>
      </c>
      <c r="L716" s="12" t="s">
        <v>36</v>
      </c>
    </row>
    <row r="717" customFormat="false" ht="15" hidden="false" customHeight="false" outlineLevel="0" collapsed="false">
      <c r="A717" s="11" t="n">
        <v>44912</v>
      </c>
      <c r="B717" s="12" t="n">
        <v>11</v>
      </c>
      <c r="C717" s="12" t="n">
        <f aca="false">IF(NOT(ISNUMBER(B717)),"",ROUND((INDEX(BP!$D$5:$D$9,MATCH(B717,BP!$A$5:$A$9,1))-INDEX(BP!$C$5:$C$9,MATCH(B717,BP!$A$5:$A$9,1)))/(INDEX(BP!$B$5:$B$9,MATCH(B717,BP!$A$5:$A$9,1))-INDEX(BP!$A$5:$A$9,MATCH(B717,BP!$A$5:$A$9,1)))*(B717-INDEX(BP!$A$5:$A$9,MATCH(B717,BP!$A$5:$A$9,1)))+INDEX(BP!$C$5:$C$9,MATCH(B717,BP!$A$5:$A$9,1)),0))</f>
        <v>18</v>
      </c>
      <c r="D717" s="12" t="str">
        <f aca="false">IF(NOT(ISNUMBER(C717)),"",INDEX(BP!$F$5:$F$9,MATCH(C717,BP!$E$5:$E$9,1)))</f>
        <v>ดีมาก</v>
      </c>
      <c r="E717" s="12" t="n">
        <f aca="false">YEAR(A717)</f>
        <v>2022</v>
      </c>
      <c r="F717" s="12" t="n">
        <f aca="false">MONTH(A717)</f>
        <v>12</v>
      </c>
      <c r="G717" s="12" t="n">
        <v>25</v>
      </c>
      <c r="H717" s="12" t="n">
        <v>51.1</v>
      </c>
      <c r="I717" s="12" t="n">
        <v>82</v>
      </c>
      <c r="J717" s="12" t="n">
        <v>13.6</v>
      </c>
      <c r="K717" s="12" t="n">
        <v>59.7</v>
      </c>
      <c r="L717" s="12" t="s">
        <v>35</v>
      </c>
    </row>
    <row r="718" customFormat="false" ht="15" hidden="false" customHeight="false" outlineLevel="0" collapsed="false">
      <c r="A718" s="11" t="n">
        <v>44913</v>
      </c>
      <c r="B718" s="12" t="n">
        <v>8</v>
      </c>
      <c r="C718" s="12" t="n">
        <f aca="false">IF(NOT(ISNUMBER(B718)),"",ROUND((INDEX(BP!$D$5:$D$9,MATCH(B718,BP!$A$5:$A$9,1))-INDEX(BP!$C$5:$C$9,MATCH(B718,BP!$A$5:$A$9,1)))/(INDEX(BP!$B$5:$B$9,MATCH(B718,BP!$A$5:$A$9,1))-INDEX(BP!$A$5:$A$9,MATCH(B718,BP!$A$5:$A$9,1)))*(B718-INDEX(BP!$A$5:$A$9,MATCH(B718,BP!$A$5:$A$9,1)))+INDEX(BP!$C$5:$C$9,MATCH(B718,BP!$A$5:$A$9,1)),0))</f>
        <v>13</v>
      </c>
      <c r="D718" s="12" t="str">
        <f aca="false">IF(NOT(ISNUMBER(C718)),"",INDEX(BP!$F$5:$F$9,MATCH(C718,BP!$E$5:$E$9,1)))</f>
        <v>ดีมาก</v>
      </c>
      <c r="E718" s="12" t="n">
        <f aca="false">YEAR(A718)</f>
        <v>2022</v>
      </c>
      <c r="F718" s="12" t="n">
        <f aca="false">MONTH(A718)</f>
        <v>12</v>
      </c>
      <c r="G718" s="12" t="n">
        <v>26.6</v>
      </c>
      <c r="H718" s="12" t="n">
        <v>57.6</v>
      </c>
      <c r="I718" s="12" t="n">
        <v>84</v>
      </c>
      <c r="J718" s="12" t="n">
        <v>116</v>
      </c>
      <c r="K718" s="12" t="n">
        <v>144.2</v>
      </c>
      <c r="L718" s="12" t="s">
        <v>35</v>
      </c>
    </row>
    <row r="719" customFormat="false" ht="15" hidden="false" customHeight="false" outlineLevel="0" collapsed="false">
      <c r="A719" s="11" t="n">
        <v>44914</v>
      </c>
      <c r="B719" s="12" t="n">
        <v>7</v>
      </c>
      <c r="C719" s="12" t="n">
        <f aca="false">IF(NOT(ISNUMBER(B719)),"",ROUND((INDEX(BP!$D$5:$D$9,MATCH(B719,BP!$A$5:$A$9,1))-INDEX(BP!$C$5:$C$9,MATCH(B719,BP!$A$5:$A$9,1)))/(INDEX(BP!$B$5:$B$9,MATCH(B719,BP!$A$5:$A$9,1))-INDEX(BP!$A$5:$A$9,MATCH(B719,BP!$A$5:$A$9,1)))*(B719-INDEX(BP!$A$5:$A$9,MATCH(B719,BP!$A$5:$A$9,1)))+INDEX(BP!$C$5:$C$9,MATCH(B719,BP!$A$5:$A$9,1)),0))</f>
        <v>12</v>
      </c>
      <c r="D719" s="12" t="str">
        <f aca="false">IF(NOT(ISNUMBER(C719)),"",INDEX(BP!$F$5:$F$9,MATCH(C719,BP!$E$5:$E$9,1)))</f>
        <v>ดีมาก</v>
      </c>
      <c r="E719" s="12" t="n">
        <f aca="false">YEAR(A719)</f>
        <v>2022</v>
      </c>
      <c r="F719" s="12" t="n">
        <f aca="false">MONTH(A719)</f>
        <v>12</v>
      </c>
      <c r="G719" s="12" t="n">
        <v>26.1</v>
      </c>
      <c r="H719" s="12" t="n">
        <v>48.6</v>
      </c>
      <c r="I719" s="12" t="n">
        <v>71</v>
      </c>
      <c r="J719" s="12" t="n">
        <v>58.1</v>
      </c>
      <c r="K719" s="12" t="n">
        <v>18.6</v>
      </c>
      <c r="L719" s="12" t="s">
        <v>36</v>
      </c>
    </row>
    <row r="720" customFormat="false" ht="15" hidden="false" customHeight="false" outlineLevel="0" collapsed="false">
      <c r="A720" s="11" t="n">
        <v>44915</v>
      </c>
      <c r="B720" s="12" t="n">
        <v>13</v>
      </c>
      <c r="C720" s="12" t="n">
        <f aca="false">IF(NOT(ISNUMBER(B720)),"",ROUND((INDEX(BP!$D$5:$D$9,MATCH(B720,BP!$A$5:$A$9,1))-INDEX(BP!$C$5:$C$9,MATCH(B720,BP!$A$5:$A$9,1)))/(INDEX(BP!$B$5:$B$9,MATCH(B720,BP!$A$5:$A$9,1))-INDEX(BP!$A$5:$A$9,MATCH(B720,BP!$A$5:$A$9,1)))*(B720-INDEX(BP!$A$5:$A$9,MATCH(B720,BP!$A$5:$A$9,1)))+INDEX(BP!$C$5:$C$9,MATCH(B720,BP!$A$5:$A$9,1)),0))</f>
        <v>22</v>
      </c>
      <c r="D720" s="12" t="str">
        <f aca="false">IF(NOT(ISNUMBER(C720)),"",INDEX(BP!$F$5:$F$9,MATCH(C720,BP!$E$5:$E$9,1)))</f>
        <v>ดีมาก</v>
      </c>
      <c r="E720" s="12" t="n">
        <f aca="false">YEAR(A720)</f>
        <v>2022</v>
      </c>
      <c r="F720" s="12" t="n">
        <f aca="false">MONTH(A720)</f>
        <v>12</v>
      </c>
      <c r="G720" s="12" t="n">
        <v>23</v>
      </c>
      <c r="H720" s="12" t="n">
        <v>45.4</v>
      </c>
      <c r="I720" s="12" t="n">
        <v>72</v>
      </c>
      <c r="J720" s="12" t="n">
        <v>9.4</v>
      </c>
      <c r="K720" s="12" t="n">
        <v>2.6</v>
      </c>
      <c r="L720" s="12" t="s">
        <v>36</v>
      </c>
    </row>
    <row r="721" customFormat="false" ht="15" hidden="false" customHeight="false" outlineLevel="0" collapsed="false">
      <c r="A721" s="11" t="n">
        <v>44916</v>
      </c>
      <c r="B721" s="12" t="n">
        <v>22</v>
      </c>
      <c r="C721" s="12" t="n">
        <f aca="false">IF(NOT(ISNUMBER(B721)),"",ROUND((INDEX(BP!$D$5:$D$9,MATCH(B721,BP!$A$5:$A$9,1))-INDEX(BP!$C$5:$C$9,MATCH(B721,BP!$A$5:$A$9,1)))/(INDEX(BP!$B$5:$B$9,MATCH(B721,BP!$A$5:$A$9,1))-INDEX(BP!$A$5:$A$9,MATCH(B721,BP!$A$5:$A$9,1)))*(B721-INDEX(BP!$A$5:$A$9,MATCH(B721,BP!$A$5:$A$9,1)))+INDEX(BP!$C$5:$C$9,MATCH(B721,BP!$A$5:$A$9,1)),0))</f>
        <v>43</v>
      </c>
      <c r="D721" s="12" t="str">
        <f aca="false">IF(NOT(ISNUMBER(C721)),"",INDEX(BP!$F$5:$F$9,MATCH(C721,BP!$E$5:$E$9,1)))</f>
        <v>ดี</v>
      </c>
      <c r="E721" s="12" t="n">
        <f aca="false">YEAR(A721)</f>
        <v>2022</v>
      </c>
      <c r="F721" s="12" t="n">
        <f aca="false">MONTH(A721)</f>
        <v>12</v>
      </c>
      <c r="G721" s="12" t="n">
        <v>17.6</v>
      </c>
      <c r="H721" s="12" t="n">
        <v>36.4</v>
      </c>
      <c r="I721" s="12" t="n">
        <v>63</v>
      </c>
      <c r="J721" s="12" t="n">
        <v>6</v>
      </c>
      <c r="K721" s="12" t="n">
        <v>29.2</v>
      </c>
      <c r="L721" s="12" t="s">
        <v>36</v>
      </c>
    </row>
    <row r="722" customFormat="false" ht="15" hidden="false" customHeight="false" outlineLevel="0" collapsed="false">
      <c r="A722" s="11" t="n">
        <v>44917</v>
      </c>
      <c r="B722" s="12" t="n">
        <v>22</v>
      </c>
      <c r="C722" s="12" t="n">
        <f aca="false">IF(NOT(ISNUMBER(B722)),"",ROUND((INDEX(BP!$D$5:$D$9,MATCH(B722,BP!$A$5:$A$9,1))-INDEX(BP!$C$5:$C$9,MATCH(B722,BP!$A$5:$A$9,1)))/(INDEX(BP!$B$5:$B$9,MATCH(B722,BP!$A$5:$A$9,1))-INDEX(BP!$A$5:$A$9,MATCH(B722,BP!$A$5:$A$9,1)))*(B722-INDEX(BP!$A$5:$A$9,MATCH(B722,BP!$A$5:$A$9,1)))+INDEX(BP!$C$5:$C$9,MATCH(B722,BP!$A$5:$A$9,1)),0))</f>
        <v>43</v>
      </c>
      <c r="D722" s="12" t="str">
        <f aca="false">IF(NOT(ISNUMBER(C722)),"",INDEX(BP!$F$5:$F$9,MATCH(C722,BP!$E$5:$E$9,1)))</f>
        <v>ดี</v>
      </c>
      <c r="E722" s="12" t="n">
        <f aca="false">YEAR(A722)</f>
        <v>2022</v>
      </c>
      <c r="F722" s="12" t="n">
        <f aca="false">MONTH(A722)</f>
        <v>12</v>
      </c>
      <c r="G722" s="12" t="n">
        <v>13.5</v>
      </c>
      <c r="H722" s="12" t="n">
        <v>29.5</v>
      </c>
      <c r="I722" s="12" t="n">
        <v>50</v>
      </c>
      <c r="J722" s="12" t="n">
        <v>0.8</v>
      </c>
      <c r="K722" s="12" t="n">
        <v>0</v>
      </c>
      <c r="L722" s="12" t="s">
        <v>36</v>
      </c>
    </row>
    <row r="723" customFormat="false" ht="15" hidden="false" customHeight="false" outlineLevel="0" collapsed="false">
      <c r="A723" s="11" t="n">
        <v>44918</v>
      </c>
      <c r="B723" s="12" t="n">
        <v>21</v>
      </c>
      <c r="C723" s="12" t="n">
        <f aca="false">IF(NOT(ISNUMBER(B723)),"",ROUND((INDEX(BP!$D$5:$D$9,MATCH(B723,BP!$A$5:$A$9,1))-INDEX(BP!$C$5:$C$9,MATCH(B723,BP!$A$5:$A$9,1)))/(INDEX(BP!$B$5:$B$9,MATCH(B723,BP!$A$5:$A$9,1))-INDEX(BP!$A$5:$A$9,MATCH(B723,BP!$A$5:$A$9,1)))*(B723-INDEX(BP!$A$5:$A$9,MATCH(B723,BP!$A$5:$A$9,1)))+INDEX(BP!$C$5:$C$9,MATCH(B723,BP!$A$5:$A$9,1)),0))</f>
        <v>40</v>
      </c>
      <c r="D723" s="12" t="str">
        <f aca="false">IF(NOT(ISNUMBER(C723)),"",INDEX(BP!$F$5:$F$9,MATCH(C723,BP!$E$5:$E$9,1)))</f>
        <v>ดี</v>
      </c>
      <c r="E723" s="12" t="n">
        <f aca="false">YEAR(A723)</f>
        <v>2022</v>
      </c>
      <c r="F723" s="12" t="n">
        <f aca="false">MONTH(A723)</f>
        <v>12</v>
      </c>
      <c r="G723" s="12" t="n">
        <v>20.1</v>
      </c>
      <c r="H723" s="12" t="n">
        <v>40.7</v>
      </c>
      <c r="I723" s="12" t="n">
        <v>70</v>
      </c>
      <c r="J723" s="12" t="n">
        <v>1.5</v>
      </c>
      <c r="K723" s="12" t="n">
        <v>0</v>
      </c>
      <c r="L723" s="12" t="s">
        <v>36</v>
      </c>
    </row>
    <row r="724" customFormat="false" ht="15" hidden="false" customHeight="false" outlineLevel="0" collapsed="false">
      <c r="A724" s="11" t="n">
        <v>44919</v>
      </c>
      <c r="B724" s="12" t="n">
        <v>20</v>
      </c>
      <c r="C724" s="12" t="n">
        <f aca="false">IF(NOT(ISNUMBER(B724)),"",ROUND((INDEX(BP!$D$5:$D$9,MATCH(B724,BP!$A$5:$A$9,1))-INDEX(BP!$C$5:$C$9,MATCH(B724,BP!$A$5:$A$9,1)))/(INDEX(BP!$B$5:$B$9,MATCH(B724,BP!$A$5:$A$9,1))-INDEX(BP!$A$5:$A$9,MATCH(B724,BP!$A$5:$A$9,1)))*(B724-INDEX(BP!$A$5:$A$9,MATCH(B724,BP!$A$5:$A$9,1)))+INDEX(BP!$C$5:$C$9,MATCH(B724,BP!$A$5:$A$9,1)),0))</f>
        <v>38</v>
      </c>
      <c r="D724" s="12" t="str">
        <f aca="false">IF(NOT(ISNUMBER(C724)),"",INDEX(BP!$F$5:$F$9,MATCH(C724,BP!$E$5:$E$9,1)))</f>
        <v>ดี</v>
      </c>
      <c r="E724" s="12" t="n">
        <f aca="false">YEAR(A724)</f>
        <v>2022</v>
      </c>
      <c r="F724" s="12" t="n">
        <f aca="false">MONTH(A724)</f>
        <v>12</v>
      </c>
      <c r="G724" s="12" t="n">
        <v>20.5</v>
      </c>
      <c r="H724" s="12" t="n">
        <v>42.8</v>
      </c>
      <c r="I724" s="12" t="n">
        <v>84</v>
      </c>
      <c r="J724" s="12" t="n">
        <v>0.7</v>
      </c>
      <c r="K724" s="12" t="n">
        <v>0</v>
      </c>
      <c r="L724" s="12" t="s">
        <v>35</v>
      </c>
    </row>
    <row r="725" customFormat="false" ht="15" hidden="false" customHeight="false" outlineLevel="0" collapsed="false">
      <c r="A725" s="11" t="n">
        <v>44920</v>
      </c>
      <c r="B725" s="12" t="n">
        <v>17</v>
      </c>
      <c r="C725" s="12" t="n">
        <f aca="false">IF(NOT(ISNUMBER(B725)),"",ROUND((INDEX(BP!$D$5:$D$9,MATCH(B725,BP!$A$5:$A$9,1))-INDEX(BP!$C$5:$C$9,MATCH(B725,BP!$A$5:$A$9,1)))/(INDEX(BP!$B$5:$B$9,MATCH(B725,BP!$A$5:$A$9,1))-INDEX(BP!$A$5:$A$9,MATCH(B725,BP!$A$5:$A$9,1)))*(B725-INDEX(BP!$A$5:$A$9,MATCH(B725,BP!$A$5:$A$9,1)))+INDEX(BP!$C$5:$C$9,MATCH(B725,BP!$A$5:$A$9,1)),0))</f>
        <v>31</v>
      </c>
      <c r="D725" s="12" t="str">
        <f aca="false">IF(NOT(ISNUMBER(C725)),"",INDEX(BP!$F$5:$F$9,MATCH(C725,BP!$E$5:$E$9,1)))</f>
        <v>ดี</v>
      </c>
      <c r="E725" s="12" t="n">
        <f aca="false">YEAR(A725)</f>
        <v>2022</v>
      </c>
      <c r="F725" s="12" t="n">
        <f aca="false">MONTH(A725)</f>
        <v>12</v>
      </c>
      <c r="G725" s="12" t="n">
        <v>21.1</v>
      </c>
      <c r="H725" s="12" t="n">
        <v>44.6</v>
      </c>
      <c r="I725" s="12" t="n">
        <v>74</v>
      </c>
      <c r="J725" s="12" t="n">
        <v>0.9</v>
      </c>
      <c r="K725" s="12" t="n">
        <v>0</v>
      </c>
      <c r="L725" s="12" t="s">
        <v>35</v>
      </c>
    </row>
    <row r="726" customFormat="false" ht="15" hidden="false" customHeight="false" outlineLevel="0" collapsed="false">
      <c r="A726" s="11" t="n">
        <v>44921</v>
      </c>
      <c r="B726" s="12" t="n">
        <v>20</v>
      </c>
      <c r="C726" s="12" t="n">
        <f aca="false">IF(NOT(ISNUMBER(B726)),"",ROUND((INDEX(BP!$D$5:$D$9,MATCH(B726,BP!$A$5:$A$9,1))-INDEX(BP!$C$5:$C$9,MATCH(B726,BP!$A$5:$A$9,1)))/(INDEX(BP!$B$5:$B$9,MATCH(B726,BP!$A$5:$A$9,1))-INDEX(BP!$A$5:$A$9,MATCH(B726,BP!$A$5:$A$9,1)))*(B726-INDEX(BP!$A$5:$A$9,MATCH(B726,BP!$A$5:$A$9,1)))+INDEX(BP!$C$5:$C$9,MATCH(B726,BP!$A$5:$A$9,1)),0))</f>
        <v>38</v>
      </c>
      <c r="D726" s="12" t="str">
        <f aca="false">IF(NOT(ISNUMBER(C726)),"",INDEX(BP!$F$5:$F$9,MATCH(C726,BP!$E$5:$E$9,1)))</f>
        <v>ดี</v>
      </c>
      <c r="E726" s="12" t="n">
        <f aca="false">YEAR(A726)</f>
        <v>2022</v>
      </c>
      <c r="F726" s="12" t="n">
        <f aca="false">MONTH(A726)</f>
        <v>12</v>
      </c>
      <c r="G726" s="12" t="n">
        <v>16.6</v>
      </c>
      <c r="H726" s="12" t="n">
        <v>34.2</v>
      </c>
      <c r="I726" s="12" t="n">
        <v>67</v>
      </c>
      <c r="J726" s="12" t="n">
        <v>0.4</v>
      </c>
      <c r="K726" s="12" t="n">
        <v>0</v>
      </c>
      <c r="L726" s="12" t="s">
        <v>36</v>
      </c>
    </row>
    <row r="727" customFormat="false" ht="15" hidden="false" customHeight="false" outlineLevel="0" collapsed="false">
      <c r="A727" s="11" t="n">
        <v>44922</v>
      </c>
      <c r="B727" s="12" t="n">
        <v>23</v>
      </c>
      <c r="C727" s="12" t="n">
        <f aca="false">IF(NOT(ISNUMBER(B727)),"",ROUND((INDEX(BP!$D$5:$D$9,MATCH(B727,BP!$A$5:$A$9,1))-INDEX(BP!$C$5:$C$9,MATCH(B727,BP!$A$5:$A$9,1)))/(INDEX(BP!$B$5:$B$9,MATCH(B727,BP!$A$5:$A$9,1))-INDEX(BP!$A$5:$A$9,MATCH(B727,BP!$A$5:$A$9,1)))*(B727-INDEX(BP!$A$5:$A$9,MATCH(B727,BP!$A$5:$A$9,1)))+INDEX(BP!$C$5:$C$9,MATCH(B727,BP!$A$5:$A$9,1)),0))</f>
        <v>45</v>
      </c>
      <c r="D727" s="12" t="str">
        <f aca="false">IF(NOT(ISNUMBER(C727)),"",INDEX(BP!$F$5:$F$9,MATCH(C727,BP!$E$5:$E$9,1)))</f>
        <v>ดี</v>
      </c>
      <c r="E727" s="12" t="n">
        <f aca="false">YEAR(A727)</f>
        <v>2022</v>
      </c>
      <c r="F727" s="12" t="n">
        <f aca="false">MONTH(A727)</f>
        <v>12</v>
      </c>
      <c r="G727" s="12" t="n">
        <v>17.4</v>
      </c>
      <c r="H727" s="12" t="n">
        <v>38.2</v>
      </c>
      <c r="I727" s="12" t="n">
        <v>67</v>
      </c>
      <c r="J727" s="12" t="n">
        <v>0</v>
      </c>
      <c r="K727" s="12" t="n">
        <v>0</v>
      </c>
      <c r="L727" s="12" t="s">
        <v>36</v>
      </c>
    </row>
    <row r="728" customFormat="false" ht="15" hidden="false" customHeight="false" outlineLevel="0" collapsed="false">
      <c r="A728" s="11" t="n">
        <v>44923</v>
      </c>
      <c r="B728" s="12" t="n">
        <v>26</v>
      </c>
      <c r="C728" s="12" t="n">
        <f aca="false">IF(NOT(ISNUMBER(B728)),"",ROUND((INDEX(BP!$D$5:$D$9,MATCH(B728,BP!$A$5:$A$9,1))-INDEX(BP!$C$5:$C$9,MATCH(B728,BP!$A$5:$A$9,1)))/(INDEX(BP!$B$5:$B$9,MATCH(B728,BP!$A$5:$A$9,1))-INDEX(BP!$A$5:$A$9,MATCH(B728,BP!$A$5:$A$9,1)))*(B728-INDEX(BP!$A$5:$A$9,MATCH(B728,BP!$A$5:$A$9,1)))+INDEX(BP!$C$5:$C$9,MATCH(B728,BP!$A$5:$A$9,1)),0))</f>
        <v>55</v>
      </c>
      <c r="D728" s="12" t="str">
        <f aca="false">IF(NOT(ISNUMBER(C728)),"",INDEX(BP!$F$5:$F$9,MATCH(C728,BP!$E$5:$E$9,1)))</f>
        <v>ปานกลาง</v>
      </c>
      <c r="E728" s="12" t="n">
        <f aca="false">YEAR(A728)</f>
        <v>2022</v>
      </c>
      <c r="F728" s="12" t="n">
        <f aca="false">MONTH(A728)</f>
        <v>12</v>
      </c>
      <c r="G728" s="12" t="n">
        <v>14.1</v>
      </c>
      <c r="H728" s="12" t="n">
        <v>30.6</v>
      </c>
      <c r="I728" s="12" t="n">
        <v>61</v>
      </c>
      <c r="J728" s="12" t="n">
        <v>0.1</v>
      </c>
      <c r="K728" s="12" t="n">
        <v>0</v>
      </c>
      <c r="L728" s="12" t="s">
        <v>36</v>
      </c>
    </row>
    <row r="729" customFormat="false" ht="15" hidden="false" customHeight="false" outlineLevel="0" collapsed="false">
      <c r="A729" s="11" t="n">
        <v>44924</v>
      </c>
      <c r="B729" s="12" t="n">
        <v>26</v>
      </c>
      <c r="C729" s="12" t="n">
        <f aca="false">IF(NOT(ISNUMBER(B729)),"",ROUND((INDEX(BP!$D$5:$D$9,MATCH(B729,BP!$A$5:$A$9,1))-INDEX(BP!$C$5:$C$9,MATCH(B729,BP!$A$5:$A$9,1)))/(INDEX(BP!$B$5:$B$9,MATCH(B729,BP!$A$5:$A$9,1))-INDEX(BP!$A$5:$A$9,MATCH(B729,BP!$A$5:$A$9,1)))*(B729-INDEX(BP!$A$5:$A$9,MATCH(B729,BP!$A$5:$A$9,1)))+INDEX(BP!$C$5:$C$9,MATCH(B729,BP!$A$5:$A$9,1)),0))</f>
        <v>55</v>
      </c>
      <c r="D729" s="12" t="str">
        <f aca="false">IF(NOT(ISNUMBER(C729)),"",INDEX(BP!$F$5:$F$9,MATCH(C729,BP!$E$5:$E$9,1)))</f>
        <v>ปานกลาง</v>
      </c>
      <c r="E729" s="12" t="n">
        <f aca="false">YEAR(A729)</f>
        <v>2022</v>
      </c>
      <c r="F729" s="12" t="n">
        <f aca="false">MONTH(A729)</f>
        <v>12</v>
      </c>
      <c r="G729" s="12" t="n">
        <v>16.1</v>
      </c>
      <c r="H729" s="12" t="n">
        <v>34.9</v>
      </c>
      <c r="I729" s="12" t="n">
        <v>39</v>
      </c>
      <c r="J729" s="12" t="n">
        <v>0.1</v>
      </c>
      <c r="K729" s="12" t="n">
        <v>0</v>
      </c>
      <c r="L729" s="12" t="s">
        <v>36</v>
      </c>
    </row>
    <row r="730" customFormat="false" ht="15" hidden="false" customHeight="false" outlineLevel="0" collapsed="false">
      <c r="A730" s="11" t="n">
        <v>44925</v>
      </c>
      <c r="B730" s="12" t="n">
        <v>27</v>
      </c>
      <c r="C730" s="12" t="n">
        <f aca="false">IF(NOT(ISNUMBER(B730)),"",ROUND((INDEX(BP!$D$5:$D$9,MATCH(B730,BP!$A$5:$A$9,1))-INDEX(BP!$C$5:$C$9,MATCH(B730,BP!$A$5:$A$9,1)))/(INDEX(BP!$B$5:$B$9,MATCH(B730,BP!$A$5:$A$9,1))-INDEX(BP!$A$5:$A$9,MATCH(B730,BP!$A$5:$A$9,1)))*(B730-INDEX(BP!$A$5:$A$9,MATCH(B730,BP!$A$5:$A$9,1)))+INDEX(BP!$C$5:$C$9,MATCH(B730,BP!$A$5:$A$9,1)),0))</f>
        <v>59</v>
      </c>
      <c r="D730" s="12" t="str">
        <f aca="false">IF(NOT(ISNUMBER(C730)),"",INDEX(BP!$F$5:$F$9,MATCH(C730,BP!$E$5:$E$9,1)))</f>
        <v>ปานกลาง</v>
      </c>
      <c r="E730" s="12" t="n">
        <f aca="false">YEAR(A730)</f>
        <v>2022</v>
      </c>
      <c r="F730" s="12" t="n">
        <f aca="false">MONTH(A730)</f>
        <v>12</v>
      </c>
      <c r="G730" s="12" t="n">
        <v>14.6</v>
      </c>
      <c r="H730" s="12" t="n">
        <v>32</v>
      </c>
      <c r="I730" s="12" t="n">
        <v>36</v>
      </c>
      <c r="J730" s="12" t="n">
        <v>0</v>
      </c>
      <c r="K730" s="12" t="n">
        <v>0</v>
      </c>
      <c r="L730" s="12" t="s">
        <v>34</v>
      </c>
    </row>
    <row r="731" customFormat="false" ht="15" hidden="false" customHeight="false" outlineLevel="0" collapsed="false">
      <c r="A731" s="11" t="n">
        <v>44926</v>
      </c>
      <c r="B731" s="12" t="n">
        <v>24</v>
      </c>
      <c r="C731" s="12" t="n">
        <f aca="false">IF(NOT(ISNUMBER(B731)),"",ROUND((INDEX(BP!$D$5:$D$9,MATCH(B731,BP!$A$5:$A$9,1))-INDEX(BP!$C$5:$C$9,MATCH(B731,BP!$A$5:$A$9,1)))/(INDEX(BP!$B$5:$B$9,MATCH(B731,BP!$A$5:$A$9,1))-INDEX(BP!$A$5:$A$9,MATCH(B731,BP!$A$5:$A$9,1)))*(B731-INDEX(BP!$A$5:$A$9,MATCH(B731,BP!$A$5:$A$9,1)))+INDEX(BP!$C$5:$C$9,MATCH(B731,BP!$A$5:$A$9,1)),0))</f>
        <v>48</v>
      </c>
      <c r="D731" s="12" t="str">
        <f aca="false">IF(NOT(ISNUMBER(C731)),"",INDEX(BP!$F$5:$F$9,MATCH(C731,BP!$E$5:$E$9,1)))</f>
        <v>ดี</v>
      </c>
      <c r="E731" s="12" t="n">
        <f aca="false">YEAR(A731)</f>
        <v>2022</v>
      </c>
      <c r="F731" s="12" t="n">
        <f aca="false">MONTH(A731)</f>
        <v>12</v>
      </c>
      <c r="G731" s="12" t="n">
        <v>18.4</v>
      </c>
      <c r="H731" s="12" t="n">
        <v>38.5</v>
      </c>
      <c r="I731" s="12" t="n">
        <v>60</v>
      </c>
      <c r="J731" s="12" t="n">
        <v>0.6</v>
      </c>
      <c r="K731" s="12" t="n">
        <v>0</v>
      </c>
      <c r="L731" s="12" t="s">
        <v>34</v>
      </c>
    </row>
    <row r="732" customFormat="false" ht="15" hidden="false" customHeight="false" outlineLevel="0" collapsed="false">
      <c r="A732" s="11" t="n">
        <v>44927</v>
      </c>
      <c r="B732" s="12" t="n">
        <v>28</v>
      </c>
      <c r="C732" s="12" t="n">
        <f aca="false">IF(NOT(ISNUMBER(B732)),"",ROUND((INDEX(BP!$D$5:$D$9,MATCH(B732,BP!$A$5:$A$9,1))-INDEX(BP!$C$5:$C$9,MATCH(B732,BP!$A$5:$A$9,1)))/(INDEX(BP!$B$5:$B$9,MATCH(B732,BP!$A$5:$A$9,1))-INDEX(BP!$A$5:$A$9,MATCH(B732,BP!$A$5:$A$9,1)))*(B732-INDEX(BP!$A$5:$A$9,MATCH(B732,BP!$A$5:$A$9,1)))+INDEX(BP!$C$5:$C$9,MATCH(B732,BP!$A$5:$A$9,1)),0))</f>
        <v>62</v>
      </c>
      <c r="D732" s="12" t="str">
        <f aca="false">IF(NOT(ISNUMBER(C732)),"",INDEX(BP!$F$5:$F$9,MATCH(C732,BP!$E$5:$E$9,1)))</f>
        <v>ปานกลาง</v>
      </c>
      <c r="E732" s="12" t="n">
        <f aca="false">YEAR(A732)</f>
        <v>2023</v>
      </c>
      <c r="F732" s="12" t="n">
        <f aca="false">MONTH(A732)</f>
        <v>1</v>
      </c>
      <c r="G732" s="12" t="n">
        <v>21.3</v>
      </c>
      <c r="H732" s="12" t="n">
        <v>43.2</v>
      </c>
      <c r="I732" s="12" t="n">
        <v>53</v>
      </c>
      <c r="J732" s="12" t="n">
        <v>1.1</v>
      </c>
      <c r="K732" s="12" t="n">
        <v>0</v>
      </c>
      <c r="L732" s="12" t="s">
        <v>34</v>
      </c>
    </row>
    <row r="733" customFormat="false" ht="15" hidden="false" customHeight="false" outlineLevel="0" collapsed="false">
      <c r="A733" s="11" t="n">
        <v>44928</v>
      </c>
      <c r="B733" s="12" t="n">
        <v>21</v>
      </c>
      <c r="C733" s="12" t="n">
        <f aca="false">IF(NOT(ISNUMBER(B733)),"",ROUND((INDEX(BP!$D$5:$D$9,MATCH(B733,BP!$A$5:$A$9,1))-INDEX(BP!$C$5:$C$9,MATCH(B733,BP!$A$5:$A$9,1)))/(INDEX(BP!$B$5:$B$9,MATCH(B733,BP!$A$5:$A$9,1))-INDEX(BP!$A$5:$A$9,MATCH(B733,BP!$A$5:$A$9,1)))*(B733-INDEX(BP!$A$5:$A$9,MATCH(B733,BP!$A$5:$A$9,1)))+INDEX(BP!$C$5:$C$9,MATCH(B733,BP!$A$5:$A$9,1)),0))</f>
        <v>40</v>
      </c>
      <c r="D733" s="12" t="str">
        <f aca="false">IF(NOT(ISNUMBER(C733)),"",INDEX(BP!$F$5:$F$9,MATCH(C733,BP!$E$5:$E$9,1)))</f>
        <v>ดี</v>
      </c>
      <c r="E733" s="12" t="n">
        <f aca="false">YEAR(A733)</f>
        <v>2023</v>
      </c>
      <c r="F733" s="12" t="n">
        <f aca="false">MONTH(A733)</f>
        <v>1</v>
      </c>
      <c r="G733" s="12" t="n">
        <v>18.8</v>
      </c>
      <c r="H733" s="12" t="n">
        <v>39.6</v>
      </c>
      <c r="I733" s="12" t="n">
        <v>53</v>
      </c>
      <c r="J733" s="12" t="n">
        <v>1.3</v>
      </c>
      <c r="K733" s="12" t="n">
        <v>0</v>
      </c>
      <c r="L733" s="12" t="s">
        <v>34</v>
      </c>
    </row>
    <row r="734" customFormat="false" ht="15" hidden="false" customHeight="false" outlineLevel="0" collapsed="false">
      <c r="A734" s="11" t="n">
        <v>44929</v>
      </c>
      <c r="B734" s="12" t="n">
        <v>17</v>
      </c>
      <c r="C734" s="12" t="n">
        <f aca="false">IF(NOT(ISNUMBER(B734)),"",ROUND((INDEX(BP!$D$5:$D$9,MATCH(B734,BP!$A$5:$A$9,1))-INDEX(BP!$C$5:$C$9,MATCH(B734,BP!$A$5:$A$9,1)))/(INDEX(BP!$B$5:$B$9,MATCH(B734,BP!$A$5:$A$9,1))-INDEX(BP!$A$5:$A$9,MATCH(B734,BP!$A$5:$A$9,1)))*(B734-INDEX(BP!$A$5:$A$9,MATCH(B734,BP!$A$5:$A$9,1)))+INDEX(BP!$C$5:$C$9,MATCH(B734,BP!$A$5:$A$9,1)),0))</f>
        <v>31</v>
      </c>
      <c r="D734" s="12" t="str">
        <f aca="false">IF(NOT(ISNUMBER(C734)),"",INDEX(BP!$F$5:$F$9,MATCH(C734,BP!$E$5:$E$9,1)))</f>
        <v>ดี</v>
      </c>
      <c r="E734" s="12" t="n">
        <f aca="false">YEAR(A734)</f>
        <v>2023</v>
      </c>
      <c r="F734" s="12" t="n">
        <f aca="false">MONTH(A734)</f>
        <v>1</v>
      </c>
      <c r="G734" s="12" t="n">
        <v>17.9</v>
      </c>
      <c r="H734" s="12" t="n">
        <v>37.8</v>
      </c>
      <c r="I734" s="12" t="n">
        <v>75</v>
      </c>
      <c r="J734" s="12" t="n">
        <v>2.8</v>
      </c>
      <c r="K734" s="12" t="n">
        <v>1</v>
      </c>
      <c r="L734" s="12" t="s">
        <v>36</v>
      </c>
    </row>
    <row r="735" customFormat="false" ht="15" hidden="false" customHeight="false" outlineLevel="0" collapsed="false">
      <c r="A735" s="11" t="n">
        <v>44930</v>
      </c>
      <c r="B735" s="12" t="n">
        <v>14</v>
      </c>
      <c r="C735" s="12" t="n">
        <f aca="false">IF(NOT(ISNUMBER(B735)),"",ROUND((INDEX(BP!$D$5:$D$9,MATCH(B735,BP!$A$5:$A$9,1))-INDEX(BP!$C$5:$C$9,MATCH(B735,BP!$A$5:$A$9,1)))/(INDEX(BP!$B$5:$B$9,MATCH(B735,BP!$A$5:$A$9,1))-INDEX(BP!$A$5:$A$9,MATCH(B735,BP!$A$5:$A$9,1)))*(B735-INDEX(BP!$A$5:$A$9,MATCH(B735,BP!$A$5:$A$9,1)))+INDEX(BP!$C$5:$C$9,MATCH(B735,BP!$A$5:$A$9,1)),0))</f>
        <v>23</v>
      </c>
      <c r="D735" s="12" t="str">
        <f aca="false">IF(NOT(ISNUMBER(C735)),"",INDEX(BP!$F$5:$F$9,MATCH(C735,BP!$E$5:$E$9,1)))</f>
        <v>ดีมาก</v>
      </c>
      <c r="E735" s="12" t="n">
        <f aca="false">YEAR(A735)</f>
        <v>2023</v>
      </c>
      <c r="F735" s="12" t="n">
        <f aca="false">MONTH(A735)</f>
        <v>1</v>
      </c>
      <c r="G735" s="12" t="n">
        <v>17.1</v>
      </c>
      <c r="H735" s="12" t="n">
        <v>38.5</v>
      </c>
      <c r="I735" s="12" t="n">
        <v>44</v>
      </c>
      <c r="J735" s="12" t="n">
        <v>1.6</v>
      </c>
      <c r="K735" s="12" t="n">
        <v>3.8</v>
      </c>
      <c r="L735" s="12" t="s">
        <v>36</v>
      </c>
    </row>
    <row r="736" customFormat="false" ht="15" hidden="false" customHeight="false" outlineLevel="0" collapsed="false">
      <c r="A736" s="11" t="n">
        <v>44931</v>
      </c>
      <c r="B736" s="12" t="n">
        <v>20</v>
      </c>
      <c r="C736" s="12" t="n">
        <f aca="false">IF(NOT(ISNUMBER(B736)),"",ROUND((INDEX(BP!$D$5:$D$9,MATCH(B736,BP!$A$5:$A$9,1))-INDEX(BP!$C$5:$C$9,MATCH(B736,BP!$A$5:$A$9,1)))/(INDEX(BP!$B$5:$B$9,MATCH(B736,BP!$A$5:$A$9,1))-INDEX(BP!$A$5:$A$9,MATCH(B736,BP!$A$5:$A$9,1)))*(B736-INDEX(BP!$A$5:$A$9,MATCH(B736,BP!$A$5:$A$9,1)))+INDEX(BP!$C$5:$C$9,MATCH(B736,BP!$A$5:$A$9,1)),0))</f>
        <v>38</v>
      </c>
      <c r="D736" s="12" t="str">
        <f aca="false">IF(NOT(ISNUMBER(C736)),"",INDEX(BP!$F$5:$F$9,MATCH(C736,BP!$E$5:$E$9,1)))</f>
        <v>ดี</v>
      </c>
      <c r="E736" s="12" t="n">
        <f aca="false">YEAR(A736)</f>
        <v>2023</v>
      </c>
      <c r="F736" s="12" t="n">
        <f aca="false">MONTH(A736)</f>
        <v>1</v>
      </c>
      <c r="G736" s="12" t="n">
        <v>19.9</v>
      </c>
      <c r="H736" s="12" t="n">
        <v>41.4</v>
      </c>
      <c r="I736" s="12" t="n">
        <v>44</v>
      </c>
      <c r="J736" s="12" t="n">
        <v>3.8</v>
      </c>
      <c r="K736" s="12" t="n">
        <v>0</v>
      </c>
      <c r="L736" s="12" t="s">
        <v>36</v>
      </c>
    </row>
    <row r="737" customFormat="false" ht="15" hidden="false" customHeight="false" outlineLevel="0" collapsed="false">
      <c r="A737" s="11" t="n">
        <v>44932</v>
      </c>
      <c r="B737" s="12" t="n">
        <v>19</v>
      </c>
      <c r="C737" s="12" t="n">
        <f aca="false">IF(NOT(ISNUMBER(B737)),"",ROUND((INDEX(BP!$D$5:$D$9,MATCH(B737,BP!$A$5:$A$9,1))-INDEX(BP!$C$5:$C$9,MATCH(B737,BP!$A$5:$A$9,1)))/(INDEX(BP!$B$5:$B$9,MATCH(B737,BP!$A$5:$A$9,1))-INDEX(BP!$A$5:$A$9,MATCH(B737,BP!$A$5:$A$9,1)))*(B737-INDEX(BP!$A$5:$A$9,MATCH(B737,BP!$A$5:$A$9,1)))+INDEX(BP!$C$5:$C$9,MATCH(B737,BP!$A$5:$A$9,1)),0))</f>
        <v>35</v>
      </c>
      <c r="D737" s="12" t="str">
        <f aca="false">IF(NOT(ISNUMBER(C737)),"",INDEX(BP!$F$5:$F$9,MATCH(C737,BP!$E$5:$E$9,1)))</f>
        <v>ดี</v>
      </c>
      <c r="E737" s="12" t="n">
        <f aca="false">YEAR(A737)</f>
        <v>2023</v>
      </c>
      <c r="F737" s="12" t="n">
        <f aca="false">MONTH(A737)</f>
        <v>1</v>
      </c>
      <c r="G737" s="12" t="n">
        <v>23.9</v>
      </c>
      <c r="H737" s="12" t="n">
        <v>51.1</v>
      </c>
      <c r="I737" s="12" t="n">
        <v>52</v>
      </c>
      <c r="J737" s="12" t="n">
        <v>1.8</v>
      </c>
      <c r="K737" s="12" t="n">
        <v>7.6</v>
      </c>
      <c r="L737" s="12" t="s">
        <v>36</v>
      </c>
    </row>
    <row r="738" customFormat="false" ht="15" hidden="false" customHeight="false" outlineLevel="0" collapsed="false">
      <c r="A738" s="11" t="n">
        <v>44933</v>
      </c>
      <c r="B738" s="12" t="n">
        <v>10</v>
      </c>
      <c r="C738" s="12" t="n">
        <f aca="false">IF(NOT(ISNUMBER(B738)),"",ROUND((INDEX(BP!$D$5:$D$9,MATCH(B738,BP!$A$5:$A$9,1))-INDEX(BP!$C$5:$C$9,MATCH(B738,BP!$A$5:$A$9,1)))/(INDEX(BP!$B$5:$B$9,MATCH(B738,BP!$A$5:$A$9,1))-INDEX(BP!$A$5:$A$9,MATCH(B738,BP!$A$5:$A$9,1)))*(B738-INDEX(BP!$A$5:$A$9,MATCH(B738,BP!$A$5:$A$9,1)))+INDEX(BP!$C$5:$C$9,MATCH(B738,BP!$A$5:$A$9,1)),0))</f>
        <v>17</v>
      </c>
      <c r="D738" s="12" t="str">
        <f aca="false">IF(NOT(ISNUMBER(C738)),"",INDEX(BP!$F$5:$F$9,MATCH(C738,BP!$E$5:$E$9,1)))</f>
        <v>ดีมาก</v>
      </c>
      <c r="E738" s="12" t="n">
        <f aca="false">YEAR(A738)</f>
        <v>2023</v>
      </c>
      <c r="F738" s="12" t="n">
        <f aca="false">MONTH(A738)</f>
        <v>1</v>
      </c>
      <c r="G738" s="12" t="n">
        <v>15.9</v>
      </c>
      <c r="H738" s="12" t="n">
        <v>30.2</v>
      </c>
      <c r="I738" s="12" t="n">
        <v>17</v>
      </c>
      <c r="J738" s="12" t="n">
        <v>33.8</v>
      </c>
      <c r="K738" s="12" t="n">
        <v>58.2</v>
      </c>
      <c r="L738" s="12" t="s">
        <v>35</v>
      </c>
    </row>
    <row r="739" customFormat="false" ht="15" hidden="false" customHeight="false" outlineLevel="0" collapsed="false">
      <c r="A739" s="11" t="n">
        <v>44934</v>
      </c>
      <c r="B739" s="12" t="n">
        <v>10</v>
      </c>
      <c r="C739" s="12" t="n">
        <f aca="false">IF(NOT(ISNUMBER(B739)),"",ROUND((INDEX(BP!$D$5:$D$9,MATCH(B739,BP!$A$5:$A$9,1))-INDEX(BP!$C$5:$C$9,MATCH(B739,BP!$A$5:$A$9,1)))/(INDEX(BP!$B$5:$B$9,MATCH(B739,BP!$A$5:$A$9,1))-INDEX(BP!$A$5:$A$9,MATCH(B739,BP!$A$5:$A$9,1)))*(B739-INDEX(BP!$A$5:$A$9,MATCH(B739,BP!$A$5:$A$9,1)))+INDEX(BP!$C$5:$C$9,MATCH(B739,BP!$A$5:$A$9,1)),0))</f>
        <v>17</v>
      </c>
      <c r="D739" s="12" t="str">
        <f aca="false">IF(NOT(ISNUMBER(C739)),"",INDEX(BP!$F$5:$F$9,MATCH(C739,BP!$E$5:$E$9,1)))</f>
        <v>ดีมาก</v>
      </c>
      <c r="E739" s="12" t="n">
        <f aca="false">YEAR(A739)</f>
        <v>2023</v>
      </c>
      <c r="F739" s="12" t="n">
        <f aca="false">MONTH(A739)</f>
        <v>1</v>
      </c>
      <c r="G739" s="12" t="n">
        <v>14.1</v>
      </c>
      <c r="H739" s="12" t="n">
        <v>30.2</v>
      </c>
      <c r="I739" s="12" t="n">
        <v>12</v>
      </c>
      <c r="J739" s="12" t="n">
        <v>8.9</v>
      </c>
      <c r="K739" s="12" t="n">
        <v>36.4</v>
      </c>
      <c r="L739" s="12" t="s">
        <v>35</v>
      </c>
    </row>
    <row r="740" customFormat="false" ht="15" hidden="false" customHeight="false" outlineLevel="0" collapsed="false">
      <c r="A740" s="11" t="n">
        <v>44935</v>
      </c>
      <c r="B740" s="12" t="n">
        <v>12</v>
      </c>
      <c r="C740" s="12" t="n">
        <f aca="false">IF(NOT(ISNUMBER(B740)),"",ROUND((INDEX(BP!$D$5:$D$9,MATCH(B740,BP!$A$5:$A$9,1))-INDEX(BP!$C$5:$C$9,MATCH(B740,BP!$A$5:$A$9,1)))/(INDEX(BP!$B$5:$B$9,MATCH(B740,BP!$A$5:$A$9,1))-INDEX(BP!$A$5:$A$9,MATCH(B740,BP!$A$5:$A$9,1)))*(B740-INDEX(BP!$A$5:$A$9,MATCH(B740,BP!$A$5:$A$9,1)))+INDEX(BP!$C$5:$C$9,MATCH(B740,BP!$A$5:$A$9,1)),0))</f>
        <v>20</v>
      </c>
      <c r="D740" s="12" t="str">
        <f aca="false">IF(NOT(ISNUMBER(C740)),"",INDEX(BP!$F$5:$F$9,MATCH(C740,BP!$E$5:$E$9,1)))</f>
        <v>ดีมาก</v>
      </c>
      <c r="E740" s="12" t="n">
        <f aca="false">YEAR(A740)</f>
        <v>2023</v>
      </c>
      <c r="F740" s="12" t="n">
        <f aca="false">MONTH(A740)</f>
        <v>1</v>
      </c>
      <c r="G740" s="12" t="n">
        <v>12.7</v>
      </c>
      <c r="H740" s="12" t="n">
        <v>26.6</v>
      </c>
      <c r="I740" s="12" t="n">
        <v>32</v>
      </c>
      <c r="J740" s="12" t="n">
        <v>7.6</v>
      </c>
      <c r="K740" s="12" t="n">
        <v>0.2</v>
      </c>
      <c r="L740" s="12" t="s">
        <v>36</v>
      </c>
    </row>
    <row r="741" customFormat="false" ht="15" hidden="false" customHeight="false" outlineLevel="0" collapsed="false">
      <c r="A741" s="11" t="n">
        <v>44936</v>
      </c>
      <c r="B741" s="12" t="n">
        <v>13</v>
      </c>
      <c r="C741" s="12" t="n">
        <f aca="false">IF(NOT(ISNUMBER(B741)),"",ROUND((INDEX(BP!$D$5:$D$9,MATCH(B741,BP!$A$5:$A$9,1))-INDEX(BP!$C$5:$C$9,MATCH(B741,BP!$A$5:$A$9,1)))/(INDEX(BP!$B$5:$B$9,MATCH(B741,BP!$A$5:$A$9,1))-INDEX(BP!$A$5:$A$9,MATCH(B741,BP!$A$5:$A$9,1)))*(B741-INDEX(BP!$A$5:$A$9,MATCH(B741,BP!$A$5:$A$9,1)))+INDEX(BP!$C$5:$C$9,MATCH(B741,BP!$A$5:$A$9,1)),0))</f>
        <v>22</v>
      </c>
      <c r="D741" s="12" t="str">
        <f aca="false">IF(NOT(ISNUMBER(C741)),"",INDEX(BP!$F$5:$F$9,MATCH(C741,BP!$E$5:$E$9,1)))</f>
        <v>ดีมาก</v>
      </c>
      <c r="E741" s="12" t="n">
        <f aca="false">YEAR(A741)</f>
        <v>2023</v>
      </c>
      <c r="F741" s="12" t="n">
        <f aca="false">MONTH(A741)</f>
        <v>1</v>
      </c>
      <c r="G741" s="12" t="n">
        <v>11.6</v>
      </c>
      <c r="H741" s="12" t="n">
        <v>27</v>
      </c>
      <c r="I741" s="12" t="n">
        <v>43</v>
      </c>
      <c r="J741" s="12" t="n">
        <v>1.9</v>
      </c>
      <c r="K741" s="12" t="n">
        <v>8.8</v>
      </c>
      <c r="L741" s="12" t="s">
        <v>36</v>
      </c>
    </row>
    <row r="742" customFormat="false" ht="15" hidden="false" customHeight="false" outlineLevel="0" collapsed="false">
      <c r="A742" s="11" t="n">
        <v>44937</v>
      </c>
      <c r="B742" s="12" t="n">
        <v>15</v>
      </c>
      <c r="C742" s="12" t="n">
        <f aca="false">IF(NOT(ISNUMBER(B742)),"",ROUND((INDEX(BP!$D$5:$D$9,MATCH(B742,BP!$A$5:$A$9,1))-INDEX(BP!$C$5:$C$9,MATCH(B742,BP!$A$5:$A$9,1)))/(INDEX(BP!$B$5:$B$9,MATCH(B742,BP!$A$5:$A$9,1))-INDEX(BP!$A$5:$A$9,MATCH(B742,BP!$A$5:$A$9,1)))*(B742-INDEX(BP!$A$5:$A$9,MATCH(B742,BP!$A$5:$A$9,1)))+INDEX(BP!$C$5:$C$9,MATCH(B742,BP!$A$5:$A$9,1)),0))</f>
        <v>25</v>
      </c>
      <c r="D742" s="12" t="str">
        <f aca="false">IF(NOT(ISNUMBER(C742)),"",INDEX(BP!$F$5:$F$9,MATCH(C742,BP!$E$5:$E$9,1)))</f>
        <v>ดีมาก</v>
      </c>
      <c r="E742" s="12" t="n">
        <f aca="false">YEAR(A742)</f>
        <v>2023</v>
      </c>
      <c r="F742" s="12" t="n">
        <f aca="false">MONTH(A742)</f>
        <v>1</v>
      </c>
      <c r="G742" s="12" t="n">
        <v>12.5</v>
      </c>
      <c r="H742" s="12" t="n">
        <v>28.1</v>
      </c>
      <c r="I742" s="12" t="n">
        <v>91</v>
      </c>
      <c r="J742" s="12" t="n">
        <v>3.6</v>
      </c>
      <c r="K742" s="12" t="n">
        <v>0</v>
      </c>
      <c r="L742" s="12" t="s">
        <v>36</v>
      </c>
    </row>
    <row r="743" customFormat="false" ht="15" hidden="false" customHeight="false" outlineLevel="0" collapsed="false">
      <c r="A743" s="11" t="n">
        <v>44938</v>
      </c>
      <c r="B743" s="12" t="n">
        <v>15</v>
      </c>
      <c r="C743" s="12" t="n">
        <f aca="false">IF(NOT(ISNUMBER(B743)),"",ROUND((INDEX(BP!$D$5:$D$9,MATCH(B743,BP!$A$5:$A$9,1))-INDEX(BP!$C$5:$C$9,MATCH(B743,BP!$A$5:$A$9,1)))/(INDEX(BP!$B$5:$B$9,MATCH(B743,BP!$A$5:$A$9,1))-INDEX(BP!$A$5:$A$9,MATCH(B743,BP!$A$5:$A$9,1)))*(B743-INDEX(BP!$A$5:$A$9,MATCH(B743,BP!$A$5:$A$9,1)))+INDEX(BP!$C$5:$C$9,MATCH(B743,BP!$A$5:$A$9,1)),0))</f>
        <v>25</v>
      </c>
      <c r="D743" s="12" t="str">
        <f aca="false">IF(NOT(ISNUMBER(C743)),"",INDEX(BP!$F$5:$F$9,MATCH(C743,BP!$E$5:$E$9,1)))</f>
        <v>ดีมาก</v>
      </c>
      <c r="E743" s="12" t="n">
        <f aca="false">YEAR(A743)</f>
        <v>2023</v>
      </c>
      <c r="F743" s="12" t="n">
        <f aca="false">MONTH(A743)</f>
        <v>1</v>
      </c>
      <c r="G743" s="12" t="n">
        <v>11.2</v>
      </c>
      <c r="H743" s="12" t="n">
        <v>26.6</v>
      </c>
      <c r="I743" s="12" t="n">
        <v>72</v>
      </c>
      <c r="J743" s="12" t="n">
        <v>0.3</v>
      </c>
      <c r="K743" s="12" t="n">
        <v>0</v>
      </c>
      <c r="L743" s="12" t="s">
        <v>36</v>
      </c>
    </row>
    <row r="744" customFormat="false" ht="15" hidden="false" customHeight="false" outlineLevel="0" collapsed="false">
      <c r="A744" s="11" t="n">
        <v>44939</v>
      </c>
      <c r="B744" s="12" t="n">
        <v>12</v>
      </c>
      <c r="C744" s="12" t="n">
        <f aca="false">IF(NOT(ISNUMBER(B744)),"",ROUND((INDEX(BP!$D$5:$D$9,MATCH(B744,BP!$A$5:$A$9,1))-INDEX(BP!$C$5:$C$9,MATCH(B744,BP!$A$5:$A$9,1)))/(INDEX(BP!$B$5:$B$9,MATCH(B744,BP!$A$5:$A$9,1))-INDEX(BP!$A$5:$A$9,MATCH(B744,BP!$A$5:$A$9,1)))*(B744-INDEX(BP!$A$5:$A$9,MATCH(B744,BP!$A$5:$A$9,1)))+INDEX(BP!$C$5:$C$9,MATCH(B744,BP!$A$5:$A$9,1)),0))</f>
        <v>20</v>
      </c>
      <c r="D744" s="12" t="str">
        <f aca="false">IF(NOT(ISNUMBER(C744)),"",INDEX(BP!$F$5:$F$9,MATCH(C744,BP!$E$5:$E$9,1)))</f>
        <v>ดีมาก</v>
      </c>
      <c r="E744" s="12" t="n">
        <f aca="false">YEAR(A744)</f>
        <v>2023</v>
      </c>
      <c r="F744" s="12" t="n">
        <f aca="false">MONTH(A744)</f>
        <v>1</v>
      </c>
      <c r="G744" s="12" t="n">
        <v>11.5</v>
      </c>
      <c r="H744" s="12" t="n">
        <v>27</v>
      </c>
      <c r="I744" s="12" t="n">
        <v>100</v>
      </c>
      <c r="J744" s="12" t="n">
        <v>0.6</v>
      </c>
      <c r="K744" s="12" t="n">
        <v>0</v>
      </c>
      <c r="L744" s="12" t="s">
        <v>36</v>
      </c>
    </row>
    <row r="745" customFormat="false" ht="15" hidden="false" customHeight="false" outlineLevel="0" collapsed="false">
      <c r="A745" s="11" t="n">
        <v>44940</v>
      </c>
      <c r="B745" s="12" t="n">
        <v>18</v>
      </c>
      <c r="C745" s="12" t="n">
        <f aca="false">IF(NOT(ISNUMBER(B745)),"",ROUND((INDEX(BP!$D$5:$D$9,MATCH(B745,BP!$A$5:$A$9,1))-INDEX(BP!$C$5:$C$9,MATCH(B745,BP!$A$5:$A$9,1)))/(INDEX(BP!$B$5:$B$9,MATCH(B745,BP!$A$5:$A$9,1))-INDEX(BP!$A$5:$A$9,MATCH(B745,BP!$A$5:$A$9,1)))*(B745-INDEX(BP!$A$5:$A$9,MATCH(B745,BP!$A$5:$A$9,1)))+INDEX(BP!$C$5:$C$9,MATCH(B745,BP!$A$5:$A$9,1)),0))</f>
        <v>33</v>
      </c>
      <c r="D745" s="12" t="str">
        <f aca="false">IF(NOT(ISNUMBER(C745)),"",INDEX(BP!$F$5:$F$9,MATCH(C745,BP!$E$5:$E$9,1)))</f>
        <v>ดี</v>
      </c>
      <c r="E745" s="12" t="n">
        <f aca="false">YEAR(A745)</f>
        <v>2023</v>
      </c>
      <c r="F745" s="12" t="n">
        <f aca="false">MONTH(A745)</f>
        <v>1</v>
      </c>
      <c r="G745" s="12" t="n">
        <v>8.9</v>
      </c>
      <c r="H745" s="12" t="n">
        <v>23.4</v>
      </c>
      <c r="I745" s="12" t="n">
        <v>11</v>
      </c>
      <c r="J745" s="12" t="n">
        <v>1</v>
      </c>
      <c r="K745" s="12" t="n">
        <v>0</v>
      </c>
      <c r="L745" s="12" t="s">
        <v>35</v>
      </c>
    </row>
    <row r="746" customFormat="false" ht="15" hidden="false" customHeight="false" outlineLevel="0" collapsed="false">
      <c r="A746" s="11" t="n">
        <v>44941</v>
      </c>
      <c r="B746" s="12" t="n">
        <v>17</v>
      </c>
      <c r="C746" s="12" t="n">
        <f aca="false">IF(NOT(ISNUMBER(B746)),"",ROUND((INDEX(BP!$D$5:$D$9,MATCH(B746,BP!$A$5:$A$9,1))-INDEX(BP!$C$5:$C$9,MATCH(B746,BP!$A$5:$A$9,1)))/(INDEX(BP!$B$5:$B$9,MATCH(B746,BP!$A$5:$A$9,1))-INDEX(BP!$A$5:$A$9,MATCH(B746,BP!$A$5:$A$9,1)))*(B746-INDEX(BP!$A$5:$A$9,MATCH(B746,BP!$A$5:$A$9,1)))+INDEX(BP!$C$5:$C$9,MATCH(B746,BP!$A$5:$A$9,1)),0))</f>
        <v>31</v>
      </c>
      <c r="D746" s="12" t="str">
        <f aca="false">IF(NOT(ISNUMBER(C746)),"",INDEX(BP!$F$5:$F$9,MATCH(C746,BP!$E$5:$E$9,1)))</f>
        <v>ดี</v>
      </c>
      <c r="E746" s="12" t="n">
        <f aca="false">YEAR(A746)</f>
        <v>2023</v>
      </c>
      <c r="F746" s="12" t="n">
        <f aca="false">MONTH(A746)</f>
        <v>1</v>
      </c>
      <c r="G746" s="12" t="n">
        <v>12.3</v>
      </c>
      <c r="H746" s="12" t="n">
        <v>28.1</v>
      </c>
      <c r="I746" s="12" t="n">
        <v>337</v>
      </c>
      <c r="J746" s="12" t="n">
        <v>1.8</v>
      </c>
      <c r="K746" s="12" t="n">
        <v>0</v>
      </c>
      <c r="L746" s="12" t="s">
        <v>35</v>
      </c>
    </row>
    <row r="747" customFormat="false" ht="15" hidden="false" customHeight="false" outlineLevel="0" collapsed="false">
      <c r="A747" s="11" t="n">
        <v>44942</v>
      </c>
      <c r="B747" s="12" t="n">
        <v>16</v>
      </c>
      <c r="C747" s="12" t="n">
        <f aca="false">IF(NOT(ISNUMBER(B747)),"",ROUND((INDEX(BP!$D$5:$D$9,MATCH(B747,BP!$A$5:$A$9,1))-INDEX(BP!$C$5:$C$9,MATCH(B747,BP!$A$5:$A$9,1)))/(INDEX(BP!$B$5:$B$9,MATCH(B747,BP!$A$5:$A$9,1))-INDEX(BP!$A$5:$A$9,MATCH(B747,BP!$A$5:$A$9,1)))*(B747-INDEX(BP!$A$5:$A$9,MATCH(B747,BP!$A$5:$A$9,1)))+INDEX(BP!$C$5:$C$9,MATCH(B747,BP!$A$5:$A$9,1)),0))</f>
        <v>28</v>
      </c>
      <c r="D747" s="12" t="str">
        <f aca="false">IF(NOT(ISNUMBER(C747)),"",INDEX(BP!$F$5:$F$9,MATCH(C747,BP!$E$5:$E$9,1)))</f>
        <v>ดี</v>
      </c>
      <c r="E747" s="12" t="n">
        <f aca="false">YEAR(A747)</f>
        <v>2023</v>
      </c>
      <c r="F747" s="12" t="n">
        <f aca="false">MONTH(A747)</f>
        <v>1</v>
      </c>
      <c r="G747" s="12" t="n">
        <v>13.8</v>
      </c>
      <c r="H747" s="12" t="n">
        <v>31</v>
      </c>
      <c r="I747" s="12" t="n">
        <v>33</v>
      </c>
      <c r="J747" s="12" t="n">
        <v>1.1</v>
      </c>
      <c r="K747" s="12" t="n">
        <v>0</v>
      </c>
      <c r="L747" s="12" t="s">
        <v>36</v>
      </c>
    </row>
    <row r="748" customFormat="false" ht="15" hidden="false" customHeight="false" outlineLevel="0" collapsed="false">
      <c r="A748" s="11" t="n">
        <v>44943</v>
      </c>
      <c r="B748" s="12" t="n">
        <v>17</v>
      </c>
      <c r="C748" s="12" t="n">
        <f aca="false">IF(NOT(ISNUMBER(B748)),"",ROUND((INDEX(BP!$D$5:$D$9,MATCH(B748,BP!$A$5:$A$9,1))-INDEX(BP!$C$5:$C$9,MATCH(B748,BP!$A$5:$A$9,1)))/(INDEX(BP!$B$5:$B$9,MATCH(B748,BP!$A$5:$A$9,1))-INDEX(BP!$A$5:$A$9,MATCH(B748,BP!$A$5:$A$9,1)))*(B748-INDEX(BP!$A$5:$A$9,MATCH(B748,BP!$A$5:$A$9,1)))+INDEX(BP!$C$5:$C$9,MATCH(B748,BP!$A$5:$A$9,1)),0))</f>
        <v>31</v>
      </c>
      <c r="D748" s="12" t="str">
        <f aca="false">IF(NOT(ISNUMBER(C748)),"",INDEX(BP!$F$5:$F$9,MATCH(C748,BP!$E$5:$E$9,1)))</f>
        <v>ดี</v>
      </c>
      <c r="E748" s="12" t="n">
        <f aca="false">YEAR(A748)</f>
        <v>2023</v>
      </c>
      <c r="F748" s="12" t="n">
        <f aca="false">MONTH(A748)</f>
        <v>1</v>
      </c>
      <c r="G748" s="12" t="n">
        <v>16.9</v>
      </c>
      <c r="H748" s="12" t="n">
        <v>34.6</v>
      </c>
      <c r="I748" s="12" t="n">
        <v>70</v>
      </c>
      <c r="J748" s="12" t="n">
        <v>0.9</v>
      </c>
      <c r="K748" s="12" t="n">
        <v>0</v>
      </c>
      <c r="L748" s="12" t="s">
        <v>36</v>
      </c>
    </row>
    <row r="749" customFormat="false" ht="15" hidden="false" customHeight="false" outlineLevel="0" collapsed="false">
      <c r="A749" s="11" t="n">
        <v>44944</v>
      </c>
      <c r="B749" s="12"/>
      <c r="C749" s="12" t="str">
        <f aca="false">IF(NOT(ISNUMBER(B749)),"",ROUND((INDEX(BP!$D$5:$D$9,MATCH(B749,BP!$A$5:$A$9,1))-INDEX(BP!$C$5:$C$9,MATCH(B749,BP!$A$5:$A$9,1)))/(INDEX(BP!$B$5:$B$9,MATCH(B749,BP!$A$5:$A$9,1))-INDEX(BP!$A$5:$A$9,MATCH(B749,BP!$A$5:$A$9,1)))*(B749-INDEX(BP!$A$5:$A$9,MATCH(B749,BP!$A$5:$A$9,1)))+INDEX(BP!$C$5:$C$9,MATCH(B749,BP!$A$5:$A$9,1)),0))</f>
        <v/>
      </c>
      <c r="D749" s="12" t="str">
        <f aca="false">IF(NOT(ISNUMBER(C749)),"",INDEX(BP!$F$5:$F$9,MATCH(C749,BP!$E$5:$E$9,1)))</f>
        <v/>
      </c>
      <c r="E749" s="12" t="n">
        <f aca="false">YEAR(A749)</f>
        <v>2023</v>
      </c>
      <c r="F749" s="12" t="n">
        <f aca="false">MONTH(A749)</f>
        <v>1</v>
      </c>
      <c r="G749" s="12" t="n">
        <v>23.1</v>
      </c>
      <c r="H749" s="12" t="n">
        <v>47.9</v>
      </c>
      <c r="I749" s="12" t="n">
        <v>87</v>
      </c>
      <c r="J749" s="12" t="n">
        <v>4.2</v>
      </c>
      <c r="K749" s="12" t="n">
        <v>4</v>
      </c>
      <c r="L749" s="12" t="s">
        <v>36</v>
      </c>
    </row>
    <row r="750" customFormat="false" ht="15" hidden="false" customHeight="false" outlineLevel="0" collapsed="false">
      <c r="A750" s="11" t="n">
        <v>44945</v>
      </c>
      <c r="B750" s="12" t="n">
        <v>19</v>
      </c>
      <c r="C750" s="12" t="n">
        <f aca="false">IF(NOT(ISNUMBER(B750)),"",ROUND((INDEX(BP!$D$5:$D$9,MATCH(B750,BP!$A$5:$A$9,1))-INDEX(BP!$C$5:$C$9,MATCH(B750,BP!$A$5:$A$9,1)))/(INDEX(BP!$B$5:$B$9,MATCH(B750,BP!$A$5:$A$9,1))-INDEX(BP!$A$5:$A$9,MATCH(B750,BP!$A$5:$A$9,1)))*(B750-INDEX(BP!$A$5:$A$9,MATCH(B750,BP!$A$5:$A$9,1)))+INDEX(BP!$C$5:$C$9,MATCH(B750,BP!$A$5:$A$9,1)),0))</f>
        <v>35</v>
      </c>
      <c r="D750" s="12" t="str">
        <f aca="false">IF(NOT(ISNUMBER(C750)),"",INDEX(BP!$F$5:$F$9,MATCH(C750,BP!$E$5:$E$9,1)))</f>
        <v>ดี</v>
      </c>
      <c r="E750" s="12" t="n">
        <f aca="false">YEAR(A750)</f>
        <v>2023</v>
      </c>
      <c r="F750" s="12" t="n">
        <f aca="false">MONTH(A750)</f>
        <v>1</v>
      </c>
      <c r="G750" s="12" t="n">
        <v>22.4</v>
      </c>
      <c r="H750" s="12" t="n">
        <v>45.4</v>
      </c>
      <c r="I750" s="12" t="n">
        <v>69</v>
      </c>
      <c r="J750" s="12" t="n">
        <v>2.5</v>
      </c>
      <c r="K750" s="12" t="n">
        <v>29.8</v>
      </c>
      <c r="L750" s="12" t="s">
        <v>36</v>
      </c>
    </row>
    <row r="751" customFormat="false" ht="15" hidden="false" customHeight="false" outlineLevel="0" collapsed="false">
      <c r="A751" s="11" t="n">
        <v>44946</v>
      </c>
      <c r="B751" s="12" t="n">
        <v>20</v>
      </c>
      <c r="C751" s="12" t="n">
        <f aca="false">IF(NOT(ISNUMBER(B751)),"",ROUND((INDEX(BP!$D$5:$D$9,MATCH(B751,BP!$A$5:$A$9,1))-INDEX(BP!$C$5:$C$9,MATCH(B751,BP!$A$5:$A$9,1)))/(INDEX(BP!$B$5:$B$9,MATCH(B751,BP!$A$5:$A$9,1))-INDEX(BP!$A$5:$A$9,MATCH(B751,BP!$A$5:$A$9,1)))*(B751-INDEX(BP!$A$5:$A$9,MATCH(B751,BP!$A$5:$A$9,1)))+INDEX(BP!$C$5:$C$9,MATCH(B751,BP!$A$5:$A$9,1)),0))</f>
        <v>38</v>
      </c>
      <c r="D751" s="12" t="str">
        <f aca="false">IF(NOT(ISNUMBER(C751)),"",INDEX(BP!$F$5:$F$9,MATCH(C751,BP!$E$5:$E$9,1)))</f>
        <v>ดี</v>
      </c>
      <c r="E751" s="12" t="n">
        <f aca="false">YEAR(A751)</f>
        <v>2023</v>
      </c>
      <c r="F751" s="12" t="n">
        <f aca="false">MONTH(A751)</f>
        <v>1</v>
      </c>
      <c r="G751" s="12" t="n">
        <v>18.8</v>
      </c>
      <c r="H751" s="12" t="n">
        <v>42.1</v>
      </c>
      <c r="I751" s="12" t="n">
        <v>80</v>
      </c>
      <c r="J751" s="12" t="n">
        <v>16.5</v>
      </c>
      <c r="K751" s="12" t="n">
        <v>20.4</v>
      </c>
      <c r="L751" s="12" t="s">
        <v>36</v>
      </c>
    </row>
    <row r="752" customFormat="false" ht="15" hidden="false" customHeight="false" outlineLevel="0" collapsed="false">
      <c r="A752" s="11" t="n">
        <v>44947</v>
      </c>
      <c r="B752" s="12" t="n">
        <v>22</v>
      </c>
      <c r="C752" s="12" t="n">
        <f aca="false">IF(NOT(ISNUMBER(B752)),"",ROUND((INDEX(BP!$D$5:$D$9,MATCH(B752,BP!$A$5:$A$9,1))-INDEX(BP!$C$5:$C$9,MATCH(B752,BP!$A$5:$A$9,1)))/(INDEX(BP!$B$5:$B$9,MATCH(B752,BP!$A$5:$A$9,1))-INDEX(BP!$A$5:$A$9,MATCH(B752,BP!$A$5:$A$9,1)))*(B752-INDEX(BP!$A$5:$A$9,MATCH(B752,BP!$A$5:$A$9,1)))+INDEX(BP!$C$5:$C$9,MATCH(B752,BP!$A$5:$A$9,1)),0))</f>
        <v>43</v>
      </c>
      <c r="D752" s="12" t="str">
        <f aca="false">IF(NOT(ISNUMBER(C752)),"",INDEX(BP!$F$5:$F$9,MATCH(C752,BP!$E$5:$E$9,1)))</f>
        <v>ดี</v>
      </c>
      <c r="E752" s="12" t="n">
        <f aca="false">YEAR(A752)</f>
        <v>2023</v>
      </c>
      <c r="F752" s="12" t="n">
        <f aca="false">MONTH(A752)</f>
        <v>1</v>
      </c>
      <c r="G752" s="12" t="n">
        <v>18.7</v>
      </c>
      <c r="H752" s="12" t="n">
        <v>41.4</v>
      </c>
      <c r="I752" s="12" t="n">
        <v>72</v>
      </c>
      <c r="J752" s="12" t="n">
        <v>16.3</v>
      </c>
      <c r="K752" s="12" t="n">
        <v>23.6</v>
      </c>
      <c r="L752" s="12" t="s">
        <v>35</v>
      </c>
    </row>
    <row r="753" customFormat="false" ht="15" hidden="false" customHeight="false" outlineLevel="0" collapsed="false">
      <c r="A753" s="11" t="n">
        <v>44948</v>
      </c>
      <c r="B753" s="12" t="n">
        <v>13</v>
      </c>
      <c r="C753" s="12" t="n">
        <f aca="false">IF(NOT(ISNUMBER(B753)),"",ROUND((INDEX(BP!$D$5:$D$9,MATCH(B753,BP!$A$5:$A$9,1))-INDEX(BP!$C$5:$C$9,MATCH(B753,BP!$A$5:$A$9,1)))/(INDEX(BP!$B$5:$B$9,MATCH(B753,BP!$A$5:$A$9,1))-INDEX(BP!$A$5:$A$9,MATCH(B753,BP!$A$5:$A$9,1)))*(B753-INDEX(BP!$A$5:$A$9,MATCH(B753,BP!$A$5:$A$9,1)))+INDEX(BP!$C$5:$C$9,MATCH(B753,BP!$A$5:$A$9,1)),0))</f>
        <v>22</v>
      </c>
      <c r="D753" s="12" t="str">
        <f aca="false">IF(NOT(ISNUMBER(C753)),"",INDEX(BP!$F$5:$F$9,MATCH(C753,BP!$E$5:$E$9,1)))</f>
        <v>ดีมาก</v>
      </c>
      <c r="E753" s="12" t="n">
        <f aca="false">YEAR(A753)</f>
        <v>2023</v>
      </c>
      <c r="F753" s="12" t="n">
        <f aca="false">MONTH(A753)</f>
        <v>1</v>
      </c>
      <c r="G753" s="12" t="n">
        <v>16.7</v>
      </c>
      <c r="H753" s="12" t="n">
        <v>41.4</v>
      </c>
      <c r="I753" s="12" t="n">
        <v>81</v>
      </c>
      <c r="J753" s="12" t="n">
        <v>14.3</v>
      </c>
      <c r="K753" s="12" t="n">
        <v>0.6</v>
      </c>
      <c r="L753" s="12" t="s">
        <v>35</v>
      </c>
    </row>
    <row r="754" customFormat="false" ht="15" hidden="false" customHeight="false" outlineLevel="0" collapsed="false">
      <c r="A754" s="11" t="n">
        <v>44949</v>
      </c>
      <c r="B754" s="12" t="n">
        <v>11</v>
      </c>
      <c r="C754" s="12" t="n">
        <f aca="false">IF(NOT(ISNUMBER(B754)),"",ROUND((INDEX(BP!$D$5:$D$9,MATCH(B754,BP!$A$5:$A$9,1))-INDEX(BP!$C$5:$C$9,MATCH(B754,BP!$A$5:$A$9,1)))/(INDEX(BP!$B$5:$B$9,MATCH(B754,BP!$A$5:$A$9,1))-INDEX(BP!$A$5:$A$9,MATCH(B754,BP!$A$5:$A$9,1)))*(B754-INDEX(BP!$A$5:$A$9,MATCH(B754,BP!$A$5:$A$9,1)))+INDEX(BP!$C$5:$C$9,MATCH(B754,BP!$A$5:$A$9,1)),0))</f>
        <v>18</v>
      </c>
      <c r="D754" s="12" t="str">
        <f aca="false">IF(NOT(ISNUMBER(C754)),"",INDEX(BP!$F$5:$F$9,MATCH(C754,BP!$E$5:$E$9,1)))</f>
        <v>ดีมาก</v>
      </c>
      <c r="E754" s="12" t="n">
        <f aca="false">YEAR(A754)</f>
        <v>2023</v>
      </c>
      <c r="F754" s="12" t="n">
        <f aca="false">MONTH(A754)</f>
        <v>1</v>
      </c>
      <c r="G754" s="12" t="n">
        <v>22.3</v>
      </c>
      <c r="H754" s="12" t="n">
        <v>47.2</v>
      </c>
      <c r="I754" s="12" t="n">
        <v>82</v>
      </c>
      <c r="J754" s="12" t="n">
        <v>2.4</v>
      </c>
      <c r="K754" s="12" t="n">
        <v>2.6</v>
      </c>
      <c r="L754" s="12" t="s">
        <v>36</v>
      </c>
    </row>
    <row r="755" customFormat="false" ht="15" hidden="false" customHeight="false" outlineLevel="0" collapsed="false">
      <c r="A755" s="11" t="n">
        <v>44950</v>
      </c>
      <c r="B755" s="12" t="n">
        <v>12</v>
      </c>
      <c r="C755" s="12" t="n">
        <f aca="false">IF(NOT(ISNUMBER(B755)),"",ROUND((INDEX(BP!$D$5:$D$9,MATCH(B755,BP!$A$5:$A$9,1))-INDEX(BP!$C$5:$C$9,MATCH(B755,BP!$A$5:$A$9,1)))/(INDEX(BP!$B$5:$B$9,MATCH(B755,BP!$A$5:$A$9,1))-INDEX(BP!$A$5:$A$9,MATCH(B755,BP!$A$5:$A$9,1)))*(B755-INDEX(BP!$A$5:$A$9,MATCH(B755,BP!$A$5:$A$9,1)))+INDEX(BP!$C$5:$C$9,MATCH(B755,BP!$A$5:$A$9,1)),0))</f>
        <v>20</v>
      </c>
      <c r="D755" s="12" t="str">
        <f aca="false">IF(NOT(ISNUMBER(C755)),"",INDEX(BP!$F$5:$F$9,MATCH(C755,BP!$E$5:$E$9,1)))</f>
        <v>ดีมาก</v>
      </c>
      <c r="E755" s="12" t="n">
        <f aca="false">YEAR(A755)</f>
        <v>2023</v>
      </c>
      <c r="F755" s="12" t="n">
        <f aca="false">MONTH(A755)</f>
        <v>1</v>
      </c>
      <c r="G755" s="12" t="n">
        <v>25.8</v>
      </c>
      <c r="H755" s="12" t="n">
        <v>51.1</v>
      </c>
      <c r="I755" s="12" t="n">
        <v>88</v>
      </c>
      <c r="J755" s="12" t="n">
        <v>7.8</v>
      </c>
      <c r="K755" s="12" t="n">
        <v>2.2</v>
      </c>
      <c r="L755" s="12" t="s">
        <v>36</v>
      </c>
    </row>
    <row r="756" customFormat="false" ht="15" hidden="false" customHeight="false" outlineLevel="0" collapsed="false">
      <c r="A756" s="11" t="n">
        <v>44951</v>
      </c>
      <c r="B756" s="12" t="n">
        <v>14</v>
      </c>
      <c r="C756" s="12" t="n">
        <f aca="false">IF(NOT(ISNUMBER(B756)),"",ROUND((INDEX(BP!$D$5:$D$9,MATCH(B756,BP!$A$5:$A$9,1))-INDEX(BP!$C$5:$C$9,MATCH(B756,BP!$A$5:$A$9,1)))/(INDEX(BP!$B$5:$B$9,MATCH(B756,BP!$A$5:$A$9,1))-INDEX(BP!$A$5:$A$9,MATCH(B756,BP!$A$5:$A$9,1)))*(B756-INDEX(BP!$A$5:$A$9,MATCH(B756,BP!$A$5:$A$9,1)))+INDEX(BP!$C$5:$C$9,MATCH(B756,BP!$A$5:$A$9,1)),0))</f>
        <v>23</v>
      </c>
      <c r="D756" s="12" t="str">
        <f aca="false">IF(NOT(ISNUMBER(C756)),"",INDEX(BP!$F$5:$F$9,MATCH(C756,BP!$E$5:$E$9,1)))</f>
        <v>ดีมาก</v>
      </c>
      <c r="E756" s="12" t="n">
        <f aca="false">YEAR(A756)</f>
        <v>2023</v>
      </c>
      <c r="F756" s="12" t="n">
        <f aca="false">MONTH(A756)</f>
        <v>1</v>
      </c>
      <c r="G756" s="12" t="n">
        <v>29.6</v>
      </c>
      <c r="H756" s="12" t="n">
        <v>58</v>
      </c>
      <c r="I756" s="12" t="n">
        <v>108</v>
      </c>
      <c r="J756" s="12" t="n">
        <v>3.5</v>
      </c>
      <c r="K756" s="12" t="n">
        <v>0.6</v>
      </c>
      <c r="L756" s="12" t="s">
        <v>36</v>
      </c>
    </row>
    <row r="757" customFormat="false" ht="15" hidden="false" customHeight="false" outlineLevel="0" collapsed="false">
      <c r="A757" s="11" t="n">
        <v>44952</v>
      </c>
      <c r="B757" s="12" t="n">
        <v>18</v>
      </c>
      <c r="C757" s="12" t="n">
        <f aca="false">IF(NOT(ISNUMBER(B757)),"",ROUND((INDEX(BP!$D$5:$D$9,MATCH(B757,BP!$A$5:$A$9,1))-INDEX(BP!$C$5:$C$9,MATCH(B757,BP!$A$5:$A$9,1)))/(INDEX(BP!$B$5:$B$9,MATCH(B757,BP!$A$5:$A$9,1))-INDEX(BP!$A$5:$A$9,MATCH(B757,BP!$A$5:$A$9,1)))*(B757-INDEX(BP!$A$5:$A$9,MATCH(B757,BP!$A$5:$A$9,1)))+INDEX(BP!$C$5:$C$9,MATCH(B757,BP!$A$5:$A$9,1)),0))</f>
        <v>33</v>
      </c>
      <c r="D757" s="12" t="str">
        <f aca="false">IF(NOT(ISNUMBER(C757)),"",INDEX(BP!$F$5:$F$9,MATCH(C757,BP!$E$5:$E$9,1)))</f>
        <v>ดี</v>
      </c>
      <c r="E757" s="12" t="n">
        <f aca="false">YEAR(A757)</f>
        <v>2023</v>
      </c>
      <c r="F757" s="12" t="n">
        <f aca="false">MONTH(A757)</f>
        <v>1</v>
      </c>
      <c r="G757" s="12" t="n">
        <v>20.9</v>
      </c>
      <c r="H757" s="12" t="n">
        <v>41.8</v>
      </c>
      <c r="I757" s="12" t="n">
        <v>85</v>
      </c>
      <c r="J757" s="12" t="n">
        <v>1.1</v>
      </c>
      <c r="K757" s="12" t="n">
        <v>0</v>
      </c>
      <c r="L757" s="12" t="s">
        <v>36</v>
      </c>
    </row>
    <row r="758" customFormat="false" ht="15" hidden="false" customHeight="false" outlineLevel="0" collapsed="false">
      <c r="A758" s="11" t="n">
        <v>44953</v>
      </c>
      <c r="B758" s="12" t="n">
        <v>21</v>
      </c>
      <c r="C758" s="12" t="n">
        <f aca="false">IF(NOT(ISNUMBER(B758)),"",ROUND((INDEX(BP!$D$5:$D$9,MATCH(B758,BP!$A$5:$A$9,1))-INDEX(BP!$C$5:$C$9,MATCH(B758,BP!$A$5:$A$9,1)))/(INDEX(BP!$B$5:$B$9,MATCH(B758,BP!$A$5:$A$9,1))-INDEX(BP!$A$5:$A$9,MATCH(B758,BP!$A$5:$A$9,1)))*(B758-INDEX(BP!$A$5:$A$9,MATCH(B758,BP!$A$5:$A$9,1)))+INDEX(BP!$C$5:$C$9,MATCH(B758,BP!$A$5:$A$9,1)),0))</f>
        <v>40</v>
      </c>
      <c r="D758" s="12" t="str">
        <f aca="false">IF(NOT(ISNUMBER(C758)),"",INDEX(BP!$F$5:$F$9,MATCH(C758,BP!$E$5:$E$9,1)))</f>
        <v>ดี</v>
      </c>
      <c r="E758" s="12" t="n">
        <f aca="false">YEAR(A758)</f>
        <v>2023</v>
      </c>
      <c r="F758" s="12" t="n">
        <f aca="false">MONTH(A758)</f>
        <v>1</v>
      </c>
      <c r="G758" s="12" t="n">
        <v>16.5</v>
      </c>
      <c r="H758" s="12" t="n">
        <v>35.6</v>
      </c>
      <c r="I758" s="12" t="n">
        <v>90</v>
      </c>
      <c r="J758" s="12" t="n">
        <v>2.7</v>
      </c>
      <c r="K758" s="12" t="n">
        <v>0</v>
      </c>
      <c r="L758" s="12" t="s">
        <v>36</v>
      </c>
    </row>
    <row r="759" customFormat="false" ht="15" hidden="false" customHeight="false" outlineLevel="0" collapsed="false">
      <c r="A759" s="11" t="n">
        <v>44954</v>
      </c>
      <c r="B759" s="12" t="n">
        <v>18</v>
      </c>
      <c r="C759" s="12" t="n">
        <f aca="false">IF(NOT(ISNUMBER(B759)),"",ROUND((INDEX(BP!$D$5:$D$9,MATCH(B759,BP!$A$5:$A$9,1))-INDEX(BP!$C$5:$C$9,MATCH(B759,BP!$A$5:$A$9,1)))/(INDEX(BP!$B$5:$B$9,MATCH(B759,BP!$A$5:$A$9,1))-INDEX(BP!$A$5:$A$9,MATCH(B759,BP!$A$5:$A$9,1)))*(B759-INDEX(BP!$A$5:$A$9,MATCH(B759,BP!$A$5:$A$9,1)))+INDEX(BP!$C$5:$C$9,MATCH(B759,BP!$A$5:$A$9,1)),0))</f>
        <v>33</v>
      </c>
      <c r="D759" s="12" t="str">
        <f aca="false">IF(NOT(ISNUMBER(C759)),"",INDEX(BP!$F$5:$F$9,MATCH(C759,BP!$E$5:$E$9,1)))</f>
        <v>ดี</v>
      </c>
      <c r="E759" s="12" t="n">
        <f aca="false">YEAR(A759)</f>
        <v>2023</v>
      </c>
      <c r="F759" s="12" t="n">
        <f aca="false">MONTH(A759)</f>
        <v>1</v>
      </c>
      <c r="G759" s="12" t="n">
        <v>21.7</v>
      </c>
      <c r="H759" s="12" t="n">
        <v>38.5</v>
      </c>
      <c r="I759" s="12" t="n">
        <v>83</v>
      </c>
      <c r="J759" s="12" t="n">
        <v>14.1</v>
      </c>
      <c r="K759" s="12" t="n">
        <v>4</v>
      </c>
      <c r="L759" s="12" t="s">
        <v>35</v>
      </c>
    </row>
    <row r="760" customFormat="false" ht="15" hidden="false" customHeight="false" outlineLevel="0" collapsed="false">
      <c r="A760" s="11" t="n">
        <v>44955</v>
      </c>
      <c r="B760" s="12" t="n">
        <v>13</v>
      </c>
      <c r="C760" s="12" t="n">
        <f aca="false">IF(NOT(ISNUMBER(B760)),"",ROUND((INDEX(BP!$D$5:$D$9,MATCH(B760,BP!$A$5:$A$9,1))-INDEX(BP!$C$5:$C$9,MATCH(B760,BP!$A$5:$A$9,1)))/(INDEX(BP!$B$5:$B$9,MATCH(B760,BP!$A$5:$A$9,1))-INDEX(BP!$A$5:$A$9,MATCH(B760,BP!$A$5:$A$9,1)))*(B760-INDEX(BP!$A$5:$A$9,MATCH(B760,BP!$A$5:$A$9,1)))+INDEX(BP!$C$5:$C$9,MATCH(B760,BP!$A$5:$A$9,1)),0))</f>
        <v>22</v>
      </c>
      <c r="D760" s="12" t="str">
        <f aca="false">IF(NOT(ISNUMBER(C760)),"",INDEX(BP!$F$5:$F$9,MATCH(C760,BP!$E$5:$E$9,1)))</f>
        <v>ดีมาก</v>
      </c>
      <c r="E760" s="12" t="n">
        <f aca="false">YEAR(A760)</f>
        <v>2023</v>
      </c>
      <c r="F760" s="12" t="n">
        <f aca="false">MONTH(A760)</f>
        <v>1</v>
      </c>
      <c r="G760" s="12" t="n">
        <v>25</v>
      </c>
      <c r="H760" s="12" t="n">
        <v>52.9</v>
      </c>
      <c r="I760" s="12" t="n">
        <v>96</v>
      </c>
      <c r="J760" s="12" t="n">
        <v>12.1</v>
      </c>
      <c r="K760" s="12" t="n">
        <v>2</v>
      </c>
      <c r="L760" s="12" t="s">
        <v>35</v>
      </c>
    </row>
    <row r="761" customFormat="false" ht="15" hidden="false" customHeight="false" outlineLevel="0" collapsed="false">
      <c r="A761" s="11" t="n">
        <v>44956</v>
      </c>
      <c r="B761" s="12" t="n">
        <v>21</v>
      </c>
      <c r="C761" s="12" t="n">
        <f aca="false">IF(NOT(ISNUMBER(B761)),"",ROUND((INDEX(BP!$D$5:$D$9,MATCH(B761,BP!$A$5:$A$9,1))-INDEX(BP!$C$5:$C$9,MATCH(B761,BP!$A$5:$A$9,1)))/(INDEX(BP!$B$5:$B$9,MATCH(B761,BP!$A$5:$A$9,1))-INDEX(BP!$A$5:$A$9,MATCH(B761,BP!$A$5:$A$9,1)))*(B761-INDEX(BP!$A$5:$A$9,MATCH(B761,BP!$A$5:$A$9,1)))+INDEX(BP!$C$5:$C$9,MATCH(B761,BP!$A$5:$A$9,1)),0))</f>
        <v>40</v>
      </c>
      <c r="D761" s="12" t="str">
        <f aca="false">IF(NOT(ISNUMBER(C761)),"",INDEX(BP!$F$5:$F$9,MATCH(C761,BP!$E$5:$E$9,1)))</f>
        <v>ดี</v>
      </c>
      <c r="E761" s="12" t="n">
        <f aca="false">YEAR(A761)</f>
        <v>2023</v>
      </c>
      <c r="F761" s="12" t="n">
        <f aca="false">MONTH(A761)</f>
        <v>1</v>
      </c>
      <c r="G761" s="12" t="n">
        <v>27.2</v>
      </c>
      <c r="H761" s="12" t="n">
        <v>55.1</v>
      </c>
      <c r="I761" s="12" t="n">
        <v>80</v>
      </c>
      <c r="J761" s="12" t="n">
        <v>5.3</v>
      </c>
      <c r="K761" s="12" t="n">
        <v>2.4</v>
      </c>
      <c r="L761" s="12" t="s">
        <v>36</v>
      </c>
    </row>
    <row r="762" customFormat="false" ht="15" hidden="false" customHeight="false" outlineLevel="0" collapsed="false">
      <c r="A762" s="11" t="n">
        <v>44957</v>
      </c>
      <c r="B762" s="12" t="n">
        <v>16</v>
      </c>
      <c r="C762" s="12" t="n">
        <f aca="false">IF(NOT(ISNUMBER(B762)),"",ROUND((INDEX(BP!$D$5:$D$9,MATCH(B762,BP!$A$5:$A$9,1))-INDEX(BP!$C$5:$C$9,MATCH(B762,BP!$A$5:$A$9,1)))/(INDEX(BP!$B$5:$B$9,MATCH(B762,BP!$A$5:$A$9,1))-INDEX(BP!$A$5:$A$9,MATCH(B762,BP!$A$5:$A$9,1)))*(B762-INDEX(BP!$A$5:$A$9,MATCH(B762,BP!$A$5:$A$9,1)))+INDEX(BP!$C$5:$C$9,MATCH(B762,BP!$A$5:$A$9,1)),0))</f>
        <v>28</v>
      </c>
      <c r="D762" s="12" t="str">
        <f aca="false">IF(NOT(ISNUMBER(C762)),"",INDEX(BP!$F$5:$F$9,MATCH(C762,BP!$E$5:$E$9,1)))</f>
        <v>ดี</v>
      </c>
      <c r="E762" s="12" t="n">
        <f aca="false">YEAR(A762)</f>
        <v>2023</v>
      </c>
      <c r="F762" s="12" t="n">
        <f aca="false">MONTH(A762)</f>
        <v>1</v>
      </c>
      <c r="G762" s="12" t="n">
        <v>23.1</v>
      </c>
      <c r="H762" s="12" t="n">
        <v>45.7</v>
      </c>
      <c r="I762" s="12" t="n">
        <v>94</v>
      </c>
      <c r="J762" s="12" t="n">
        <v>2.5</v>
      </c>
      <c r="K762" s="12" t="n">
        <v>0</v>
      </c>
      <c r="L762" s="12" t="s">
        <v>36</v>
      </c>
    </row>
    <row r="763" customFormat="false" ht="15" hidden="false" customHeight="false" outlineLevel="0" collapsed="false">
      <c r="A763" s="11" t="n">
        <v>44958</v>
      </c>
      <c r="B763" s="12" t="n">
        <v>22</v>
      </c>
      <c r="C763" s="12" t="n">
        <f aca="false">IF(NOT(ISNUMBER(B763)),"",ROUND((INDEX(BP!$D$5:$D$9,MATCH(B763,BP!$A$5:$A$9,1))-INDEX(BP!$C$5:$C$9,MATCH(B763,BP!$A$5:$A$9,1)))/(INDEX(BP!$B$5:$B$9,MATCH(B763,BP!$A$5:$A$9,1))-INDEX(BP!$A$5:$A$9,MATCH(B763,BP!$A$5:$A$9,1)))*(B763-INDEX(BP!$A$5:$A$9,MATCH(B763,BP!$A$5:$A$9,1)))+INDEX(BP!$C$5:$C$9,MATCH(B763,BP!$A$5:$A$9,1)),0))</f>
        <v>43</v>
      </c>
      <c r="D763" s="12" t="str">
        <f aca="false">IF(NOT(ISNUMBER(C763)),"",INDEX(BP!$F$5:$F$9,MATCH(C763,BP!$E$5:$E$9,1)))</f>
        <v>ดี</v>
      </c>
      <c r="E763" s="12" t="n">
        <f aca="false">YEAR(A763)</f>
        <v>2023</v>
      </c>
      <c r="F763" s="12" t="n">
        <f aca="false">MONTH(A763)</f>
        <v>2</v>
      </c>
      <c r="G763" s="12" t="n">
        <v>16.1</v>
      </c>
      <c r="H763" s="12" t="n">
        <v>34.2</v>
      </c>
      <c r="I763" s="12" t="n">
        <v>90</v>
      </c>
      <c r="J763" s="12" t="n">
        <v>0</v>
      </c>
      <c r="K763" s="12" t="n">
        <v>0</v>
      </c>
      <c r="L763" s="12" t="s">
        <v>36</v>
      </c>
    </row>
    <row r="764" customFormat="false" ht="15" hidden="false" customHeight="false" outlineLevel="0" collapsed="false">
      <c r="A764" s="11" t="n">
        <v>44959</v>
      </c>
      <c r="B764" s="12" t="n">
        <v>20</v>
      </c>
      <c r="C764" s="12" t="n">
        <f aca="false">IF(NOT(ISNUMBER(B764)),"",ROUND((INDEX(BP!$D$5:$D$9,MATCH(B764,BP!$A$5:$A$9,1))-INDEX(BP!$C$5:$C$9,MATCH(B764,BP!$A$5:$A$9,1)))/(INDEX(BP!$B$5:$B$9,MATCH(B764,BP!$A$5:$A$9,1))-INDEX(BP!$A$5:$A$9,MATCH(B764,BP!$A$5:$A$9,1)))*(B764-INDEX(BP!$A$5:$A$9,MATCH(B764,BP!$A$5:$A$9,1)))+INDEX(BP!$C$5:$C$9,MATCH(B764,BP!$A$5:$A$9,1)),0))</f>
        <v>38</v>
      </c>
      <c r="D764" s="12" t="str">
        <f aca="false">IF(NOT(ISNUMBER(C764)),"",INDEX(BP!$F$5:$F$9,MATCH(C764,BP!$E$5:$E$9,1)))</f>
        <v>ดี</v>
      </c>
      <c r="E764" s="12" t="n">
        <f aca="false">YEAR(A764)</f>
        <v>2023</v>
      </c>
      <c r="F764" s="12" t="n">
        <f aca="false">MONTH(A764)</f>
        <v>2</v>
      </c>
      <c r="G764" s="12" t="n">
        <v>15.5</v>
      </c>
      <c r="H764" s="12" t="n">
        <v>30.6</v>
      </c>
      <c r="I764" s="12" t="n">
        <v>92</v>
      </c>
      <c r="J764" s="12" t="n">
        <v>0.5</v>
      </c>
      <c r="K764" s="12" t="n">
        <v>7.6</v>
      </c>
      <c r="L764" s="12" t="s">
        <v>36</v>
      </c>
    </row>
    <row r="765" customFormat="false" ht="15" hidden="false" customHeight="false" outlineLevel="0" collapsed="false">
      <c r="A765" s="11" t="n">
        <v>44960</v>
      </c>
      <c r="B765" s="12" t="n">
        <v>8</v>
      </c>
      <c r="C765" s="12" t="n">
        <f aca="false">IF(NOT(ISNUMBER(B765)),"",ROUND((INDEX(BP!$D$5:$D$9,MATCH(B765,BP!$A$5:$A$9,1))-INDEX(BP!$C$5:$C$9,MATCH(B765,BP!$A$5:$A$9,1)))/(INDEX(BP!$B$5:$B$9,MATCH(B765,BP!$A$5:$A$9,1))-INDEX(BP!$A$5:$A$9,MATCH(B765,BP!$A$5:$A$9,1)))*(B765-INDEX(BP!$A$5:$A$9,MATCH(B765,BP!$A$5:$A$9,1)))+INDEX(BP!$C$5:$C$9,MATCH(B765,BP!$A$5:$A$9,1)),0))</f>
        <v>13</v>
      </c>
      <c r="D765" s="12" t="str">
        <f aca="false">IF(NOT(ISNUMBER(C765)),"",INDEX(BP!$F$5:$F$9,MATCH(C765,BP!$E$5:$E$9,1)))</f>
        <v>ดีมาก</v>
      </c>
      <c r="E765" s="12" t="n">
        <f aca="false">YEAR(A765)</f>
        <v>2023</v>
      </c>
      <c r="F765" s="12" t="n">
        <f aca="false">MONTH(A765)</f>
        <v>2</v>
      </c>
      <c r="G765" s="12" t="n">
        <v>20.9</v>
      </c>
      <c r="H765" s="12" t="n">
        <v>44.3</v>
      </c>
      <c r="I765" s="12" t="n">
        <v>101</v>
      </c>
      <c r="J765" s="12" t="n">
        <v>21.4</v>
      </c>
      <c r="K765" s="12" t="n">
        <v>13.4</v>
      </c>
      <c r="L765" s="12" t="s">
        <v>36</v>
      </c>
    </row>
    <row r="766" customFormat="false" ht="15" hidden="false" customHeight="false" outlineLevel="0" collapsed="false">
      <c r="A766" s="11" t="n">
        <v>44961</v>
      </c>
      <c r="B766" s="12" t="n">
        <v>10</v>
      </c>
      <c r="C766" s="12" t="n">
        <f aca="false">IF(NOT(ISNUMBER(B766)),"",ROUND((INDEX(BP!$D$5:$D$9,MATCH(B766,BP!$A$5:$A$9,1))-INDEX(BP!$C$5:$C$9,MATCH(B766,BP!$A$5:$A$9,1)))/(INDEX(BP!$B$5:$B$9,MATCH(B766,BP!$A$5:$A$9,1))-INDEX(BP!$A$5:$A$9,MATCH(B766,BP!$A$5:$A$9,1)))*(B766-INDEX(BP!$A$5:$A$9,MATCH(B766,BP!$A$5:$A$9,1)))+INDEX(BP!$C$5:$C$9,MATCH(B766,BP!$A$5:$A$9,1)),0))</f>
        <v>17</v>
      </c>
      <c r="D766" s="12" t="str">
        <f aca="false">IF(NOT(ISNUMBER(C766)),"",INDEX(BP!$F$5:$F$9,MATCH(C766,BP!$E$5:$E$9,1)))</f>
        <v>ดีมาก</v>
      </c>
      <c r="E766" s="12" t="n">
        <f aca="false">YEAR(A766)</f>
        <v>2023</v>
      </c>
      <c r="F766" s="12" t="n">
        <f aca="false">MONTH(A766)</f>
        <v>2</v>
      </c>
      <c r="G766" s="12" t="n">
        <v>22.8</v>
      </c>
      <c r="H766" s="12" t="n">
        <v>46.1</v>
      </c>
      <c r="I766" s="12" t="n">
        <v>96</v>
      </c>
      <c r="J766" s="12" t="n">
        <v>1.3</v>
      </c>
      <c r="K766" s="12" t="n">
        <v>0</v>
      </c>
      <c r="L766" s="12" t="s">
        <v>35</v>
      </c>
    </row>
    <row r="767" customFormat="false" ht="15" hidden="false" customHeight="false" outlineLevel="0" collapsed="false">
      <c r="A767" s="11" t="n">
        <v>44962</v>
      </c>
      <c r="B767" s="12" t="n">
        <v>11</v>
      </c>
      <c r="C767" s="12" t="n">
        <f aca="false">IF(NOT(ISNUMBER(B767)),"",ROUND((INDEX(BP!$D$5:$D$9,MATCH(B767,BP!$A$5:$A$9,1))-INDEX(BP!$C$5:$C$9,MATCH(B767,BP!$A$5:$A$9,1)))/(INDEX(BP!$B$5:$B$9,MATCH(B767,BP!$A$5:$A$9,1))-INDEX(BP!$A$5:$A$9,MATCH(B767,BP!$A$5:$A$9,1)))*(B767-INDEX(BP!$A$5:$A$9,MATCH(B767,BP!$A$5:$A$9,1)))+INDEX(BP!$C$5:$C$9,MATCH(B767,BP!$A$5:$A$9,1)),0))</f>
        <v>18</v>
      </c>
      <c r="D767" s="12" t="str">
        <f aca="false">IF(NOT(ISNUMBER(C767)),"",INDEX(BP!$F$5:$F$9,MATCH(C767,BP!$E$5:$E$9,1)))</f>
        <v>ดีมาก</v>
      </c>
      <c r="E767" s="12" t="n">
        <f aca="false">YEAR(A767)</f>
        <v>2023</v>
      </c>
      <c r="F767" s="12" t="n">
        <f aca="false">MONTH(A767)</f>
        <v>2</v>
      </c>
      <c r="G767" s="12" t="n">
        <v>22.3</v>
      </c>
      <c r="H767" s="12" t="n">
        <v>46.1</v>
      </c>
      <c r="I767" s="12" t="n">
        <v>87</v>
      </c>
      <c r="J767" s="12" t="n">
        <v>1.2</v>
      </c>
      <c r="K767" s="12" t="n">
        <v>0.4</v>
      </c>
      <c r="L767" s="12" t="s">
        <v>35</v>
      </c>
    </row>
    <row r="768" customFormat="false" ht="15" hidden="false" customHeight="false" outlineLevel="0" collapsed="false">
      <c r="A768" s="11" t="n">
        <v>44963</v>
      </c>
      <c r="B768" s="12" t="n">
        <v>11</v>
      </c>
      <c r="C768" s="12" t="n">
        <f aca="false">IF(NOT(ISNUMBER(B768)),"",ROUND((INDEX(BP!$D$5:$D$9,MATCH(B768,BP!$A$5:$A$9,1))-INDEX(BP!$C$5:$C$9,MATCH(B768,BP!$A$5:$A$9,1)))/(INDEX(BP!$B$5:$B$9,MATCH(B768,BP!$A$5:$A$9,1))-INDEX(BP!$A$5:$A$9,MATCH(B768,BP!$A$5:$A$9,1)))*(B768-INDEX(BP!$A$5:$A$9,MATCH(B768,BP!$A$5:$A$9,1)))+INDEX(BP!$C$5:$C$9,MATCH(B768,BP!$A$5:$A$9,1)),0))</f>
        <v>18</v>
      </c>
      <c r="D768" s="12" t="str">
        <f aca="false">IF(NOT(ISNUMBER(C768)),"",INDEX(BP!$F$5:$F$9,MATCH(C768,BP!$E$5:$E$9,1)))</f>
        <v>ดีมาก</v>
      </c>
      <c r="E768" s="12" t="n">
        <f aca="false">YEAR(A768)</f>
        <v>2023</v>
      </c>
      <c r="F768" s="12" t="n">
        <f aca="false">MONTH(A768)</f>
        <v>2</v>
      </c>
      <c r="G768" s="12" t="n">
        <v>16.2</v>
      </c>
      <c r="H768" s="12" t="n">
        <v>33.8</v>
      </c>
      <c r="I768" s="12" t="n">
        <v>94</v>
      </c>
      <c r="J768" s="12" t="n">
        <v>1.1</v>
      </c>
      <c r="K768" s="12" t="n">
        <v>0</v>
      </c>
      <c r="L768" s="12" t="s">
        <v>36</v>
      </c>
    </row>
    <row r="769" customFormat="false" ht="15" hidden="false" customHeight="false" outlineLevel="0" collapsed="false">
      <c r="A769" s="11" t="n">
        <v>44964</v>
      </c>
      <c r="B769" s="12" t="n">
        <v>14</v>
      </c>
      <c r="C769" s="12" t="n">
        <f aca="false">IF(NOT(ISNUMBER(B769)),"",ROUND((INDEX(BP!$D$5:$D$9,MATCH(B769,BP!$A$5:$A$9,1))-INDEX(BP!$C$5:$C$9,MATCH(B769,BP!$A$5:$A$9,1)))/(INDEX(BP!$B$5:$B$9,MATCH(B769,BP!$A$5:$A$9,1))-INDEX(BP!$A$5:$A$9,MATCH(B769,BP!$A$5:$A$9,1)))*(B769-INDEX(BP!$A$5:$A$9,MATCH(B769,BP!$A$5:$A$9,1)))+INDEX(BP!$C$5:$C$9,MATCH(B769,BP!$A$5:$A$9,1)),0))</f>
        <v>23</v>
      </c>
      <c r="D769" s="12" t="str">
        <f aca="false">IF(NOT(ISNUMBER(C769)),"",INDEX(BP!$F$5:$F$9,MATCH(C769,BP!$E$5:$E$9,1)))</f>
        <v>ดีมาก</v>
      </c>
      <c r="E769" s="12" t="n">
        <f aca="false">YEAR(A769)</f>
        <v>2023</v>
      </c>
      <c r="F769" s="12" t="n">
        <f aca="false">MONTH(A769)</f>
        <v>2</v>
      </c>
      <c r="G769" s="12" t="n">
        <v>17.1</v>
      </c>
      <c r="H769" s="12" t="n">
        <v>37.1</v>
      </c>
      <c r="I769" s="12" t="n">
        <v>86</v>
      </c>
      <c r="J769" s="12" t="n">
        <v>0</v>
      </c>
      <c r="K769" s="12" t="n">
        <v>0</v>
      </c>
      <c r="L769" s="12" t="s">
        <v>36</v>
      </c>
    </row>
    <row r="770" customFormat="false" ht="15" hidden="false" customHeight="false" outlineLevel="0" collapsed="false">
      <c r="A770" s="11" t="n">
        <v>44965</v>
      </c>
      <c r="B770" s="12" t="n">
        <v>13</v>
      </c>
      <c r="C770" s="12" t="n">
        <f aca="false">IF(NOT(ISNUMBER(B770)),"",ROUND((INDEX(BP!$D$5:$D$9,MATCH(B770,BP!$A$5:$A$9,1))-INDEX(BP!$C$5:$C$9,MATCH(B770,BP!$A$5:$A$9,1)))/(INDEX(BP!$B$5:$B$9,MATCH(B770,BP!$A$5:$A$9,1))-INDEX(BP!$A$5:$A$9,MATCH(B770,BP!$A$5:$A$9,1)))*(B770-INDEX(BP!$A$5:$A$9,MATCH(B770,BP!$A$5:$A$9,1)))+INDEX(BP!$C$5:$C$9,MATCH(B770,BP!$A$5:$A$9,1)),0))</f>
        <v>22</v>
      </c>
      <c r="D770" s="12" t="str">
        <f aca="false">IF(NOT(ISNUMBER(C770)),"",INDEX(BP!$F$5:$F$9,MATCH(C770,BP!$E$5:$E$9,1)))</f>
        <v>ดีมาก</v>
      </c>
      <c r="E770" s="12" t="n">
        <f aca="false">YEAR(A770)</f>
        <v>2023</v>
      </c>
      <c r="F770" s="12" t="n">
        <f aca="false">MONTH(A770)</f>
        <v>2</v>
      </c>
      <c r="G770" s="12" t="n">
        <v>20.4</v>
      </c>
      <c r="H770" s="12" t="n">
        <v>42.1</v>
      </c>
      <c r="I770" s="12" t="n">
        <v>71</v>
      </c>
      <c r="J770" s="12" t="n">
        <v>1.2</v>
      </c>
      <c r="K770" s="12" t="n">
        <v>0</v>
      </c>
      <c r="L770" s="12" t="s">
        <v>36</v>
      </c>
    </row>
    <row r="771" customFormat="false" ht="15" hidden="false" customHeight="false" outlineLevel="0" collapsed="false">
      <c r="A771" s="11" t="n">
        <v>44966</v>
      </c>
      <c r="B771" s="12"/>
      <c r="C771" s="12" t="str">
        <f aca="false">IF(NOT(ISNUMBER(B771)),"",ROUND((INDEX(BP!$D$5:$D$9,MATCH(B771,BP!$A$5:$A$9,1))-INDEX(BP!$C$5:$C$9,MATCH(B771,BP!$A$5:$A$9,1)))/(INDEX(BP!$B$5:$B$9,MATCH(B771,BP!$A$5:$A$9,1))-INDEX(BP!$A$5:$A$9,MATCH(B771,BP!$A$5:$A$9,1)))*(B771-INDEX(BP!$A$5:$A$9,MATCH(B771,BP!$A$5:$A$9,1)))+INDEX(BP!$C$5:$C$9,MATCH(B771,BP!$A$5:$A$9,1)),0))</f>
        <v/>
      </c>
      <c r="D771" s="12" t="str">
        <f aca="false">IF(NOT(ISNUMBER(C771)),"",INDEX(BP!$F$5:$F$9,MATCH(C771,BP!$E$5:$E$9,1)))</f>
        <v/>
      </c>
      <c r="E771" s="12" t="n">
        <f aca="false">YEAR(A771)</f>
        <v>2023</v>
      </c>
      <c r="F771" s="12" t="n">
        <f aca="false">MONTH(A771)</f>
        <v>2</v>
      </c>
      <c r="G771" s="12" t="n">
        <v>16.2</v>
      </c>
      <c r="H771" s="12" t="n">
        <v>34.6</v>
      </c>
      <c r="I771" s="12" t="n">
        <v>94</v>
      </c>
      <c r="J771" s="12" t="n">
        <v>0</v>
      </c>
      <c r="K771" s="12" t="n">
        <v>0</v>
      </c>
      <c r="L771" s="12" t="s">
        <v>36</v>
      </c>
    </row>
    <row r="772" customFormat="false" ht="15" hidden="false" customHeight="false" outlineLevel="0" collapsed="false">
      <c r="A772" s="11" t="n">
        <v>44967</v>
      </c>
      <c r="B772" s="12" t="n">
        <v>13</v>
      </c>
      <c r="C772" s="12" t="n">
        <f aca="false">IF(NOT(ISNUMBER(B772)),"",ROUND((INDEX(BP!$D$5:$D$9,MATCH(B772,BP!$A$5:$A$9,1))-INDEX(BP!$C$5:$C$9,MATCH(B772,BP!$A$5:$A$9,1)))/(INDEX(BP!$B$5:$B$9,MATCH(B772,BP!$A$5:$A$9,1))-INDEX(BP!$A$5:$A$9,MATCH(B772,BP!$A$5:$A$9,1)))*(B772-INDEX(BP!$A$5:$A$9,MATCH(B772,BP!$A$5:$A$9,1)))+INDEX(BP!$C$5:$C$9,MATCH(B772,BP!$A$5:$A$9,1)),0))</f>
        <v>22</v>
      </c>
      <c r="D772" s="12" t="str">
        <f aca="false">IF(NOT(ISNUMBER(C772)),"",INDEX(BP!$F$5:$F$9,MATCH(C772,BP!$E$5:$E$9,1)))</f>
        <v>ดีมาก</v>
      </c>
      <c r="E772" s="12" t="n">
        <f aca="false">YEAR(A772)</f>
        <v>2023</v>
      </c>
      <c r="F772" s="12" t="n">
        <f aca="false">MONTH(A772)</f>
        <v>2</v>
      </c>
      <c r="G772" s="12" t="n">
        <v>18.9</v>
      </c>
      <c r="H772" s="12" t="n">
        <v>40.7</v>
      </c>
      <c r="I772" s="12" t="n">
        <v>96</v>
      </c>
      <c r="J772" s="12" t="n">
        <v>0.7</v>
      </c>
      <c r="K772" s="12" t="n">
        <v>0</v>
      </c>
      <c r="L772" s="12" t="s">
        <v>36</v>
      </c>
    </row>
    <row r="773" customFormat="false" ht="15" hidden="false" customHeight="false" outlineLevel="0" collapsed="false">
      <c r="A773" s="11" t="n">
        <v>44968</v>
      </c>
      <c r="B773" s="12" t="n">
        <v>10</v>
      </c>
      <c r="C773" s="12" t="n">
        <f aca="false">IF(NOT(ISNUMBER(B773)),"",ROUND((INDEX(BP!$D$5:$D$9,MATCH(B773,BP!$A$5:$A$9,1))-INDEX(BP!$C$5:$C$9,MATCH(B773,BP!$A$5:$A$9,1)))/(INDEX(BP!$B$5:$B$9,MATCH(B773,BP!$A$5:$A$9,1))-INDEX(BP!$A$5:$A$9,MATCH(B773,BP!$A$5:$A$9,1)))*(B773-INDEX(BP!$A$5:$A$9,MATCH(B773,BP!$A$5:$A$9,1)))+INDEX(BP!$C$5:$C$9,MATCH(B773,BP!$A$5:$A$9,1)),0))</f>
        <v>17</v>
      </c>
      <c r="D773" s="12" t="str">
        <f aca="false">IF(NOT(ISNUMBER(C773)),"",INDEX(BP!$F$5:$F$9,MATCH(C773,BP!$E$5:$E$9,1)))</f>
        <v>ดีมาก</v>
      </c>
      <c r="E773" s="12" t="n">
        <f aca="false">YEAR(A773)</f>
        <v>2023</v>
      </c>
      <c r="F773" s="12" t="n">
        <f aca="false">MONTH(A773)</f>
        <v>2</v>
      </c>
      <c r="G773" s="12" t="n">
        <v>16</v>
      </c>
      <c r="H773" s="12" t="n">
        <v>35.6</v>
      </c>
      <c r="I773" s="12" t="n">
        <v>80</v>
      </c>
      <c r="J773" s="12" t="n">
        <v>0.9</v>
      </c>
      <c r="K773" s="12" t="n">
        <v>0</v>
      </c>
      <c r="L773" s="12" t="s">
        <v>35</v>
      </c>
    </row>
    <row r="774" customFormat="false" ht="15" hidden="false" customHeight="false" outlineLevel="0" collapsed="false">
      <c r="A774" s="11" t="n">
        <v>44969</v>
      </c>
      <c r="B774" s="12" t="n">
        <v>12</v>
      </c>
      <c r="C774" s="12" t="n">
        <f aca="false">IF(NOT(ISNUMBER(B774)),"",ROUND((INDEX(BP!$D$5:$D$9,MATCH(B774,BP!$A$5:$A$9,1))-INDEX(BP!$C$5:$C$9,MATCH(B774,BP!$A$5:$A$9,1)))/(INDEX(BP!$B$5:$B$9,MATCH(B774,BP!$A$5:$A$9,1))-INDEX(BP!$A$5:$A$9,MATCH(B774,BP!$A$5:$A$9,1)))*(B774-INDEX(BP!$A$5:$A$9,MATCH(B774,BP!$A$5:$A$9,1)))+INDEX(BP!$C$5:$C$9,MATCH(B774,BP!$A$5:$A$9,1)),0))</f>
        <v>20</v>
      </c>
      <c r="D774" s="12" t="str">
        <f aca="false">IF(NOT(ISNUMBER(C774)),"",INDEX(BP!$F$5:$F$9,MATCH(C774,BP!$E$5:$E$9,1)))</f>
        <v>ดีมาก</v>
      </c>
      <c r="E774" s="12" t="n">
        <f aca="false">YEAR(A774)</f>
        <v>2023</v>
      </c>
      <c r="F774" s="12" t="n">
        <f aca="false">MONTH(A774)</f>
        <v>2</v>
      </c>
      <c r="G774" s="12" t="n">
        <v>15.3</v>
      </c>
      <c r="H774" s="12" t="n">
        <v>33.5</v>
      </c>
      <c r="I774" s="12" t="n">
        <v>77</v>
      </c>
      <c r="J774" s="12" t="n">
        <v>0.1</v>
      </c>
      <c r="K774" s="12" t="n">
        <v>0</v>
      </c>
      <c r="L774" s="12" t="s">
        <v>35</v>
      </c>
    </row>
    <row r="775" customFormat="false" ht="15" hidden="false" customHeight="false" outlineLevel="0" collapsed="false">
      <c r="A775" s="11" t="n">
        <v>44970</v>
      </c>
      <c r="B775" s="12" t="n">
        <v>14</v>
      </c>
      <c r="C775" s="12" t="n">
        <f aca="false">IF(NOT(ISNUMBER(B775)),"",ROUND((INDEX(BP!$D$5:$D$9,MATCH(B775,BP!$A$5:$A$9,1))-INDEX(BP!$C$5:$C$9,MATCH(B775,BP!$A$5:$A$9,1)))/(INDEX(BP!$B$5:$B$9,MATCH(B775,BP!$A$5:$A$9,1))-INDEX(BP!$A$5:$A$9,MATCH(B775,BP!$A$5:$A$9,1)))*(B775-INDEX(BP!$A$5:$A$9,MATCH(B775,BP!$A$5:$A$9,1)))+INDEX(BP!$C$5:$C$9,MATCH(B775,BP!$A$5:$A$9,1)),0))</f>
        <v>23</v>
      </c>
      <c r="D775" s="12" t="str">
        <f aca="false">IF(NOT(ISNUMBER(C775)),"",INDEX(BP!$F$5:$F$9,MATCH(C775,BP!$E$5:$E$9,1)))</f>
        <v>ดีมาก</v>
      </c>
      <c r="E775" s="12" t="n">
        <f aca="false">YEAR(A775)</f>
        <v>2023</v>
      </c>
      <c r="F775" s="12" t="n">
        <f aca="false">MONTH(A775)</f>
        <v>2</v>
      </c>
      <c r="G775" s="12" t="n">
        <v>12.2</v>
      </c>
      <c r="H775" s="12" t="n">
        <v>28.8</v>
      </c>
      <c r="I775" s="12" t="n">
        <v>79</v>
      </c>
      <c r="J775" s="12" t="n">
        <v>0</v>
      </c>
      <c r="K775" s="12" t="n">
        <v>0</v>
      </c>
      <c r="L775" s="12" t="s">
        <v>36</v>
      </c>
    </row>
    <row r="776" customFormat="false" ht="15" hidden="false" customHeight="false" outlineLevel="0" collapsed="false">
      <c r="A776" s="11" t="n">
        <v>44971</v>
      </c>
      <c r="B776" s="12" t="n">
        <v>14</v>
      </c>
      <c r="C776" s="12" t="n">
        <f aca="false">IF(NOT(ISNUMBER(B776)),"",ROUND((INDEX(BP!$D$5:$D$9,MATCH(B776,BP!$A$5:$A$9,1))-INDEX(BP!$C$5:$C$9,MATCH(B776,BP!$A$5:$A$9,1)))/(INDEX(BP!$B$5:$B$9,MATCH(B776,BP!$A$5:$A$9,1))-INDEX(BP!$A$5:$A$9,MATCH(B776,BP!$A$5:$A$9,1)))*(B776-INDEX(BP!$A$5:$A$9,MATCH(B776,BP!$A$5:$A$9,1)))+INDEX(BP!$C$5:$C$9,MATCH(B776,BP!$A$5:$A$9,1)),0))</f>
        <v>23</v>
      </c>
      <c r="D776" s="12" t="str">
        <f aca="false">IF(NOT(ISNUMBER(C776)),"",INDEX(BP!$F$5:$F$9,MATCH(C776,BP!$E$5:$E$9,1)))</f>
        <v>ดีมาก</v>
      </c>
      <c r="E776" s="12" t="n">
        <f aca="false">YEAR(A776)</f>
        <v>2023</v>
      </c>
      <c r="F776" s="12" t="n">
        <f aca="false">MONTH(A776)</f>
        <v>2</v>
      </c>
      <c r="G776" s="12" t="n">
        <v>14.8</v>
      </c>
      <c r="H776" s="12" t="n">
        <v>33.8</v>
      </c>
      <c r="I776" s="12" t="n">
        <v>75</v>
      </c>
      <c r="J776" s="12" t="n">
        <v>0.4</v>
      </c>
      <c r="K776" s="12" t="n">
        <v>0</v>
      </c>
      <c r="L776" s="12" t="s">
        <v>36</v>
      </c>
    </row>
    <row r="777" customFormat="false" ht="15" hidden="false" customHeight="false" outlineLevel="0" collapsed="false">
      <c r="A777" s="11" t="n">
        <v>44972</v>
      </c>
      <c r="B777" s="12" t="n">
        <v>12</v>
      </c>
      <c r="C777" s="12" t="n">
        <f aca="false">IF(NOT(ISNUMBER(B777)),"",ROUND((INDEX(BP!$D$5:$D$9,MATCH(B777,BP!$A$5:$A$9,1))-INDEX(BP!$C$5:$C$9,MATCH(B777,BP!$A$5:$A$9,1)))/(INDEX(BP!$B$5:$B$9,MATCH(B777,BP!$A$5:$A$9,1))-INDEX(BP!$A$5:$A$9,MATCH(B777,BP!$A$5:$A$9,1)))*(B777-INDEX(BP!$A$5:$A$9,MATCH(B777,BP!$A$5:$A$9,1)))+INDEX(BP!$C$5:$C$9,MATCH(B777,BP!$A$5:$A$9,1)),0))</f>
        <v>20</v>
      </c>
      <c r="D777" s="12" t="str">
        <f aca="false">IF(NOT(ISNUMBER(C777)),"",INDEX(BP!$F$5:$F$9,MATCH(C777,BP!$E$5:$E$9,1)))</f>
        <v>ดีมาก</v>
      </c>
      <c r="E777" s="12" t="n">
        <f aca="false">YEAR(A777)</f>
        <v>2023</v>
      </c>
      <c r="F777" s="12" t="n">
        <f aca="false">MONTH(A777)</f>
        <v>2</v>
      </c>
      <c r="G777" s="12" t="n">
        <v>22.7</v>
      </c>
      <c r="H777" s="12" t="n">
        <v>45.7</v>
      </c>
      <c r="I777" s="12" t="n">
        <v>90</v>
      </c>
      <c r="J777" s="12" t="n">
        <v>0.5</v>
      </c>
      <c r="K777" s="12" t="n">
        <v>0</v>
      </c>
      <c r="L777" s="12" t="s">
        <v>36</v>
      </c>
    </row>
    <row r="778" customFormat="false" ht="15" hidden="false" customHeight="false" outlineLevel="0" collapsed="false">
      <c r="A778" s="11" t="n">
        <v>44973</v>
      </c>
      <c r="B778" s="12" t="n">
        <v>12</v>
      </c>
      <c r="C778" s="12" t="n">
        <f aca="false">IF(NOT(ISNUMBER(B778)),"",ROUND((INDEX(BP!$D$5:$D$9,MATCH(B778,BP!$A$5:$A$9,1))-INDEX(BP!$C$5:$C$9,MATCH(B778,BP!$A$5:$A$9,1)))/(INDEX(BP!$B$5:$B$9,MATCH(B778,BP!$A$5:$A$9,1))-INDEX(BP!$A$5:$A$9,MATCH(B778,BP!$A$5:$A$9,1)))*(B778-INDEX(BP!$A$5:$A$9,MATCH(B778,BP!$A$5:$A$9,1)))+INDEX(BP!$C$5:$C$9,MATCH(B778,BP!$A$5:$A$9,1)),0))</f>
        <v>20</v>
      </c>
      <c r="D778" s="12" t="str">
        <f aca="false">IF(NOT(ISNUMBER(C778)),"",INDEX(BP!$F$5:$F$9,MATCH(C778,BP!$E$5:$E$9,1)))</f>
        <v>ดีมาก</v>
      </c>
      <c r="E778" s="12" t="n">
        <f aca="false">YEAR(A778)</f>
        <v>2023</v>
      </c>
      <c r="F778" s="12" t="n">
        <f aca="false">MONTH(A778)</f>
        <v>2</v>
      </c>
      <c r="G778" s="12" t="n">
        <v>28.1</v>
      </c>
      <c r="H778" s="12" t="n">
        <v>56.5</v>
      </c>
      <c r="I778" s="12" t="n">
        <v>97</v>
      </c>
      <c r="J778" s="12" t="n">
        <v>1.4</v>
      </c>
      <c r="K778" s="12" t="n">
        <v>2.2</v>
      </c>
      <c r="L778" s="12" t="s">
        <v>36</v>
      </c>
    </row>
    <row r="779" customFormat="false" ht="15" hidden="false" customHeight="false" outlineLevel="0" collapsed="false">
      <c r="A779" s="11" t="n">
        <v>44974</v>
      </c>
      <c r="B779" s="12" t="n">
        <v>16</v>
      </c>
      <c r="C779" s="12" t="n">
        <f aca="false">IF(NOT(ISNUMBER(B779)),"",ROUND((INDEX(BP!$D$5:$D$9,MATCH(B779,BP!$A$5:$A$9,1))-INDEX(BP!$C$5:$C$9,MATCH(B779,BP!$A$5:$A$9,1)))/(INDEX(BP!$B$5:$B$9,MATCH(B779,BP!$A$5:$A$9,1))-INDEX(BP!$A$5:$A$9,MATCH(B779,BP!$A$5:$A$9,1)))*(B779-INDEX(BP!$A$5:$A$9,MATCH(B779,BP!$A$5:$A$9,1)))+INDEX(BP!$C$5:$C$9,MATCH(B779,BP!$A$5:$A$9,1)),0))</f>
        <v>28</v>
      </c>
      <c r="D779" s="12" t="str">
        <f aca="false">IF(NOT(ISNUMBER(C779)),"",INDEX(BP!$F$5:$F$9,MATCH(C779,BP!$E$5:$E$9,1)))</f>
        <v>ดี</v>
      </c>
      <c r="E779" s="12" t="n">
        <f aca="false">YEAR(A779)</f>
        <v>2023</v>
      </c>
      <c r="F779" s="12" t="n">
        <f aca="false">MONTH(A779)</f>
        <v>2</v>
      </c>
      <c r="G779" s="12" t="n">
        <v>25.7</v>
      </c>
      <c r="H779" s="12" t="n">
        <v>51.8</v>
      </c>
      <c r="I779" s="12" t="n">
        <v>98</v>
      </c>
      <c r="J779" s="12" t="n">
        <v>1.6</v>
      </c>
      <c r="K779" s="12" t="n">
        <v>1.6</v>
      </c>
      <c r="L779" s="12" t="s">
        <v>36</v>
      </c>
    </row>
    <row r="780" customFormat="false" ht="15" hidden="false" customHeight="false" outlineLevel="0" collapsed="false">
      <c r="A780" s="11" t="n">
        <v>44975</v>
      </c>
      <c r="B780" s="12" t="n">
        <v>14</v>
      </c>
      <c r="C780" s="12" t="n">
        <f aca="false">IF(NOT(ISNUMBER(B780)),"",ROUND((INDEX(BP!$D$5:$D$9,MATCH(B780,BP!$A$5:$A$9,1))-INDEX(BP!$C$5:$C$9,MATCH(B780,BP!$A$5:$A$9,1)))/(INDEX(BP!$B$5:$B$9,MATCH(B780,BP!$A$5:$A$9,1))-INDEX(BP!$A$5:$A$9,MATCH(B780,BP!$A$5:$A$9,1)))*(B780-INDEX(BP!$A$5:$A$9,MATCH(B780,BP!$A$5:$A$9,1)))+INDEX(BP!$C$5:$C$9,MATCH(B780,BP!$A$5:$A$9,1)),0))</f>
        <v>23</v>
      </c>
      <c r="D780" s="12" t="str">
        <f aca="false">IF(NOT(ISNUMBER(C780)),"",INDEX(BP!$F$5:$F$9,MATCH(C780,BP!$E$5:$E$9,1)))</f>
        <v>ดีมาก</v>
      </c>
      <c r="E780" s="12" t="n">
        <f aca="false">YEAR(A780)</f>
        <v>2023</v>
      </c>
      <c r="F780" s="12" t="n">
        <f aca="false">MONTH(A780)</f>
        <v>2</v>
      </c>
      <c r="G780" s="12" t="n">
        <v>22.3</v>
      </c>
      <c r="H780" s="12" t="n">
        <v>45.7</v>
      </c>
      <c r="I780" s="12" t="n">
        <v>76</v>
      </c>
      <c r="J780" s="12" t="n">
        <v>2.9</v>
      </c>
      <c r="K780" s="12" t="n">
        <v>0</v>
      </c>
      <c r="L780" s="12" t="s">
        <v>35</v>
      </c>
    </row>
    <row r="781" customFormat="false" ht="15" hidden="false" customHeight="false" outlineLevel="0" collapsed="false">
      <c r="A781" s="11" t="n">
        <v>44976</v>
      </c>
      <c r="B781" s="12" t="n">
        <v>18</v>
      </c>
      <c r="C781" s="12" t="n">
        <f aca="false">IF(NOT(ISNUMBER(B781)),"",ROUND((INDEX(BP!$D$5:$D$9,MATCH(B781,BP!$A$5:$A$9,1))-INDEX(BP!$C$5:$C$9,MATCH(B781,BP!$A$5:$A$9,1)))/(INDEX(BP!$B$5:$B$9,MATCH(B781,BP!$A$5:$A$9,1))-INDEX(BP!$A$5:$A$9,MATCH(B781,BP!$A$5:$A$9,1)))*(B781-INDEX(BP!$A$5:$A$9,MATCH(B781,BP!$A$5:$A$9,1)))+INDEX(BP!$C$5:$C$9,MATCH(B781,BP!$A$5:$A$9,1)),0))</f>
        <v>33</v>
      </c>
      <c r="D781" s="12" t="str">
        <f aca="false">IF(NOT(ISNUMBER(C781)),"",INDEX(BP!$F$5:$F$9,MATCH(C781,BP!$E$5:$E$9,1)))</f>
        <v>ดี</v>
      </c>
      <c r="E781" s="12" t="n">
        <f aca="false">YEAR(A781)</f>
        <v>2023</v>
      </c>
      <c r="F781" s="12" t="n">
        <f aca="false">MONTH(A781)</f>
        <v>2</v>
      </c>
      <c r="G781" s="12" t="n">
        <v>17.4</v>
      </c>
      <c r="H781" s="12" t="n">
        <v>39.6</v>
      </c>
      <c r="I781" s="12" t="n">
        <v>70</v>
      </c>
      <c r="J781" s="12" t="n">
        <v>3.7</v>
      </c>
      <c r="K781" s="12" t="n">
        <v>0</v>
      </c>
      <c r="L781" s="12" t="s">
        <v>35</v>
      </c>
    </row>
    <row r="782" customFormat="false" ht="15" hidden="false" customHeight="false" outlineLevel="0" collapsed="false">
      <c r="A782" s="11" t="n">
        <v>44977</v>
      </c>
      <c r="B782" s="12" t="n">
        <v>15</v>
      </c>
      <c r="C782" s="12" t="n">
        <f aca="false">IF(NOT(ISNUMBER(B782)),"",ROUND((INDEX(BP!$D$5:$D$9,MATCH(B782,BP!$A$5:$A$9,1))-INDEX(BP!$C$5:$C$9,MATCH(B782,BP!$A$5:$A$9,1)))/(INDEX(BP!$B$5:$B$9,MATCH(B782,BP!$A$5:$A$9,1))-INDEX(BP!$A$5:$A$9,MATCH(B782,BP!$A$5:$A$9,1)))*(B782-INDEX(BP!$A$5:$A$9,MATCH(B782,BP!$A$5:$A$9,1)))+INDEX(BP!$C$5:$C$9,MATCH(B782,BP!$A$5:$A$9,1)),0))</f>
        <v>25</v>
      </c>
      <c r="D782" s="12" t="str">
        <f aca="false">IF(NOT(ISNUMBER(C782)),"",INDEX(BP!$F$5:$F$9,MATCH(C782,BP!$E$5:$E$9,1)))</f>
        <v>ดีมาก</v>
      </c>
      <c r="E782" s="12" t="n">
        <f aca="false">YEAR(A782)</f>
        <v>2023</v>
      </c>
      <c r="F782" s="12" t="n">
        <f aca="false">MONTH(A782)</f>
        <v>2</v>
      </c>
      <c r="G782" s="12" t="n">
        <v>18.5</v>
      </c>
      <c r="H782" s="12" t="n">
        <v>40</v>
      </c>
      <c r="I782" s="12" t="n">
        <v>92</v>
      </c>
      <c r="J782" s="12" t="n">
        <v>0.7</v>
      </c>
      <c r="K782" s="12" t="n">
        <v>0</v>
      </c>
      <c r="L782" s="12" t="s">
        <v>36</v>
      </c>
    </row>
    <row r="783" customFormat="false" ht="15" hidden="false" customHeight="false" outlineLevel="0" collapsed="false">
      <c r="A783" s="11" t="n">
        <v>44978</v>
      </c>
      <c r="B783" s="12" t="n">
        <v>15</v>
      </c>
      <c r="C783" s="12" t="n">
        <f aca="false">IF(NOT(ISNUMBER(B783)),"",ROUND((INDEX(BP!$D$5:$D$9,MATCH(B783,BP!$A$5:$A$9,1))-INDEX(BP!$C$5:$C$9,MATCH(B783,BP!$A$5:$A$9,1)))/(INDEX(BP!$B$5:$B$9,MATCH(B783,BP!$A$5:$A$9,1))-INDEX(BP!$A$5:$A$9,MATCH(B783,BP!$A$5:$A$9,1)))*(B783-INDEX(BP!$A$5:$A$9,MATCH(B783,BP!$A$5:$A$9,1)))+INDEX(BP!$C$5:$C$9,MATCH(B783,BP!$A$5:$A$9,1)),0))</f>
        <v>25</v>
      </c>
      <c r="D783" s="12" t="str">
        <f aca="false">IF(NOT(ISNUMBER(C783)),"",INDEX(BP!$F$5:$F$9,MATCH(C783,BP!$E$5:$E$9,1)))</f>
        <v>ดีมาก</v>
      </c>
      <c r="E783" s="12" t="n">
        <f aca="false">YEAR(A783)</f>
        <v>2023</v>
      </c>
      <c r="F783" s="12" t="n">
        <f aca="false">MONTH(A783)</f>
        <v>2</v>
      </c>
      <c r="G783" s="12" t="n">
        <v>23.8</v>
      </c>
      <c r="H783" s="12" t="n">
        <v>48.2</v>
      </c>
      <c r="I783" s="12" t="n">
        <v>96</v>
      </c>
      <c r="J783" s="12" t="n">
        <v>0.5</v>
      </c>
      <c r="K783" s="12" t="n">
        <v>0</v>
      </c>
      <c r="L783" s="12" t="s">
        <v>36</v>
      </c>
    </row>
    <row r="784" customFormat="false" ht="15" hidden="false" customHeight="false" outlineLevel="0" collapsed="false">
      <c r="A784" s="11" t="n">
        <v>44979</v>
      </c>
      <c r="B784" s="12" t="n">
        <v>19</v>
      </c>
      <c r="C784" s="12" t="n">
        <f aca="false">IF(NOT(ISNUMBER(B784)),"",ROUND((INDEX(BP!$D$5:$D$9,MATCH(B784,BP!$A$5:$A$9,1))-INDEX(BP!$C$5:$C$9,MATCH(B784,BP!$A$5:$A$9,1)))/(INDEX(BP!$B$5:$B$9,MATCH(B784,BP!$A$5:$A$9,1))-INDEX(BP!$A$5:$A$9,MATCH(B784,BP!$A$5:$A$9,1)))*(B784-INDEX(BP!$A$5:$A$9,MATCH(B784,BP!$A$5:$A$9,1)))+INDEX(BP!$C$5:$C$9,MATCH(B784,BP!$A$5:$A$9,1)),0))</f>
        <v>35</v>
      </c>
      <c r="D784" s="12" t="str">
        <f aca="false">IF(NOT(ISNUMBER(C784)),"",INDEX(BP!$F$5:$F$9,MATCH(C784,BP!$E$5:$E$9,1)))</f>
        <v>ดี</v>
      </c>
      <c r="E784" s="12" t="n">
        <f aca="false">YEAR(A784)</f>
        <v>2023</v>
      </c>
      <c r="F784" s="12" t="n">
        <f aca="false">MONTH(A784)</f>
        <v>2</v>
      </c>
      <c r="G784" s="12" t="n">
        <v>22.4</v>
      </c>
      <c r="H784" s="12" t="n">
        <v>46.4</v>
      </c>
      <c r="I784" s="12" t="n">
        <v>94</v>
      </c>
      <c r="J784" s="12" t="n">
        <v>0.1</v>
      </c>
      <c r="K784" s="12" t="n">
        <v>0</v>
      </c>
      <c r="L784" s="12" t="s">
        <v>36</v>
      </c>
    </row>
    <row r="785" customFormat="false" ht="15" hidden="false" customHeight="false" outlineLevel="0" collapsed="false">
      <c r="A785" s="11" t="n">
        <v>44980</v>
      </c>
      <c r="B785" s="12" t="n">
        <v>21</v>
      </c>
      <c r="C785" s="12" t="n">
        <f aca="false">IF(NOT(ISNUMBER(B785)),"",ROUND((INDEX(BP!$D$5:$D$9,MATCH(B785,BP!$A$5:$A$9,1))-INDEX(BP!$C$5:$C$9,MATCH(B785,BP!$A$5:$A$9,1)))/(INDEX(BP!$B$5:$B$9,MATCH(B785,BP!$A$5:$A$9,1))-INDEX(BP!$A$5:$A$9,MATCH(B785,BP!$A$5:$A$9,1)))*(B785-INDEX(BP!$A$5:$A$9,MATCH(B785,BP!$A$5:$A$9,1)))+INDEX(BP!$C$5:$C$9,MATCH(B785,BP!$A$5:$A$9,1)),0))</f>
        <v>40</v>
      </c>
      <c r="D785" s="12" t="str">
        <f aca="false">IF(NOT(ISNUMBER(C785)),"",INDEX(BP!$F$5:$F$9,MATCH(C785,BP!$E$5:$E$9,1)))</f>
        <v>ดี</v>
      </c>
      <c r="E785" s="12" t="n">
        <f aca="false">YEAR(A785)</f>
        <v>2023</v>
      </c>
      <c r="F785" s="12" t="n">
        <f aca="false">MONTH(A785)</f>
        <v>2</v>
      </c>
      <c r="G785" s="12" t="n">
        <v>18.7</v>
      </c>
      <c r="H785" s="12" t="n">
        <v>39.6</v>
      </c>
      <c r="I785" s="12" t="n">
        <v>89</v>
      </c>
      <c r="J785" s="12" t="n">
        <v>0</v>
      </c>
      <c r="K785" s="12" t="n">
        <v>0</v>
      </c>
      <c r="L785" s="12" t="s">
        <v>36</v>
      </c>
    </row>
    <row r="786" customFormat="false" ht="15" hidden="false" customHeight="false" outlineLevel="0" collapsed="false">
      <c r="A786" s="11" t="n">
        <v>44981</v>
      </c>
      <c r="B786" s="12" t="n">
        <v>18</v>
      </c>
      <c r="C786" s="12" t="n">
        <f aca="false">IF(NOT(ISNUMBER(B786)),"",ROUND((INDEX(BP!$D$5:$D$9,MATCH(B786,BP!$A$5:$A$9,1))-INDEX(BP!$C$5:$C$9,MATCH(B786,BP!$A$5:$A$9,1)))/(INDEX(BP!$B$5:$B$9,MATCH(B786,BP!$A$5:$A$9,1))-INDEX(BP!$A$5:$A$9,MATCH(B786,BP!$A$5:$A$9,1)))*(B786-INDEX(BP!$A$5:$A$9,MATCH(B786,BP!$A$5:$A$9,1)))+INDEX(BP!$C$5:$C$9,MATCH(B786,BP!$A$5:$A$9,1)),0))</f>
        <v>33</v>
      </c>
      <c r="D786" s="12" t="str">
        <f aca="false">IF(NOT(ISNUMBER(C786)),"",INDEX(BP!$F$5:$F$9,MATCH(C786,BP!$E$5:$E$9,1)))</f>
        <v>ดี</v>
      </c>
      <c r="E786" s="12" t="n">
        <f aca="false">YEAR(A786)</f>
        <v>2023</v>
      </c>
      <c r="F786" s="12" t="n">
        <f aca="false">MONTH(A786)</f>
        <v>2</v>
      </c>
      <c r="G786" s="12" t="n">
        <v>16.2</v>
      </c>
      <c r="H786" s="12" t="n">
        <v>36</v>
      </c>
      <c r="I786" s="12" t="n">
        <v>80</v>
      </c>
      <c r="J786" s="12" t="n">
        <v>0</v>
      </c>
      <c r="K786" s="12" t="n">
        <v>0</v>
      </c>
      <c r="L786" s="12" t="s">
        <v>36</v>
      </c>
    </row>
    <row r="787" customFormat="false" ht="15" hidden="false" customHeight="false" outlineLevel="0" collapsed="false">
      <c r="A787" s="11" t="n">
        <v>44982</v>
      </c>
      <c r="B787" s="12" t="n">
        <v>20</v>
      </c>
      <c r="C787" s="12" t="n">
        <f aca="false">IF(NOT(ISNUMBER(B787)),"",ROUND((INDEX(BP!$D$5:$D$9,MATCH(B787,BP!$A$5:$A$9,1))-INDEX(BP!$C$5:$C$9,MATCH(B787,BP!$A$5:$A$9,1)))/(INDEX(BP!$B$5:$B$9,MATCH(B787,BP!$A$5:$A$9,1))-INDEX(BP!$A$5:$A$9,MATCH(B787,BP!$A$5:$A$9,1)))*(B787-INDEX(BP!$A$5:$A$9,MATCH(B787,BP!$A$5:$A$9,1)))+INDEX(BP!$C$5:$C$9,MATCH(B787,BP!$A$5:$A$9,1)),0))</f>
        <v>38</v>
      </c>
      <c r="D787" s="12" t="str">
        <f aca="false">IF(NOT(ISNUMBER(C787)),"",INDEX(BP!$F$5:$F$9,MATCH(C787,BP!$E$5:$E$9,1)))</f>
        <v>ดี</v>
      </c>
      <c r="E787" s="12" t="n">
        <f aca="false">YEAR(A787)</f>
        <v>2023</v>
      </c>
      <c r="F787" s="12" t="n">
        <f aca="false">MONTH(A787)</f>
        <v>2</v>
      </c>
      <c r="G787" s="12" t="n">
        <v>26.6</v>
      </c>
      <c r="H787" s="12" t="n">
        <v>52.9</v>
      </c>
      <c r="I787" s="12" t="n">
        <v>93</v>
      </c>
      <c r="J787" s="12" t="n">
        <v>1.8</v>
      </c>
      <c r="K787" s="12" t="n">
        <v>0</v>
      </c>
      <c r="L787" s="12" t="s">
        <v>35</v>
      </c>
    </row>
    <row r="788" customFormat="false" ht="15" hidden="false" customHeight="false" outlineLevel="0" collapsed="false">
      <c r="A788" s="11" t="n">
        <v>44983</v>
      </c>
      <c r="B788" s="12" t="n">
        <v>25</v>
      </c>
      <c r="C788" s="12" t="n">
        <f aca="false">IF(NOT(ISNUMBER(B788)),"",ROUND((INDEX(BP!$D$5:$D$9,MATCH(B788,BP!$A$5:$A$9,1))-INDEX(BP!$C$5:$C$9,MATCH(B788,BP!$A$5:$A$9,1)))/(INDEX(BP!$B$5:$B$9,MATCH(B788,BP!$A$5:$A$9,1))-INDEX(BP!$A$5:$A$9,MATCH(B788,BP!$A$5:$A$9,1)))*(B788-INDEX(BP!$A$5:$A$9,MATCH(B788,BP!$A$5:$A$9,1)))+INDEX(BP!$C$5:$C$9,MATCH(B788,BP!$A$5:$A$9,1)),0))</f>
        <v>50</v>
      </c>
      <c r="D788" s="12" t="str">
        <f aca="false">IF(NOT(ISNUMBER(C788)),"",INDEX(BP!$F$5:$F$9,MATCH(C788,BP!$E$5:$E$9,1)))</f>
        <v>ดี</v>
      </c>
      <c r="E788" s="12" t="n">
        <f aca="false">YEAR(A788)</f>
        <v>2023</v>
      </c>
      <c r="F788" s="12" t="n">
        <f aca="false">MONTH(A788)</f>
        <v>2</v>
      </c>
      <c r="G788" s="12" t="n">
        <v>28.7</v>
      </c>
      <c r="H788" s="12" t="n">
        <v>58.3</v>
      </c>
      <c r="I788" s="12" t="n">
        <v>87</v>
      </c>
      <c r="J788" s="12" t="n">
        <v>2.8</v>
      </c>
      <c r="K788" s="12" t="n">
        <v>1</v>
      </c>
      <c r="L788" s="12" t="s">
        <v>35</v>
      </c>
    </row>
    <row r="789" customFormat="false" ht="15" hidden="false" customHeight="false" outlineLevel="0" collapsed="false">
      <c r="A789" s="11" t="n">
        <v>44984</v>
      </c>
      <c r="B789" s="12" t="n">
        <v>31</v>
      </c>
      <c r="C789" s="12" t="n">
        <f aca="false">IF(NOT(ISNUMBER(B789)),"",ROUND((INDEX(BP!$D$5:$D$9,MATCH(B789,BP!$A$5:$A$9,1))-INDEX(BP!$C$5:$C$9,MATCH(B789,BP!$A$5:$A$9,1)))/(INDEX(BP!$B$5:$B$9,MATCH(B789,BP!$A$5:$A$9,1))-INDEX(BP!$A$5:$A$9,MATCH(B789,BP!$A$5:$A$9,1)))*(B789-INDEX(BP!$A$5:$A$9,MATCH(B789,BP!$A$5:$A$9,1)))+INDEX(BP!$C$5:$C$9,MATCH(B789,BP!$A$5:$A$9,1)),0))</f>
        <v>74</v>
      </c>
      <c r="D789" s="12" t="str">
        <f aca="false">IF(NOT(ISNUMBER(C789)),"",INDEX(BP!$F$5:$F$9,MATCH(C789,BP!$E$5:$E$9,1)))</f>
        <v>ปานกลาง</v>
      </c>
      <c r="E789" s="12" t="n">
        <f aca="false">YEAR(A789)</f>
        <v>2023</v>
      </c>
      <c r="F789" s="12" t="n">
        <f aca="false">MONTH(A789)</f>
        <v>2</v>
      </c>
      <c r="G789" s="12" t="n">
        <v>22.8</v>
      </c>
      <c r="H789" s="12" t="n">
        <v>48.6</v>
      </c>
      <c r="I789" s="12" t="n">
        <v>76</v>
      </c>
      <c r="J789" s="12" t="n">
        <v>1</v>
      </c>
      <c r="K789" s="12" t="n">
        <v>0.2</v>
      </c>
      <c r="L789" s="12" t="s">
        <v>36</v>
      </c>
    </row>
    <row r="790" customFormat="false" ht="15" hidden="false" customHeight="false" outlineLevel="0" collapsed="false">
      <c r="A790" s="11" t="n">
        <v>44985</v>
      </c>
      <c r="B790" s="12" t="n">
        <v>29</v>
      </c>
      <c r="C790" s="12" t="n">
        <f aca="false">IF(NOT(ISNUMBER(B790)),"",ROUND((INDEX(BP!$D$5:$D$9,MATCH(B790,BP!$A$5:$A$9,1))-INDEX(BP!$C$5:$C$9,MATCH(B790,BP!$A$5:$A$9,1)))/(INDEX(BP!$B$5:$B$9,MATCH(B790,BP!$A$5:$A$9,1))-INDEX(BP!$A$5:$A$9,MATCH(B790,BP!$A$5:$A$9,1)))*(B790-INDEX(BP!$A$5:$A$9,MATCH(B790,BP!$A$5:$A$9,1)))+INDEX(BP!$C$5:$C$9,MATCH(B790,BP!$A$5:$A$9,1)),0))</f>
        <v>66</v>
      </c>
      <c r="D790" s="12" t="str">
        <f aca="false">IF(NOT(ISNUMBER(C790)),"",INDEX(BP!$F$5:$F$9,MATCH(C790,BP!$E$5:$E$9,1)))</f>
        <v>ปานกลาง</v>
      </c>
      <c r="E790" s="12" t="n">
        <f aca="false">YEAR(A790)</f>
        <v>2023</v>
      </c>
      <c r="F790" s="12" t="n">
        <f aca="false">MONTH(A790)</f>
        <v>2</v>
      </c>
      <c r="G790" s="12" t="n">
        <v>18.5</v>
      </c>
      <c r="H790" s="12" t="n">
        <v>41.4</v>
      </c>
      <c r="I790" s="12" t="n">
        <v>60</v>
      </c>
      <c r="J790" s="12" t="n">
        <v>5.1</v>
      </c>
      <c r="K790" s="12" t="n">
        <v>5.8</v>
      </c>
      <c r="L790" s="12" t="s">
        <v>36</v>
      </c>
    </row>
    <row r="791" customFormat="false" ht="15" hidden="false" customHeight="false" outlineLevel="0" collapsed="false">
      <c r="A791" s="11" t="n">
        <v>44986</v>
      </c>
      <c r="B791" s="12" t="n">
        <v>28</v>
      </c>
      <c r="C791" s="12" t="n">
        <f aca="false">IF(NOT(ISNUMBER(B791)),"",ROUND((INDEX(BP!$D$5:$D$9,MATCH(B791,BP!$A$5:$A$9,1))-INDEX(BP!$C$5:$C$9,MATCH(B791,BP!$A$5:$A$9,1)))/(INDEX(BP!$B$5:$B$9,MATCH(B791,BP!$A$5:$A$9,1))-INDEX(BP!$A$5:$A$9,MATCH(B791,BP!$A$5:$A$9,1)))*(B791-INDEX(BP!$A$5:$A$9,MATCH(B791,BP!$A$5:$A$9,1)))+INDEX(BP!$C$5:$C$9,MATCH(B791,BP!$A$5:$A$9,1)),0))</f>
        <v>62</v>
      </c>
      <c r="D791" s="12" t="str">
        <f aca="false">IF(NOT(ISNUMBER(C791)),"",INDEX(BP!$F$5:$F$9,MATCH(C791,BP!$E$5:$E$9,1)))</f>
        <v>ปานกลาง</v>
      </c>
      <c r="E791" s="12" t="n">
        <f aca="false">YEAR(A791)</f>
        <v>2023</v>
      </c>
      <c r="F791" s="12" t="n">
        <f aca="false">MONTH(A791)</f>
        <v>3</v>
      </c>
      <c r="G791" s="12" t="n">
        <v>18.4</v>
      </c>
      <c r="H791" s="12" t="n">
        <v>45.7</v>
      </c>
      <c r="I791" s="12" t="n">
        <v>94</v>
      </c>
      <c r="J791" s="12" t="n">
        <v>17.3</v>
      </c>
      <c r="K791" s="12" t="n">
        <v>12.6</v>
      </c>
      <c r="L791" s="12" t="s">
        <v>36</v>
      </c>
    </row>
    <row r="792" customFormat="false" ht="15" hidden="false" customHeight="false" outlineLevel="0" collapsed="false">
      <c r="A792" s="11" t="n">
        <v>44987</v>
      </c>
      <c r="B792" s="12" t="n">
        <v>17</v>
      </c>
      <c r="C792" s="12" t="n">
        <f aca="false">IF(NOT(ISNUMBER(B792)),"",ROUND((INDEX(BP!$D$5:$D$9,MATCH(B792,BP!$A$5:$A$9,1))-INDEX(BP!$C$5:$C$9,MATCH(B792,BP!$A$5:$A$9,1)))/(INDEX(BP!$B$5:$B$9,MATCH(B792,BP!$A$5:$A$9,1))-INDEX(BP!$A$5:$A$9,MATCH(B792,BP!$A$5:$A$9,1)))*(B792-INDEX(BP!$A$5:$A$9,MATCH(B792,BP!$A$5:$A$9,1)))+INDEX(BP!$C$5:$C$9,MATCH(B792,BP!$A$5:$A$9,1)),0))</f>
        <v>31</v>
      </c>
      <c r="D792" s="12" t="str">
        <f aca="false">IF(NOT(ISNUMBER(C792)),"",INDEX(BP!$F$5:$F$9,MATCH(C792,BP!$E$5:$E$9,1)))</f>
        <v>ดี</v>
      </c>
      <c r="E792" s="12" t="n">
        <f aca="false">YEAR(A792)</f>
        <v>2023</v>
      </c>
      <c r="F792" s="12" t="n">
        <f aca="false">MONTH(A792)</f>
        <v>3</v>
      </c>
      <c r="G792" s="12" t="n">
        <v>22.7</v>
      </c>
      <c r="H792" s="12" t="n">
        <v>47.5</v>
      </c>
      <c r="I792" s="12" t="n">
        <v>95</v>
      </c>
      <c r="J792" s="12" t="n">
        <v>1.2</v>
      </c>
      <c r="K792" s="12" t="n">
        <v>0</v>
      </c>
      <c r="L792" s="12" t="s">
        <v>36</v>
      </c>
    </row>
    <row r="793" customFormat="false" ht="15" hidden="false" customHeight="false" outlineLevel="0" collapsed="false">
      <c r="A793" s="11" t="n">
        <v>44988</v>
      </c>
      <c r="B793" s="12" t="n">
        <v>15</v>
      </c>
      <c r="C793" s="12" t="n">
        <f aca="false">IF(NOT(ISNUMBER(B793)),"",ROUND((INDEX(BP!$D$5:$D$9,MATCH(B793,BP!$A$5:$A$9,1))-INDEX(BP!$C$5:$C$9,MATCH(B793,BP!$A$5:$A$9,1)))/(INDEX(BP!$B$5:$B$9,MATCH(B793,BP!$A$5:$A$9,1))-INDEX(BP!$A$5:$A$9,MATCH(B793,BP!$A$5:$A$9,1)))*(B793-INDEX(BP!$A$5:$A$9,MATCH(B793,BP!$A$5:$A$9,1)))+INDEX(BP!$C$5:$C$9,MATCH(B793,BP!$A$5:$A$9,1)),0))</f>
        <v>25</v>
      </c>
      <c r="D793" s="12" t="str">
        <f aca="false">IF(NOT(ISNUMBER(C793)),"",INDEX(BP!$F$5:$F$9,MATCH(C793,BP!$E$5:$E$9,1)))</f>
        <v>ดีมาก</v>
      </c>
      <c r="E793" s="12" t="n">
        <f aca="false">YEAR(A793)</f>
        <v>2023</v>
      </c>
      <c r="F793" s="12" t="n">
        <f aca="false">MONTH(A793)</f>
        <v>3</v>
      </c>
      <c r="G793" s="12" t="n">
        <v>22</v>
      </c>
      <c r="H793" s="12" t="n">
        <v>47.5</v>
      </c>
      <c r="I793" s="12" t="n">
        <v>88</v>
      </c>
      <c r="J793" s="12" t="n">
        <v>2.8</v>
      </c>
      <c r="K793" s="12" t="n">
        <v>0</v>
      </c>
      <c r="L793" s="12" t="s">
        <v>36</v>
      </c>
    </row>
    <row r="794" customFormat="false" ht="15" hidden="false" customHeight="false" outlineLevel="0" collapsed="false">
      <c r="A794" s="11" t="n">
        <v>44989</v>
      </c>
      <c r="B794" s="12" t="n">
        <v>20</v>
      </c>
      <c r="C794" s="12" t="n">
        <f aca="false">IF(NOT(ISNUMBER(B794)),"",ROUND((INDEX(BP!$D$5:$D$9,MATCH(B794,BP!$A$5:$A$9,1))-INDEX(BP!$C$5:$C$9,MATCH(B794,BP!$A$5:$A$9,1)))/(INDEX(BP!$B$5:$B$9,MATCH(B794,BP!$A$5:$A$9,1))-INDEX(BP!$A$5:$A$9,MATCH(B794,BP!$A$5:$A$9,1)))*(B794-INDEX(BP!$A$5:$A$9,MATCH(B794,BP!$A$5:$A$9,1)))+INDEX(BP!$C$5:$C$9,MATCH(B794,BP!$A$5:$A$9,1)),0))</f>
        <v>38</v>
      </c>
      <c r="D794" s="12" t="str">
        <f aca="false">IF(NOT(ISNUMBER(C794)),"",INDEX(BP!$F$5:$F$9,MATCH(C794,BP!$E$5:$E$9,1)))</f>
        <v>ดี</v>
      </c>
      <c r="E794" s="12" t="n">
        <f aca="false">YEAR(A794)</f>
        <v>2023</v>
      </c>
      <c r="F794" s="12" t="n">
        <f aca="false">MONTH(A794)</f>
        <v>3</v>
      </c>
      <c r="G794" s="12" t="n">
        <v>24.1</v>
      </c>
      <c r="H794" s="12" t="n">
        <v>48.6</v>
      </c>
      <c r="I794" s="12" t="n">
        <v>99</v>
      </c>
      <c r="J794" s="12" t="n">
        <v>0.4</v>
      </c>
      <c r="K794" s="12" t="n">
        <v>0</v>
      </c>
      <c r="L794" s="12" t="s">
        <v>35</v>
      </c>
    </row>
    <row r="795" customFormat="false" ht="15" hidden="false" customHeight="false" outlineLevel="0" collapsed="false">
      <c r="A795" s="11" t="n">
        <v>44990</v>
      </c>
      <c r="B795" s="12" t="n">
        <v>23</v>
      </c>
      <c r="C795" s="12" t="n">
        <f aca="false">IF(NOT(ISNUMBER(B795)),"",ROUND((INDEX(BP!$D$5:$D$9,MATCH(B795,BP!$A$5:$A$9,1))-INDEX(BP!$C$5:$C$9,MATCH(B795,BP!$A$5:$A$9,1)))/(INDEX(BP!$B$5:$B$9,MATCH(B795,BP!$A$5:$A$9,1))-INDEX(BP!$A$5:$A$9,MATCH(B795,BP!$A$5:$A$9,1)))*(B795-INDEX(BP!$A$5:$A$9,MATCH(B795,BP!$A$5:$A$9,1)))+INDEX(BP!$C$5:$C$9,MATCH(B795,BP!$A$5:$A$9,1)),0))</f>
        <v>45</v>
      </c>
      <c r="D795" s="12" t="str">
        <f aca="false">IF(NOT(ISNUMBER(C795)),"",INDEX(BP!$F$5:$F$9,MATCH(C795,BP!$E$5:$E$9,1)))</f>
        <v>ดี</v>
      </c>
      <c r="E795" s="12" t="n">
        <f aca="false">YEAR(A795)</f>
        <v>2023</v>
      </c>
      <c r="F795" s="12" t="n">
        <f aca="false">MONTH(A795)</f>
        <v>3</v>
      </c>
      <c r="G795" s="12" t="n">
        <v>24.1</v>
      </c>
      <c r="H795" s="12" t="n">
        <v>48.6</v>
      </c>
      <c r="I795" s="12" t="n">
        <v>93</v>
      </c>
      <c r="J795" s="12" t="n">
        <v>1.7</v>
      </c>
      <c r="K795" s="12" t="n">
        <v>0</v>
      </c>
      <c r="L795" s="12" t="s">
        <v>35</v>
      </c>
    </row>
    <row r="796" customFormat="false" ht="15" hidden="false" customHeight="false" outlineLevel="0" collapsed="false">
      <c r="A796" s="11" t="n">
        <v>44991</v>
      </c>
      <c r="B796" s="12" t="n">
        <v>23</v>
      </c>
      <c r="C796" s="12" t="n">
        <f aca="false">IF(NOT(ISNUMBER(B796)),"",ROUND((INDEX(BP!$D$5:$D$9,MATCH(B796,BP!$A$5:$A$9,1))-INDEX(BP!$C$5:$C$9,MATCH(B796,BP!$A$5:$A$9,1)))/(INDEX(BP!$B$5:$B$9,MATCH(B796,BP!$A$5:$A$9,1))-INDEX(BP!$A$5:$A$9,MATCH(B796,BP!$A$5:$A$9,1)))*(B796-INDEX(BP!$A$5:$A$9,MATCH(B796,BP!$A$5:$A$9,1)))+INDEX(BP!$C$5:$C$9,MATCH(B796,BP!$A$5:$A$9,1)),0))</f>
        <v>45</v>
      </c>
      <c r="D796" s="12" t="str">
        <f aca="false">IF(NOT(ISNUMBER(C796)),"",INDEX(BP!$F$5:$F$9,MATCH(C796,BP!$E$5:$E$9,1)))</f>
        <v>ดี</v>
      </c>
      <c r="E796" s="12" t="n">
        <f aca="false">YEAR(A796)</f>
        <v>2023</v>
      </c>
      <c r="F796" s="12" t="n">
        <f aca="false">MONTH(A796)</f>
        <v>3</v>
      </c>
      <c r="G796" s="12" t="n">
        <v>23.6</v>
      </c>
      <c r="H796" s="12" t="n">
        <v>47.9</v>
      </c>
      <c r="I796" s="12" t="n">
        <v>90</v>
      </c>
      <c r="J796" s="12" t="n">
        <v>0.3</v>
      </c>
      <c r="K796" s="12" t="n">
        <v>0</v>
      </c>
      <c r="L796" s="12" t="s">
        <v>34</v>
      </c>
    </row>
    <row r="797" customFormat="false" ht="15" hidden="false" customHeight="false" outlineLevel="0" collapsed="false">
      <c r="A797" s="11" t="n">
        <v>44992</v>
      </c>
      <c r="B797" s="12" t="n">
        <v>30</v>
      </c>
      <c r="C797" s="12" t="n">
        <f aca="false">IF(NOT(ISNUMBER(B797)),"",ROUND((INDEX(BP!$D$5:$D$9,MATCH(B797,BP!$A$5:$A$9,1))-INDEX(BP!$C$5:$C$9,MATCH(B797,BP!$A$5:$A$9,1)))/(INDEX(BP!$B$5:$B$9,MATCH(B797,BP!$A$5:$A$9,1))-INDEX(BP!$A$5:$A$9,MATCH(B797,BP!$A$5:$A$9,1)))*(B797-INDEX(BP!$A$5:$A$9,MATCH(B797,BP!$A$5:$A$9,1)))+INDEX(BP!$C$5:$C$9,MATCH(B797,BP!$A$5:$A$9,1)),0))</f>
        <v>70</v>
      </c>
      <c r="D797" s="12" t="str">
        <f aca="false">IF(NOT(ISNUMBER(C797)),"",INDEX(BP!$F$5:$F$9,MATCH(C797,BP!$E$5:$E$9,1)))</f>
        <v>ปานกลาง</v>
      </c>
      <c r="E797" s="12" t="n">
        <f aca="false">YEAR(A797)</f>
        <v>2023</v>
      </c>
      <c r="F797" s="12" t="n">
        <f aca="false">MONTH(A797)</f>
        <v>3</v>
      </c>
      <c r="G797" s="12" t="n">
        <v>20.7</v>
      </c>
      <c r="H797" s="12" t="n">
        <v>42.5</v>
      </c>
      <c r="I797" s="12" t="n">
        <v>92</v>
      </c>
      <c r="J797" s="12" t="n">
        <v>0.6</v>
      </c>
      <c r="K797" s="12" t="n">
        <v>0</v>
      </c>
      <c r="L797" s="12" t="s">
        <v>36</v>
      </c>
    </row>
    <row r="798" customFormat="false" ht="15" hidden="false" customHeight="false" outlineLevel="0" collapsed="false">
      <c r="A798" s="11" t="n">
        <v>44993</v>
      </c>
      <c r="B798" s="12" t="n">
        <v>20</v>
      </c>
      <c r="C798" s="12" t="n">
        <f aca="false">IF(NOT(ISNUMBER(B798)),"",ROUND((INDEX(BP!$D$5:$D$9,MATCH(B798,BP!$A$5:$A$9,1))-INDEX(BP!$C$5:$C$9,MATCH(B798,BP!$A$5:$A$9,1)))/(INDEX(BP!$B$5:$B$9,MATCH(B798,BP!$A$5:$A$9,1))-INDEX(BP!$A$5:$A$9,MATCH(B798,BP!$A$5:$A$9,1)))*(B798-INDEX(BP!$A$5:$A$9,MATCH(B798,BP!$A$5:$A$9,1)))+INDEX(BP!$C$5:$C$9,MATCH(B798,BP!$A$5:$A$9,1)),0))</f>
        <v>38</v>
      </c>
      <c r="D798" s="12" t="str">
        <f aca="false">IF(NOT(ISNUMBER(C798)),"",INDEX(BP!$F$5:$F$9,MATCH(C798,BP!$E$5:$E$9,1)))</f>
        <v>ดี</v>
      </c>
      <c r="E798" s="12" t="n">
        <f aca="false">YEAR(A798)</f>
        <v>2023</v>
      </c>
      <c r="F798" s="12" t="n">
        <f aca="false">MONTH(A798)</f>
        <v>3</v>
      </c>
      <c r="G798" s="12" t="n">
        <v>21.5</v>
      </c>
      <c r="H798" s="12" t="n">
        <v>45</v>
      </c>
      <c r="I798" s="12" t="n">
        <v>90</v>
      </c>
      <c r="J798" s="12" t="n">
        <v>0</v>
      </c>
      <c r="K798" s="12" t="n">
        <v>0</v>
      </c>
      <c r="L798" s="12" t="s">
        <v>36</v>
      </c>
    </row>
    <row r="799" customFormat="false" ht="15" hidden="false" customHeight="false" outlineLevel="0" collapsed="false">
      <c r="A799" s="11" t="n">
        <v>44994</v>
      </c>
      <c r="B799" s="12" t="n">
        <v>18</v>
      </c>
      <c r="C799" s="12" t="n">
        <f aca="false">IF(NOT(ISNUMBER(B799)),"",ROUND((INDEX(BP!$D$5:$D$9,MATCH(B799,BP!$A$5:$A$9,1))-INDEX(BP!$C$5:$C$9,MATCH(B799,BP!$A$5:$A$9,1)))/(INDEX(BP!$B$5:$B$9,MATCH(B799,BP!$A$5:$A$9,1))-INDEX(BP!$A$5:$A$9,MATCH(B799,BP!$A$5:$A$9,1)))*(B799-INDEX(BP!$A$5:$A$9,MATCH(B799,BP!$A$5:$A$9,1)))+INDEX(BP!$C$5:$C$9,MATCH(B799,BP!$A$5:$A$9,1)),0))</f>
        <v>33</v>
      </c>
      <c r="D799" s="12" t="str">
        <f aca="false">IF(NOT(ISNUMBER(C799)),"",INDEX(BP!$F$5:$F$9,MATCH(C799,BP!$E$5:$E$9,1)))</f>
        <v>ดี</v>
      </c>
      <c r="E799" s="12" t="n">
        <f aca="false">YEAR(A799)</f>
        <v>2023</v>
      </c>
      <c r="F799" s="12" t="n">
        <f aca="false">MONTH(A799)</f>
        <v>3</v>
      </c>
      <c r="G799" s="12" t="n">
        <v>23</v>
      </c>
      <c r="H799" s="12" t="n">
        <v>47.5</v>
      </c>
      <c r="I799" s="12" t="n">
        <v>89</v>
      </c>
      <c r="J799" s="12" t="n">
        <v>0.2</v>
      </c>
      <c r="K799" s="12" t="n">
        <v>0.8</v>
      </c>
      <c r="L799" s="12" t="s">
        <v>36</v>
      </c>
    </row>
    <row r="800" customFormat="false" ht="15" hidden="false" customHeight="false" outlineLevel="0" collapsed="false">
      <c r="A800" s="11" t="n">
        <v>44995</v>
      </c>
      <c r="B800" s="12" t="n">
        <v>17</v>
      </c>
      <c r="C800" s="12" t="n">
        <f aca="false">IF(NOT(ISNUMBER(B800)),"",ROUND((INDEX(BP!$D$5:$D$9,MATCH(B800,BP!$A$5:$A$9,1))-INDEX(BP!$C$5:$C$9,MATCH(B800,BP!$A$5:$A$9,1)))/(INDEX(BP!$B$5:$B$9,MATCH(B800,BP!$A$5:$A$9,1))-INDEX(BP!$A$5:$A$9,MATCH(B800,BP!$A$5:$A$9,1)))*(B800-INDEX(BP!$A$5:$A$9,MATCH(B800,BP!$A$5:$A$9,1)))+INDEX(BP!$C$5:$C$9,MATCH(B800,BP!$A$5:$A$9,1)),0))</f>
        <v>31</v>
      </c>
      <c r="D800" s="12" t="str">
        <f aca="false">IF(NOT(ISNUMBER(C800)),"",INDEX(BP!$F$5:$F$9,MATCH(C800,BP!$E$5:$E$9,1)))</f>
        <v>ดี</v>
      </c>
      <c r="E800" s="12" t="n">
        <f aca="false">YEAR(A800)</f>
        <v>2023</v>
      </c>
      <c r="F800" s="12" t="n">
        <f aca="false">MONTH(A800)</f>
        <v>3</v>
      </c>
      <c r="G800" s="12" t="n">
        <v>20.6</v>
      </c>
      <c r="H800" s="12" t="n">
        <v>43.2</v>
      </c>
      <c r="I800" s="12" t="n">
        <v>80</v>
      </c>
      <c r="J800" s="12" t="n">
        <v>0</v>
      </c>
      <c r="K800" s="12" t="n">
        <v>0</v>
      </c>
      <c r="L800" s="12" t="s">
        <v>36</v>
      </c>
    </row>
    <row r="801" customFormat="false" ht="15" hidden="false" customHeight="false" outlineLevel="0" collapsed="false">
      <c r="A801" s="11" t="n">
        <v>44996</v>
      </c>
      <c r="B801" s="12" t="n">
        <v>21</v>
      </c>
      <c r="C801" s="12" t="n">
        <f aca="false">IF(NOT(ISNUMBER(B801)),"",ROUND((INDEX(BP!$D$5:$D$9,MATCH(B801,BP!$A$5:$A$9,1))-INDEX(BP!$C$5:$C$9,MATCH(B801,BP!$A$5:$A$9,1)))/(INDEX(BP!$B$5:$B$9,MATCH(B801,BP!$A$5:$A$9,1))-INDEX(BP!$A$5:$A$9,MATCH(B801,BP!$A$5:$A$9,1)))*(B801-INDEX(BP!$A$5:$A$9,MATCH(B801,BP!$A$5:$A$9,1)))+INDEX(BP!$C$5:$C$9,MATCH(B801,BP!$A$5:$A$9,1)),0))</f>
        <v>40</v>
      </c>
      <c r="D801" s="12" t="str">
        <f aca="false">IF(NOT(ISNUMBER(C801)),"",INDEX(BP!$F$5:$F$9,MATCH(C801,BP!$E$5:$E$9,1)))</f>
        <v>ดี</v>
      </c>
      <c r="E801" s="12" t="n">
        <f aca="false">YEAR(A801)</f>
        <v>2023</v>
      </c>
      <c r="F801" s="12" t="n">
        <f aca="false">MONTH(A801)</f>
        <v>3</v>
      </c>
      <c r="G801" s="12" t="n">
        <v>19.6</v>
      </c>
      <c r="H801" s="12" t="n">
        <v>41.4</v>
      </c>
      <c r="I801" s="12" t="n">
        <v>84</v>
      </c>
      <c r="J801" s="12" t="n">
        <v>0</v>
      </c>
      <c r="K801" s="12" t="n">
        <v>0</v>
      </c>
      <c r="L801" s="12" t="s">
        <v>35</v>
      </c>
    </row>
    <row r="802" customFormat="false" ht="15" hidden="false" customHeight="false" outlineLevel="0" collapsed="false">
      <c r="A802" s="11" t="n">
        <v>44997</v>
      </c>
      <c r="B802" s="12" t="n">
        <v>24</v>
      </c>
      <c r="C802" s="12" t="n">
        <f aca="false">IF(NOT(ISNUMBER(B802)),"",ROUND((INDEX(BP!$D$5:$D$9,MATCH(B802,BP!$A$5:$A$9,1))-INDEX(BP!$C$5:$C$9,MATCH(B802,BP!$A$5:$A$9,1)))/(INDEX(BP!$B$5:$B$9,MATCH(B802,BP!$A$5:$A$9,1))-INDEX(BP!$A$5:$A$9,MATCH(B802,BP!$A$5:$A$9,1)))*(B802-INDEX(BP!$A$5:$A$9,MATCH(B802,BP!$A$5:$A$9,1)))+INDEX(BP!$C$5:$C$9,MATCH(B802,BP!$A$5:$A$9,1)),0))</f>
        <v>48</v>
      </c>
      <c r="D802" s="12" t="str">
        <f aca="false">IF(NOT(ISNUMBER(C802)),"",INDEX(BP!$F$5:$F$9,MATCH(C802,BP!$E$5:$E$9,1)))</f>
        <v>ดี</v>
      </c>
      <c r="E802" s="12" t="n">
        <f aca="false">YEAR(A802)</f>
        <v>2023</v>
      </c>
      <c r="F802" s="12" t="n">
        <f aca="false">MONTH(A802)</f>
        <v>3</v>
      </c>
      <c r="G802" s="12" t="n">
        <v>19.3</v>
      </c>
      <c r="H802" s="12" t="n">
        <v>41.8</v>
      </c>
      <c r="I802" s="12" t="n">
        <v>84</v>
      </c>
      <c r="J802" s="12" t="n">
        <v>0.1</v>
      </c>
      <c r="K802" s="12" t="n">
        <v>0</v>
      </c>
      <c r="L802" s="12" t="s">
        <v>35</v>
      </c>
    </row>
    <row r="803" customFormat="false" ht="15" hidden="false" customHeight="false" outlineLevel="0" collapsed="false">
      <c r="A803" s="11" t="n">
        <v>44998</v>
      </c>
      <c r="B803" s="12" t="n">
        <v>24</v>
      </c>
      <c r="C803" s="12" t="n">
        <f aca="false">IF(NOT(ISNUMBER(B803)),"",ROUND((INDEX(BP!$D$5:$D$9,MATCH(B803,BP!$A$5:$A$9,1))-INDEX(BP!$C$5:$C$9,MATCH(B803,BP!$A$5:$A$9,1)))/(INDEX(BP!$B$5:$B$9,MATCH(B803,BP!$A$5:$A$9,1))-INDEX(BP!$A$5:$A$9,MATCH(B803,BP!$A$5:$A$9,1)))*(B803-INDEX(BP!$A$5:$A$9,MATCH(B803,BP!$A$5:$A$9,1)))+INDEX(BP!$C$5:$C$9,MATCH(B803,BP!$A$5:$A$9,1)),0))</f>
        <v>48</v>
      </c>
      <c r="D803" s="12" t="str">
        <f aca="false">IF(NOT(ISNUMBER(C803)),"",INDEX(BP!$F$5:$F$9,MATCH(C803,BP!$E$5:$E$9,1)))</f>
        <v>ดี</v>
      </c>
      <c r="E803" s="12" t="n">
        <f aca="false">YEAR(A803)</f>
        <v>2023</v>
      </c>
      <c r="F803" s="12" t="n">
        <f aca="false">MONTH(A803)</f>
        <v>3</v>
      </c>
      <c r="G803" s="12" t="n">
        <v>26.7</v>
      </c>
      <c r="H803" s="12" t="n">
        <v>54</v>
      </c>
      <c r="I803" s="12" t="n">
        <v>98</v>
      </c>
      <c r="J803" s="12" t="n">
        <v>0</v>
      </c>
      <c r="K803" s="12" t="n">
        <v>0</v>
      </c>
      <c r="L803" s="12" t="s">
        <v>36</v>
      </c>
    </row>
    <row r="804" customFormat="false" ht="15" hidden="false" customHeight="false" outlineLevel="0" collapsed="false">
      <c r="A804" s="11" t="n">
        <v>44999</v>
      </c>
      <c r="B804" s="12" t="n">
        <v>23</v>
      </c>
      <c r="C804" s="12" t="n">
        <f aca="false">IF(NOT(ISNUMBER(B804)),"",ROUND((INDEX(BP!$D$5:$D$9,MATCH(B804,BP!$A$5:$A$9,1))-INDEX(BP!$C$5:$C$9,MATCH(B804,BP!$A$5:$A$9,1)))/(INDEX(BP!$B$5:$B$9,MATCH(B804,BP!$A$5:$A$9,1))-INDEX(BP!$A$5:$A$9,MATCH(B804,BP!$A$5:$A$9,1)))*(B804-INDEX(BP!$A$5:$A$9,MATCH(B804,BP!$A$5:$A$9,1)))+INDEX(BP!$C$5:$C$9,MATCH(B804,BP!$A$5:$A$9,1)),0))</f>
        <v>45</v>
      </c>
      <c r="D804" s="12" t="str">
        <f aca="false">IF(NOT(ISNUMBER(C804)),"",INDEX(BP!$F$5:$F$9,MATCH(C804,BP!$E$5:$E$9,1)))</f>
        <v>ดี</v>
      </c>
      <c r="E804" s="12" t="n">
        <f aca="false">YEAR(A804)</f>
        <v>2023</v>
      </c>
      <c r="F804" s="12" t="n">
        <f aca="false">MONTH(A804)</f>
        <v>3</v>
      </c>
      <c r="G804" s="12" t="n">
        <v>26.1</v>
      </c>
      <c r="H804" s="12" t="n">
        <v>52.9</v>
      </c>
      <c r="I804" s="12" t="n">
        <v>97</v>
      </c>
      <c r="J804" s="12" t="n">
        <v>0</v>
      </c>
      <c r="K804" s="12" t="n">
        <v>0</v>
      </c>
      <c r="L804" s="12" t="s">
        <v>36</v>
      </c>
    </row>
    <row r="805" customFormat="false" ht="15" hidden="false" customHeight="false" outlineLevel="0" collapsed="false">
      <c r="A805" s="11" t="n">
        <v>45000</v>
      </c>
      <c r="B805" s="12" t="n">
        <v>24</v>
      </c>
      <c r="C805" s="12" t="n">
        <f aca="false">IF(NOT(ISNUMBER(B805)),"",ROUND((INDEX(BP!$D$5:$D$9,MATCH(B805,BP!$A$5:$A$9,1))-INDEX(BP!$C$5:$C$9,MATCH(B805,BP!$A$5:$A$9,1)))/(INDEX(BP!$B$5:$B$9,MATCH(B805,BP!$A$5:$A$9,1))-INDEX(BP!$A$5:$A$9,MATCH(B805,BP!$A$5:$A$9,1)))*(B805-INDEX(BP!$A$5:$A$9,MATCH(B805,BP!$A$5:$A$9,1)))+INDEX(BP!$C$5:$C$9,MATCH(B805,BP!$A$5:$A$9,1)),0))</f>
        <v>48</v>
      </c>
      <c r="D805" s="12" t="str">
        <f aca="false">IF(NOT(ISNUMBER(C805)),"",INDEX(BP!$F$5:$F$9,MATCH(C805,BP!$E$5:$E$9,1)))</f>
        <v>ดี</v>
      </c>
      <c r="E805" s="12" t="n">
        <f aca="false">YEAR(A805)</f>
        <v>2023</v>
      </c>
      <c r="F805" s="12" t="n">
        <f aca="false">MONTH(A805)</f>
        <v>3</v>
      </c>
      <c r="G805" s="12" t="n">
        <v>21</v>
      </c>
      <c r="H805" s="12" t="n">
        <v>45</v>
      </c>
      <c r="I805" s="12" t="n">
        <v>91</v>
      </c>
      <c r="J805" s="12" t="n">
        <v>0</v>
      </c>
      <c r="K805" s="12" t="n">
        <v>0</v>
      </c>
      <c r="L805" s="12" t="s">
        <v>36</v>
      </c>
    </row>
    <row r="806" customFormat="false" ht="15" hidden="false" customHeight="false" outlineLevel="0" collapsed="false">
      <c r="A806" s="11" t="n">
        <v>45001</v>
      </c>
      <c r="B806" s="12" t="n">
        <v>19</v>
      </c>
      <c r="C806" s="12" t="n">
        <f aca="false">IF(NOT(ISNUMBER(B806)),"",ROUND((INDEX(BP!$D$5:$D$9,MATCH(B806,BP!$A$5:$A$9,1))-INDEX(BP!$C$5:$C$9,MATCH(B806,BP!$A$5:$A$9,1)))/(INDEX(BP!$B$5:$B$9,MATCH(B806,BP!$A$5:$A$9,1))-INDEX(BP!$A$5:$A$9,MATCH(B806,BP!$A$5:$A$9,1)))*(B806-INDEX(BP!$A$5:$A$9,MATCH(B806,BP!$A$5:$A$9,1)))+INDEX(BP!$C$5:$C$9,MATCH(B806,BP!$A$5:$A$9,1)),0))</f>
        <v>35</v>
      </c>
      <c r="D806" s="12" t="str">
        <f aca="false">IF(NOT(ISNUMBER(C806)),"",INDEX(BP!$F$5:$F$9,MATCH(C806,BP!$E$5:$E$9,1)))</f>
        <v>ดี</v>
      </c>
      <c r="E806" s="12" t="n">
        <f aca="false">YEAR(A806)</f>
        <v>2023</v>
      </c>
      <c r="F806" s="12" t="n">
        <f aca="false">MONTH(A806)</f>
        <v>3</v>
      </c>
      <c r="G806" s="12" t="n">
        <v>21.4</v>
      </c>
      <c r="H806" s="12" t="n">
        <v>44.6</v>
      </c>
      <c r="I806" s="12" t="n">
        <v>86</v>
      </c>
      <c r="J806" s="12" t="n">
        <v>0.2</v>
      </c>
      <c r="K806" s="12" t="n">
        <v>0</v>
      </c>
      <c r="L806" s="12" t="s">
        <v>36</v>
      </c>
    </row>
    <row r="807" customFormat="false" ht="15" hidden="false" customHeight="false" outlineLevel="0" collapsed="false">
      <c r="A807" s="11" t="n">
        <v>45002</v>
      </c>
      <c r="B807" s="12" t="n">
        <v>15</v>
      </c>
      <c r="C807" s="12" t="n">
        <f aca="false">IF(NOT(ISNUMBER(B807)),"",ROUND((INDEX(BP!$D$5:$D$9,MATCH(B807,BP!$A$5:$A$9,1))-INDEX(BP!$C$5:$C$9,MATCH(B807,BP!$A$5:$A$9,1)))/(INDEX(BP!$B$5:$B$9,MATCH(B807,BP!$A$5:$A$9,1))-INDEX(BP!$A$5:$A$9,MATCH(B807,BP!$A$5:$A$9,1)))*(B807-INDEX(BP!$A$5:$A$9,MATCH(B807,BP!$A$5:$A$9,1)))+INDEX(BP!$C$5:$C$9,MATCH(B807,BP!$A$5:$A$9,1)),0))</f>
        <v>25</v>
      </c>
      <c r="D807" s="12" t="str">
        <f aca="false">IF(NOT(ISNUMBER(C807)),"",INDEX(BP!$F$5:$F$9,MATCH(C807,BP!$E$5:$E$9,1)))</f>
        <v>ดีมาก</v>
      </c>
      <c r="E807" s="12" t="n">
        <f aca="false">YEAR(A807)</f>
        <v>2023</v>
      </c>
      <c r="F807" s="12" t="n">
        <f aca="false">MONTH(A807)</f>
        <v>3</v>
      </c>
      <c r="G807" s="12" t="n">
        <v>21.5</v>
      </c>
      <c r="H807" s="12" t="n">
        <v>45.4</v>
      </c>
      <c r="I807" s="12" t="n">
        <v>89</v>
      </c>
      <c r="J807" s="12" t="n">
        <v>0.2</v>
      </c>
      <c r="K807" s="12" t="n">
        <v>0</v>
      </c>
      <c r="L807" s="12" t="s">
        <v>36</v>
      </c>
    </row>
    <row r="808" customFormat="false" ht="15" hidden="false" customHeight="false" outlineLevel="0" collapsed="false">
      <c r="A808" s="11" t="n">
        <v>45003</v>
      </c>
      <c r="B808" s="12" t="n">
        <v>16</v>
      </c>
      <c r="C808" s="12" t="n">
        <f aca="false">IF(NOT(ISNUMBER(B808)),"",ROUND((INDEX(BP!$D$5:$D$9,MATCH(B808,BP!$A$5:$A$9,1))-INDEX(BP!$C$5:$C$9,MATCH(B808,BP!$A$5:$A$9,1)))/(INDEX(BP!$B$5:$B$9,MATCH(B808,BP!$A$5:$A$9,1))-INDEX(BP!$A$5:$A$9,MATCH(B808,BP!$A$5:$A$9,1)))*(B808-INDEX(BP!$A$5:$A$9,MATCH(B808,BP!$A$5:$A$9,1)))+INDEX(BP!$C$5:$C$9,MATCH(B808,BP!$A$5:$A$9,1)),0))</f>
        <v>28</v>
      </c>
      <c r="D808" s="12" t="str">
        <f aca="false">IF(NOT(ISNUMBER(C808)),"",INDEX(BP!$F$5:$F$9,MATCH(C808,BP!$E$5:$E$9,1)))</f>
        <v>ดี</v>
      </c>
      <c r="E808" s="12" t="n">
        <f aca="false">YEAR(A808)</f>
        <v>2023</v>
      </c>
      <c r="F808" s="12" t="n">
        <f aca="false">MONTH(A808)</f>
        <v>3</v>
      </c>
      <c r="G808" s="12" t="n">
        <v>19.2</v>
      </c>
      <c r="H808" s="12" t="n">
        <v>41.8</v>
      </c>
      <c r="I808" s="12" t="n">
        <v>85</v>
      </c>
      <c r="J808" s="12" t="n">
        <v>0</v>
      </c>
      <c r="K808" s="12" t="n">
        <v>0</v>
      </c>
      <c r="L808" s="12" t="s">
        <v>35</v>
      </c>
    </row>
    <row r="809" customFormat="false" ht="15" hidden="false" customHeight="false" outlineLevel="0" collapsed="false">
      <c r="A809" s="11" t="n">
        <v>45004</v>
      </c>
      <c r="B809" s="12" t="n">
        <v>16</v>
      </c>
      <c r="C809" s="12" t="n">
        <f aca="false">IF(NOT(ISNUMBER(B809)),"",ROUND((INDEX(BP!$D$5:$D$9,MATCH(B809,BP!$A$5:$A$9,1))-INDEX(BP!$C$5:$C$9,MATCH(B809,BP!$A$5:$A$9,1)))/(INDEX(BP!$B$5:$B$9,MATCH(B809,BP!$A$5:$A$9,1))-INDEX(BP!$A$5:$A$9,MATCH(B809,BP!$A$5:$A$9,1)))*(B809-INDEX(BP!$A$5:$A$9,MATCH(B809,BP!$A$5:$A$9,1)))+INDEX(BP!$C$5:$C$9,MATCH(B809,BP!$A$5:$A$9,1)),0))</f>
        <v>28</v>
      </c>
      <c r="D809" s="12" t="str">
        <f aca="false">IF(NOT(ISNUMBER(C809)),"",INDEX(BP!$F$5:$F$9,MATCH(C809,BP!$E$5:$E$9,1)))</f>
        <v>ดี</v>
      </c>
      <c r="E809" s="12" t="n">
        <f aca="false">YEAR(A809)</f>
        <v>2023</v>
      </c>
      <c r="F809" s="12" t="n">
        <f aca="false">MONTH(A809)</f>
        <v>3</v>
      </c>
      <c r="G809" s="12" t="n">
        <v>19.3</v>
      </c>
      <c r="H809" s="12" t="n">
        <v>42.8</v>
      </c>
      <c r="I809" s="12" t="n">
        <v>86</v>
      </c>
      <c r="J809" s="12" t="n">
        <v>0.1</v>
      </c>
      <c r="K809" s="12" t="n">
        <v>0</v>
      </c>
      <c r="L809" s="12" t="s">
        <v>35</v>
      </c>
    </row>
    <row r="810" customFormat="false" ht="15" hidden="false" customHeight="false" outlineLevel="0" collapsed="false">
      <c r="A810" s="11" t="n">
        <v>45005</v>
      </c>
      <c r="B810" s="12" t="n">
        <v>16</v>
      </c>
      <c r="C810" s="12" t="n">
        <f aca="false">IF(NOT(ISNUMBER(B810)),"",ROUND((INDEX(BP!$D$5:$D$9,MATCH(B810,BP!$A$5:$A$9,1))-INDEX(BP!$C$5:$C$9,MATCH(B810,BP!$A$5:$A$9,1)))/(INDEX(BP!$B$5:$B$9,MATCH(B810,BP!$A$5:$A$9,1))-INDEX(BP!$A$5:$A$9,MATCH(B810,BP!$A$5:$A$9,1)))*(B810-INDEX(BP!$A$5:$A$9,MATCH(B810,BP!$A$5:$A$9,1)))+INDEX(BP!$C$5:$C$9,MATCH(B810,BP!$A$5:$A$9,1)),0))</f>
        <v>28</v>
      </c>
      <c r="D810" s="12" t="str">
        <f aca="false">IF(NOT(ISNUMBER(C810)),"",INDEX(BP!$F$5:$F$9,MATCH(C810,BP!$E$5:$E$9,1)))</f>
        <v>ดี</v>
      </c>
      <c r="E810" s="12" t="n">
        <f aca="false">YEAR(A810)</f>
        <v>2023</v>
      </c>
      <c r="F810" s="12" t="n">
        <f aca="false">MONTH(A810)</f>
        <v>3</v>
      </c>
      <c r="G810" s="12" t="n">
        <v>17.9</v>
      </c>
      <c r="H810" s="12" t="n">
        <v>40</v>
      </c>
      <c r="I810" s="12" t="n">
        <v>78</v>
      </c>
      <c r="J810" s="12" t="n">
        <v>0.3</v>
      </c>
      <c r="K810" s="12" t="n">
        <v>0</v>
      </c>
      <c r="L810" s="12" t="s">
        <v>36</v>
      </c>
    </row>
    <row r="811" customFormat="false" ht="15" hidden="false" customHeight="false" outlineLevel="0" collapsed="false">
      <c r="A811" s="11" t="n">
        <v>45006</v>
      </c>
      <c r="B811" s="12" t="n">
        <v>14</v>
      </c>
      <c r="C811" s="12" t="n">
        <f aca="false">IF(NOT(ISNUMBER(B811)),"",ROUND((INDEX(BP!$D$5:$D$9,MATCH(B811,BP!$A$5:$A$9,1))-INDEX(BP!$C$5:$C$9,MATCH(B811,BP!$A$5:$A$9,1)))/(INDEX(BP!$B$5:$B$9,MATCH(B811,BP!$A$5:$A$9,1))-INDEX(BP!$A$5:$A$9,MATCH(B811,BP!$A$5:$A$9,1)))*(B811-INDEX(BP!$A$5:$A$9,MATCH(B811,BP!$A$5:$A$9,1)))+INDEX(BP!$C$5:$C$9,MATCH(B811,BP!$A$5:$A$9,1)),0))</f>
        <v>23</v>
      </c>
      <c r="D811" s="12" t="str">
        <f aca="false">IF(NOT(ISNUMBER(C811)),"",INDEX(BP!$F$5:$F$9,MATCH(C811,BP!$E$5:$E$9,1)))</f>
        <v>ดีมาก</v>
      </c>
      <c r="E811" s="12" t="n">
        <f aca="false">YEAR(A811)</f>
        <v>2023</v>
      </c>
      <c r="F811" s="12" t="n">
        <f aca="false">MONTH(A811)</f>
        <v>3</v>
      </c>
      <c r="G811" s="12" t="n">
        <v>15.2</v>
      </c>
      <c r="H811" s="12" t="n">
        <v>34.6</v>
      </c>
      <c r="I811" s="12" t="n">
        <v>84</v>
      </c>
      <c r="J811" s="12" t="n">
        <v>0.2</v>
      </c>
      <c r="K811" s="12" t="n">
        <v>0</v>
      </c>
      <c r="L811" s="12" t="s">
        <v>36</v>
      </c>
    </row>
    <row r="812" customFormat="false" ht="15" hidden="false" customHeight="false" outlineLevel="0" collapsed="false">
      <c r="A812" s="11" t="n">
        <v>45007</v>
      </c>
      <c r="B812" s="12" t="n">
        <v>16</v>
      </c>
      <c r="C812" s="12" t="n">
        <f aca="false">IF(NOT(ISNUMBER(B812)),"",ROUND((INDEX(BP!$D$5:$D$9,MATCH(B812,BP!$A$5:$A$9,1))-INDEX(BP!$C$5:$C$9,MATCH(B812,BP!$A$5:$A$9,1)))/(INDEX(BP!$B$5:$B$9,MATCH(B812,BP!$A$5:$A$9,1))-INDEX(BP!$A$5:$A$9,MATCH(B812,BP!$A$5:$A$9,1)))*(B812-INDEX(BP!$A$5:$A$9,MATCH(B812,BP!$A$5:$A$9,1)))+INDEX(BP!$C$5:$C$9,MATCH(B812,BP!$A$5:$A$9,1)),0))</f>
        <v>28</v>
      </c>
      <c r="D812" s="12" t="str">
        <f aca="false">IF(NOT(ISNUMBER(C812)),"",INDEX(BP!$F$5:$F$9,MATCH(C812,BP!$E$5:$E$9,1)))</f>
        <v>ดี</v>
      </c>
      <c r="E812" s="12" t="n">
        <f aca="false">YEAR(A812)</f>
        <v>2023</v>
      </c>
      <c r="F812" s="12" t="n">
        <f aca="false">MONTH(A812)</f>
        <v>3</v>
      </c>
      <c r="G812" s="12" t="n">
        <v>13.7</v>
      </c>
      <c r="H812" s="12" t="n">
        <v>33.1</v>
      </c>
      <c r="I812" s="12" t="n">
        <v>83</v>
      </c>
      <c r="J812" s="12" t="n">
        <v>0.2</v>
      </c>
      <c r="K812" s="12" t="n">
        <v>0</v>
      </c>
      <c r="L812" s="12" t="s">
        <v>36</v>
      </c>
    </row>
    <row r="813" customFormat="false" ht="15" hidden="false" customHeight="false" outlineLevel="0" collapsed="false">
      <c r="A813" s="11" t="n">
        <v>45008</v>
      </c>
      <c r="B813" s="12" t="n">
        <v>16</v>
      </c>
      <c r="C813" s="12" t="n">
        <f aca="false">IF(NOT(ISNUMBER(B813)),"",ROUND((INDEX(BP!$D$5:$D$9,MATCH(B813,BP!$A$5:$A$9,1))-INDEX(BP!$C$5:$C$9,MATCH(B813,BP!$A$5:$A$9,1)))/(INDEX(BP!$B$5:$B$9,MATCH(B813,BP!$A$5:$A$9,1))-INDEX(BP!$A$5:$A$9,MATCH(B813,BP!$A$5:$A$9,1)))*(B813-INDEX(BP!$A$5:$A$9,MATCH(B813,BP!$A$5:$A$9,1)))+INDEX(BP!$C$5:$C$9,MATCH(B813,BP!$A$5:$A$9,1)),0))</f>
        <v>28</v>
      </c>
      <c r="D813" s="12" t="str">
        <f aca="false">IF(NOT(ISNUMBER(C813)),"",INDEX(BP!$F$5:$F$9,MATCH(C813,BP!$E$5:$E$9,1)))</f>
        <v>ดี</v>
      </c>
      <c r="E813" s="12" t="n">
        <f aca="false">YEAR(A813)</f>
        <v>2023</v>
      </c>
      <c r="F813" s="12" t="n">
        <f aca="false">MONTH(A813)</f>
        <v>3</v>
      </c>
      <c r="G813" s="12" t="n">
        <v>14.2</v>
      </c>
      <c r="H813" s="12" t="n">
        <v>32.4</v>
      </c>
      <c r="I813" s="12" t="n">
        <v>104</v>
      </c>
      <c r="J813" s="12" t="n">
        <v>0.3</v>
      </c>
      <c r="K813" s="12" t="n">
        <v>0</v>
      </c>
      <c r="L813" s="12" t="s">
        <v>36</v>
      </c>
    </row>
    <row r="814" customFormat="false" ht="15" hidden="false" customHeight="false" outlineLevel="0" collapsed="false">
      <c r="A814" s="11" t="n">
        <v>45009</v>
      </c>
      <c r="B814" s="12" t="n">
        <v>21</v>
      </c>
      <c r="C814" s="12" t="n">
        <f aca="false">IF(NOT(ISNUMBER(B814)),"",ROUND((INDEX(BP!$D$5:$D$9,MATCH(B814,BP!$A$5:$A$9,1))-INDEX(BP!$C$5:$C$9,MATCH(B814,BP!$A$5:$A$9,1)))/(INDEX(BP!$B$5:$B$9,MATCH(B814,BP!$A$5:$A$9,1))-INDEX(BP!$A$5:$A$9,MATCH(B814,BP!$A$5:$A$9,1)))*(B814-INDEX(BP!$A$5:$A$9,MATCH(B814,BP!$A$5:$A$9,1)))+INDEX(BP!$C$5:$C$9,MATCH(B814,BP!$A$5:$A$9,1)),0))</f>
        <v>40</v>
      </c>
      <c r="D814" s="12" t="str">
        <f aca="false">IF(NOT(ISNUMBER(C814)),"",INDEX(BP!$F$5:$F$9,MATCH(C814,BP!$E$5:$E$9,1)))</f>
        <v>ดี</v>
      </c>
      <c r="E814" s="12" t="n">
        <f aca="false">YEAR(A814)</f>
        <v>2023</v>
      </c>
      <c r="F814" s="12" t="n">
        <f aca="false">MONTH(A814)</f>
        <v>3</v>
      </c>
      <c r="G814" s="12" t="n">
        <v>12.9</v>
      </c>
      <c r="H814" s="12" t="n">
        <v>31.3</v>
      </c>
      <c r="I814" s="12" t="n">
        <v>67</v>
      </c>
      <c r="J814" s="12" t="n">
        <v>0.3</v>
      </c>
      <c r="K814" s="12" t="n">
        <v>0</v>
      </c>
      <c r="L814" s="12" t="s">
        <v>36</v>
      </c>
    </row>
    <row r="815" customFormat="false" ht="15" hidden="false" customHeight="false" outlineLevel="0" collapsed="false">
      <c r="A815" s="11" t="n">
        <v>45010</v>
      </c>
      <c r="B815" s="12" t="n">
        <v>17</v>
      </c>
      <c r="C815" s="12" t="n">
        <f aca="false">IF(NOT(ISNUMBER(B815)),"",ROUND((INDEX(BP!$D$5:$D$9,MATCH(B815,BP!$A$5:$A$9,1))-INDEX(BP!$C$5:$C$9,MATCH(B815,BP!$A$5:$A$9,1)))/(INDEX(BP!$B$5:$B$9,MATCH(B815,BP!$A$5:$A$9,1))-INDEX(BP!$A$5:$A$9,MATCH(B815,BP!$A$5:$A$9,1)))*(B815-INDEX(BP!$A$5:$A$9,MATCH(B815,BP!$A$5:$A$9,1)))+INDEX(BP!$C$5:$C$9,MATCH(B815,BP!$A$5:$A$9,1)),0))</f>
        <v>31</v>
      </c>
      <c r="D815" s="12" t="str">
        <f aca="false">IF(NOT(ISNUMBER(C815)),"",INDEX(BP!$F$5:$F$9,MATCH(C815,BP!$E$5:$E$9,1)))</f>
        <v>ดี</v>
      </c>
      <c r="E815" s="12" t="n">
        <f aca="false">YEAR(A815)</f>
        <v>2023</v>
      </c>
      <c r="F815" s="12" t="n">
        <f aca="false">MONTH(A815)</f>
        <v>3</v>
      </c>
      <c r="G815" s="12" t="n">
        <v>14.1</v>
      </c>
      <c r="H815" s="12" t="n">
        <v>31.3</v>
      </c>
      <c r="I815" s="12" t="n">
        <v>92</v>
      </c>
      <c r="J815" s="12" t="n">
        <v>0</v>
      </c>
      <c r="K815" s="12" t="n">
        <v>0</v>
      </c>
      <c r="L815" s="12" t="s">
        <v>35</v>
      </c>
    </row>
    <row r="816" customFormat="false" ht="15" hidden="false" customHeight="false" outlineLevel="0" collapsed="false">
      <c r="A816" s="11" t="n">
        <v>45011</v>
      </c>
      <c r="B816" s="12" t="n">
        <v>19</v>
      </c>
      <c r="C816" s="12" t="n">
        <f aca="false">IF(NOT(ISNUMBER(B816)),"",ROUND((INDEX(BP!$D$5:$D$9,MATCH(B816,BP!$A$5:$A$9,1))-INDEX(BP!$C$5:$C$9,MATCH(B816,BP!$A$5:$A$9,1)))/(INDEX(BP!$B$5:$B$9,MATCH(B816,BP!$A$5:$A$9,1))-INDEX(BP!$A$5:$A$9,MATCH(B816,BP!$A$5:$A$9,1)))*(B816-INDEX(BP!$A$5:$A$9,MATCH(B816,BP!$A$5:$A$9,1)))+INDEX(BP!$C$5:$C$9,MATCH(B816,BP!$A$5:$A$9,1)),0))</f>
        <v>35</v>
      </c>
      <c r="D816" s="12" t="str">
        <f aca="false">IF(NOT(ISNUMBER(C816)),"",INDEX(BP!$F$5:$F$9,MATCH(C816,BP!$E$5:$E$9,1)))</f>
        <v>ดี</v>
      </c>
      <c r="E816" s="12" t="n">
        <f aca="false">YEAR(A816)</f>
        <v>2023</v>
      </c>
      <c r="F816" s="12" t="n">
        <f aca="false">MONTH(A816)</f>
        <v>3</v>
      </c>
      <c r="G816" s="12" t="n">
        <v>16.5</v>
      </c>
      <c r="H816" s="12" t="n">
        <v>36.4</v>
      </c>
      <c r="I816" s="12" t="n">
        <v>41</v>
      </c>
      <c r="J816" s="12" t="n">
        <v>0</v>
      </c>
      <c r="K816" s="12" t="n">
        <v>0</v>
      </c>
      <c r="L816" s="12" t="s">
        <v>35</v>
      </c>
    </row>
    <row r="817" customFormat="false" ht="15" hidden="false" customHeight="false" outlineLevel="0" collapsed="false">
      <c r="A817" s="11" t="n">
        <v>45012</v>
      </c>
      <c r="B817" s="12" t="n">
        <v>21</v>
      </c>
      <c r="C817" s="12" t="n">
        <f aca="false">IF(NOT(ISNUMBER(B817)),"",ROUND((INDEX(BP!$D$5:$D$9,MATCH(B817,BP!$A$5:$A$9,1))-INDEX(BP!$C$5:$C$9,MATCH(B817,BP!$A$5:$A$9,1)))/(INDEX(BP!$B$5:$B$9,MATCH(B817,BP!$A$5:$A$9,1))-INDEX(BP!$A$5:$A$9,MATCH(B817,BP!$A$5:$A$9,1)))*(B817-INDEX(BP!$A$5:$A$9,MATCH(B817,BP!$A$5:$A$9,1)))+INDEX(BP!$C$5:$C$9,MATCH(B817,BP!$A$5:$A$9,1)),0))</f>
        <v>40</v>
      </c>
      <c r="D817" s="12" t="str">
        <f aca="false">IF(NOT(ISNUMBER(C817)),"",INDEX(BP!$F$5:$F$9,MATCH(C817,BP!$E$5:$E$9,1)))</f>
        <v>ดี</v>
      </c>
      <c r="E817" s="12" t="n">
        <f aca="false">YEAR(A817)</f>
        <v>2023</v>
      </c>
      <c r="F817" s="12" t="n">
        <f aca="false">MONTH(A817)</f>
        <v>3</v>
      </c>
      <c r="G817" s="12" t="n">
        <v>16.6</v>
      </c>
      <c r="H817" s="12" t="n">
        <v>34.2</v>
      </c>
      <c r="I817" s="12" t="n">
        <v>87</v>
      </c>
      <c r="J817" s="12" t="n">
        <v>0</v>
      </c>
      <c r="K817" s="12" t="n">
        <v>0</v>
      </c>
      <c r="L817" s="12" t="s">
        <v>36</v>
      </c>
    </row>
    <row r="818" customFormat="false" ht="15" hidden="false" customHeight="false" outlineLevel="0" collapsed="false">
      <c r="A818" s="11" t="n">
        <v>45013</v>
      </c>
      <c r="B818" s="12" t="n">
        <v>18</v>
      </c>
      <c r="C818" s="12" t="n">
        <f aca="false">IF(NOT(ISNUMBER(B818)),"",ROUND((INDEX(BP!$D$5:$D$9,MATCH(B818,BP!$A$5:$A$9,1))-INDEX(BP!$C$5:$C$9,MATCH(B818,BP!$A$5:$A$9,1)))/(INDEX(BP!$B$5:$B$9,MATCH(B818,BP!$A$5:$A$9,1))-INDEX(BP!$A$5:$A$9,MATCH(B818,BP!$A$5:$A$9,1)))*(B818-INDEX(BP!$A$5:$A$9,MATCH(B818,BP!$A$5:$A$9,1)))+INDEX(BP!$C$5:$C$9,MATCH(B818,BP!$A$5:$A$9,1)),0))</f>
        <v>33</v>
      </c>
      <c r="D818" s="12" t="str">
        <f aca="false">IF(NOT(ISNUMBER(C818)),"",INDEX(BP!$F$5:$F$9,MATCH(C818,BP!$E$5:$E$9,1)))</f>
        <v>ดี</v>
      </c>
      <c r="E818" s="12" t="n">
        <f aca="false">YEAR(A818)</f>
        <v>2023</v>
      </c>
      <c r="F818" s="12" t="n">
        <f aca="false">MONTH(A818)</f>
        <v>3</v>
      </c>
      <c r="G818" s="12" t="n">
        <v>18.2</v>
      </c>
      <c r="H818" s="12" t="n">
        <v>39.6</v>
      </c>
      <c r="I818" s="12" t="n">
        <v>89</v>
      </c>
      <c r="J818" s="12" t="n">
        <v>0.9</v>
      </c>
      <c r="K818" s="12" t="n">
        <v>0</v>
      </c>
      <c r="L818" s="12" t="s">
        <v>36</v>
      </c>
    </row>
    <row r="819" customFormat="false" ht="15" hidden="false" customHeight="false" outlineLevel="0" collapsed="false">
      <c r="A819" s="11" t="n">
        <v>45014</v>
      </c>
      <c r="B819" s="12" t="n">
        <v>14</v>
      </c>
      <c r="C819" s="12" t="n">
        <f aca="false">IF(NOT(ISNUMBER(B819)),"",ROUND((INDEX(BP!$D$5:$D$9,MATCH(B819,BP!$A$5:$A$9,1))-INDEX(BP!$C$5:$C$9,MATCH(B819,BP!$A$5:$A$9,1)))/(INDEX(BP!$B$5:$B$9,MATCH(B819,BP!$A$5:$A$9,1))-INDEX(BP!$A$5:$A$9,MATCH(B819,BP!$A$5:$A$9,1)))*(B819-INDEX(BP!$A$5:$A$9,MATCH(B819,BP!$A$5:$A$9,1)))+INDEX(BP!$C$5:$C$9,MATCH(B819,BP!$A$5:$A$9,1)),0))</f>
        <v>23</v>
      </c>
      <c r="D819" s="12" t="str">
        <f aca="false">IF(NOT(ISNUMBER(C819)),"",INDEX(BP!$F$5:$F$9,MATCH(C819,BP!$E$5:$E$9,1)))</f>
        <v>ดีมาก</v>
      </c>
      <c r="E819" s="12" t="n">
        <f aca="false">YEAR(A819)</f>
        <v>2023</v>
      </c>
      <c r="F819" s="12" t="n">
        <f aca="false">MONTH(A819)</f>
        <v>3</v>
      </c>
      <c r="G819" s="12" t="n">
        <v>17.4</v>
      </c>
      <c r="H819" s="12" t="n">
        <v>39.2</v>
      </c>
      <c r="I819" s="12" t="n">
        <v>85</v>
      </c>
      <c r="J819" s="12" t="n">
        <v>0.5</v>
      </c>
      <c r="K819" s="12" t="n">
        <v>0</v>
      </c>
      <c r="L819" s="12" t="s">
        <v>36</v>
      </c>
    </row>
    <row r="820" customFormat="false" ht="15" hidden="false" customHeight="false" outlineLevel="0" collapsed="false">
      <c r="A820" s="11" t="n">
        <v>45015</v>
      </c>
      <c r="B820" s="12" t="n">
        <v>17</v>
      </c>
      <c r="C820" s="12" t="n">
        <f aca="false">IF(NOT(ISNUMBER(B820)),"",ROUND((INDEX(BP!$D$5:$D$9,MATCH(B820,BP!$A$5:$A$9,1))-INDEX(BP!$C$5:$C$9,MATCH(B820,BP!$A$5:$A$9,1)))/(INDEX(BP!$B$5:$B$9,MATCH(B820,BP!$A$5:$A$9,1))-INDEX(BP!$A$5:$A$9,MATCH(B820,BP!$A$5:$A$9,1)))*(B820-INDEX(BP!$A$5:$A$9,MATCH(B820,BP!$A$5:$A$9,1)))+INDEX(BP!$C$5:$C$9,MATCH(B820,BP!$A$5:$A$9,1)),0))</f>
        <v>31</v>
      </c>
      <c r="D820" s="12" t="str">
        <f aca="false">IF(NOT(ISNUMBER(C820)),"",INDEX(BP!$F$5:$F$9,MATCH(C820,BP!$E$5:$E$9,1)))</f>
        <v>ดี</v>
      </c>
      <c r="E820" s="12" t="n">
        <f aca="false">YEAR(A820)</f>
        <v>2023</v>
      </c>
      <c r="F820" s="12" t="n">
        <f aca="false">MONTH(A820)</f>
        <v>3</v>
      </c>
      <c r="G820" s="12" t="n">
        <v>15.3</v>
      </c>
      <c r="H820" s="12" t="n">
        <v>34.9</v>
      </c>
      <c r="I820" s="12" t="n">
        <v>76</v>
      </c>
      <c r="J820" s="12" t="n">
        <v>0.2</v>
      </c>
      <c r="K820" s="12" t="n">
        <v>0</v>
      </c>
      <c r="L820" s="12" t="s">
        <v>36</v>
      </c>
    </row>
    <row r="821" customFormat="false" ht="15" hidden="false" customHeight="false" outlineLevel="0" collapsed="false">
      <c r="A821" s="11" t="n">
        <v>45016</v>
      </c>
      <c r="B821" s="12" t="n">
        <v>23</v>
      </c>
      <c r="C821" s="12" t="n">
        <f aca="false">IF(NOT(ISNUMBER(B821)),"",ROUND((INDEX(BP!$D$5:$D$9,MATCH(B821,BP!$A$5:$A$9,1))-INDEX(BP!$C$5:$C$9,MATCH(B821,BP!$A$5:$A$9,1)))/(INDEX(BP!$B$5:$B$9,MATCH(B821,BP!$A$5:$A$9,1))-INDEX(BP!$A$5:$A$9,MATCH(B821,BP!$A$5:$A$9,1)))*(B821-INDEX(BP!$A$5:$A$9,MATCH(B821,BP!$A$5:$A$9,1)))+INDEX(BP!$C$5:$C$9,MATCH(B821,BP!$A$5:$A$9,1)),0))</f>
        <v>45</v>
      </c>
      <c r="D821" s="12" t="str">
        <f aca="false">IF(NOT(ISNUMBER(C821)),"",INDEX(BP!$F$5:$F$9,MATCH(C821,BP!$E$5:$E$9,1)))</f>
        <v>ดี</v>
      </c>
      <c r="E821" s="12" t="n">
        <f aca="false">YEAR(A821)</f>
        <v>2023</v>
      </c>
      <c r="F821" s="12" t="n">
        <f aca="false">MONTH(A821)</f>
        <v>3</v>
      </c>
      <c r="G821" s="12" t="n">
        <v>15.8</v>
      </c>
      <c r="H821" s="12" t="n">
        <v>35.6</v>
      </c>
      <c r="I821" s="12" t="n">
        <v>86</v>
      </c>
      <c r="J821" s="12" t="n">
        <v>0</v>
      </c>
      <c r="K821" s="12" t="n">
        <v>0</v>
      </c>
      <c r="L821" s="12" t="s">
        <v>36</v>
      </c>
    </row>
    <row r="822" customFormat="false" ht="15" hidden="false" customHeight="false" outlineLevel="0" collapsed="false">
      <c r="A822" s="11" t="n">
        <v>45017</v>
      </c>
      <c r="B822" s="12" t="n">
        <v>19</v>
      </c>
      <c r="C822" s="12" t="n">
        <f aca="false">IF(NOT(ISNUMBER(B822)),"",ROUND((INDEX(BP!$D$5:$D$9,MATCH(B822,BP!$A$5:$A$9,1))-INDEX(BP!$C$5:$C$9,MATCH(B822,BP!$A$5:$A$9,1)))/(INDEX(BP!$B$5:$B$9,MATCH(B822,BP!$A$5:$A$9,1))-INDEX(BP!$A$5:$A$9,MATCH(B822,BP!$A$5:$A$9,1)))*(B822-INDEX(BP!$A$5:$A$9,MATCH(B822,BP!$A$5:$A$9,1)))+INDEX(BP!$C$5:$C$9,MATCH(B822,BP!$A$5:$A$9,1)),0))</f>
        <v>35</v>
      </c>
      <c r="D822" s="12" t="str">
        <f aca="false">IF(NOT(ISNUMBER(C822)),"",INDEX(BP!$F$5:$F$9,MATCH(C822,BP!$E$5:$E$9,1)))</f>
        <v>ดี</v>
      </c>
      <c r="E822" s="12" t="n">
        <f aca="false">YEAR(A822)</f>
        <v>2023</v>
      </c>
      <c r="F822" s="12" t="n">
        <f aca="false">MONTH(A822)</f>
        <v>4</v>
      </c>
      <c r="G822" s="12" t="n">
        <v>14.5</v>
      </c>
      <c r="H822" s="12" t="n">
        <v>32.4</v>
      </c>
      <c r="I822" s="12" t="n">
        <v>87</v>
      </c>
      <c r="J822" s="12" t="n">
        <v>0</v>
      </c>
      <c r="K822" s="12" t="n">
        <v>0</v>
      </c>
      <c r="L822" s="12" t="s">
        <v>35</v>
      </c>
    </row>
    <row r="823" customFormat="false" ht="15" hidden="false" customHeight="false" outlineLevel="0" collapsed="false">
      <c r="A823" s="11" t="n">
        <v>45018</v>
      </c>
      <c r="B823" s="12" t="n">
        <v>21</v>
      </c>
      <c r="C823" s="12" t="n">
        <f aca="false">IF(NOT(ISNUMBER(B823)),"",ROUND((INDEX(BP!$D$5:$D$9,MATCH(B823,BP!$A$5:$A$9,1))-INDEX(BP!$C$5:$C$9,MATCH(B823,BP!$A$5:$A$9,1)))/(INDEX(BP!$B$5:$B$9,MATCH(B823,BP!$A$5:$A$9,1))-INDEX(BP!$A$5:$A$9,MATCH(B823,BP!$A$5:$A$9,1)))*(B823-INDEX(BP!$A$5:$A$9,MATCH(B823,BP!$A$5:$A$9,1)))+INDEX(BP!$C$5:$C$9,MATCH(B823,BP!$A$5:$A$9,1)),0))</f>
        <v>40</v>
      </c>
      <c r="D823" s="12" t="str">
        <f aca="false">IF(NOT(ISNUMBER(C823)),"",INDEX(BP!$F$5:$F$9,MATCH(C823,BP!$E$5:$E$9,1)))</f>
        <v>ดี</v>
      </c>
      <c r="E823" s="12" t="n">
        <f aca="false">YEAR(A823)</f>
        <v>2023</v>
      </c>
      <c r="F823" s="12" t="n">
        <f aca="false">MONTH(A823)</f>
        <v>4</v>
      </c>
      <c r="G823" s="12" t="n">
        <v>13.5</v>
      </c>
      <c r="H823" s="12" t="n">
        <v>31.3</v>
      </c>
      <c r="I823" s="12" t="n">
        <v>69</v>
      </c>
      <c r="J823" s="12" t="n">
        <v>0.9</v>
      </c>
      <c r="K823" s="12" t="n">
        <v>0</v>
      </c>
      <c r="L823" s="12" t="s">
        <v>35</v>
      </c>
    </row>
    <row r="824" customFormat="false" ht="15" hidden="false" customHeight="false" outlineLevel="0" collapsed="false">
      <c r="A824" s="11" t="n">
        <v>45019</v>
      </c>
      <c r="B824" s="12" t="n">
        <v>22</v>
      </c>
      <c r="C824" s="12" t="n">
        <f aca="false">IF(NOT(ISNUMBER(B824)),"",ROUND((INDEX(BP!$D$5:$D$9,MATCH(B824,BP!$A$5:$A$9,1))-INDEX(BP!$C$5:$C$9,MATCH(B824,BP!$A$5:$A$9,1)))/(INDEX(BP!$B$5:$B$9,MATCH(B824,BP!$A$5:$A$9,1))-INDEX(BP!$A$5:$A$9,MATCH(B824,BP!$A$5:$A$9,1)))*(B824-INDEX(BP!$A$5:$A$9,MATCH(B824,BP!$A$5:$A$9,1)))+INDEX(BP!$C$5:$C$9,MATCH(B824,BP!$A$5:$A$9,1)),0))</f>
        <v>43</v>
      </c>
      <c r="D824" s="12" t="str">
        <f aca="false">IF(NOT(ISNUMBER(C824)),"",INDEX(BP!$F$5:$F$9,MATCH(C824,BP!$E$5:$E$9,1)))</f>
        <v>ดี</v>
      </c>
      <c r="E824" s="12" t="n">
        <f aca="false">YEAR(A824)</f>
        <v>2023</v>
      </c>
      <c r="F824" s="12" t="n">
        <f aca="false">MONTH(A824)</f>
        <v>4</v>
      </c>
      <c r="G824" s="12" t="n">
        <v>14.7</v>
      </c>
      <c r="H824" s="12" t="n">
        <v>31.7</v>
      </c>
      <c r="I824" s="12" t="n">
        <v>234</v>
      </c>
      <c r="J824" s="12" t="n">
        <v>3.1</v>
      </c>
      <c r="K824" s="12" t="n">
        <v>0</v>
      </c>
      <c r="L824" s="12" t="s">
        <v>36</v>
      </c>
    </row>
    <row r="825" customFormat="false" ht="15" hidden="false" customHeight="false" outlineLevel="0" collapsed="false">
      <c r="A825" s="11" t="n">
        <v>45020</v>
      </c>
      <c r="B825" s="12" t="n">
        <v>20</v>
      </c>
      <c r="C825" s="12" t="n">
        <f aca="false">IF(NOT(ISNUMBER(B825)),"",ROUND((INDEX(BP!$D$5:$D$9,MATCH(B825,BP!$A$5:$A$9,1))-INDEX(BP!$C$5:$C$9,MATCH(B825,BP!$A$5:$A$9,1)))/(INDEX(BP!$B$5:$B$9,MATCH(B825,BP!$A$5:$A$9,1))-INDEX(BP!$A$5:$A$9,MATCH(B825,BP!$A$5:$A$9,1)))*(B825-INDEX(BP!$A$5:$A$9,MATCH(B825,BP!$A$5:$A$9,1)))+INDEX(BP!$C$5:$C$9,MATCH(B825,BP!$A$5:$A$9,1)),0))</f>
        <v>38</v>
      </c>
      <c r="D825" s="12" t="str">
        <f aca="false">IF(NOT(ISNUMBER(C825)),"",INDEX(BP!$F$5:$F$9,MATCH(C825,BP!$E$5:$E$9,1)))</f>
        <v>ดี</v>
      </c>
      <c r="E825" s="12" t="n">
        <f aca="false">YEAR(A825)</f>
        <v>2023</v>
      </c>
      <c r="F825" s="12" t="n">
        <f aca="false">MONTH(A825)</f>
        <v>4</v>
      </c>
      <c r="G825" s="12" t="n">
        <v>13.5</v>
      </c>
      <c r="H825" s="12" t="n">
        <v>32.4</v>
      </c>
      <c r="I825" s="12" t="n">
        <v>229</v>
      </c>
      <c r="J825" s="12" t="n">
        <v>0.1</v>
      </c>
      <c r="K825" s="12" t="n">
        <v>11.6</v>
      </c>
      <c r="L825" s="12" t="s">
        <v>36</v>
      </c>
    </row>
    <row r="826" customFormat="false" ht="15" hidden="false" customHeight="false" outlineLevel="0" collapsed="false">
      <c r="A826" s="11" t="n">
        <v>45021</v>
      </c>
      <c r="B826" s="12" t="n">
        <v>20</v>
      </c>
      <c r="C826" s="12" t="n">
        <f aca="false">IF(NOT(ISNUMBER(B826)),"",ROUND((INDEX(BP!$D$5:$D$9,MATCH(B826,BP!$A$5:$A$9,1))-INDEX(BP!$C$5:$C$9,MATCH(B826,BP!$A$5:$A$9,1)))/(INDEX(BP!$B$5:$B$9,MATCH(B826,BP!$A$5:$A$9,1))-INDEX(BP!$A$5:$A$9,MATCH(B826,BP!$A$5:$A$9,1)))*(B826-INDEX(BP!$A$5:$A$9,MATCH(B826,BP!$A$5:$A$9,1)))+INDEX(BP!$C$5:$C$9,MATCH(B826,BP!$A$5:$A$9,1)),0))</f>
        <v>38</v>
      </c>
      <c r="D826" s="12" t="str">
        <f aca="false">IF(NOT(ISNUMBER(C826)),"",INDEX(BP!$F$5:$F$9,MATCH(C826,BP!$E$5:$E$9,1)))</f>
        <v>ดี</v>
      </c>
      <c r="E826" s="12" t="n">
        <f aca="false">YEAR(A826)</f>
        <v>2023</v>
      </c>
      <c r="F826" s="12" t="n">
        <f aca="false">MONTH(A826)</f>
        <v>4</v>
      </c>
      <c r="G826" s="12" t="n">
        <v>13.9</v>
      </c>
      <c r="H826" s="12" t="n">
        <v>38.2</v>
      </c>
      <c r="I826" s="12" t="n">
        <v>228</v>
      </c>
      <c r="J826" s="12" t="n">
        <v>16.2</v>
      </c>
      <c r="K826" s="12" t="n">
        <v>8.2</v>
      </c>
      <c r="L826" s="12" t="s">
        <v>36</v>
      </c>
    </row>
    <row r="827" customFormat="false" ht="15" hidden="false" customHeight="false" outlineLevel="0" collapsed="false">
      <c r="A827" s="11" t="n">
        <v>45022</v>
      </c>
      <c r="B827" s="12" t="n">
        <v>20</v>
      </c>
      <c r="C827" s="12" t="n">
        <f aca="false">IF(NOT(ISNUMBER(B827)),"",ROUND((INDEX(BP!$D$5:$D$9,MATCH(B827,BP!$A$5:$A$9,1))-INDEX(BP!$C$5:$C$9,MATCH(B827,BP!$A$5:$A$9,1)))/(INDEX(BP!$B$5:$B$9,MATCH(B827,BP!$A$5:$A$9,1))-INDEX(BP!$A$5:$A$9,MATCH(B827,BP!$A$5:$A$9,1)))*(B827-INDEX(BP!$A$5:$A$9,MATCH(B827,BP!$A$5:$A$9,1)))+INDEX(BP!$C$5:$C$9,MATCH(B827,BP!$A$5:$A$9,1)),0))</f>
        <v>38</v>
      </c>
      <c r="D827" s="12" t="str">
        <f aca="false">IF(NOT(ISNUMBER(C827)),"",INDEX(BP!$F$5:$F$9,MATCH(C827,BP!$E$5:$E$9,1)))</f>
        <v>ดี</v>
      </c>
      <c r="E827" s="12" t="n">
        <f aca="false">YEAR(A827)</f>
        <v>2023</v>
      </c>
      <c r="F827" s="12" t="n">
        <f aca="false">MONTH(A827)</f>
        <v>4</v>
      </c>
      <c r="G827" s="12" t="n">
        <v>12</v>
      </c>
      <c r="H827" s="12" t="n">
        <v>23</v>
      </c>
      <c r="I827" s="12" t="n">
        <v>212</v>
      </c>
      <c r="J827" s="12" t="n">
        <v>1</v>
      </c>
      <c r="K827" s="12" t="n">
        <v>0</v>
      </c>
      <c r="L827" s="12" t="s">
        <v>34</v>
      </c>
    </row>
    <row r="828" customFormat="false" ht="15" hidden="false" customHeight="false" outlineLevel="0" collapsed="false">
      <c r="A828" s="11" t="n">
        <v>45023</v>
      </c>
      <c r="B828" s="12" t="n">
        <v>22</v>
      </c>
      <c r="C828" s="12" t="n">
        <f aca="false">IF(NOT(ISNUMBER(B828)),"",ROUND((INDEX(BP!$D$5:$D$9,MATCH(B828,BP!$A$5:$A$9,1))-INDEX(BP!$C$5:$C$9,MATCH(B828,BP!$A$5:$A$9,1)))/(INDEX(BP!$B$5:$B$9,MATCH(B828,BP!$A$5:$A$9,1))-INDEX(BP!$A$5:$A$9,MATCH(B828,BP!$A$5:$A$9,1)))*(B828-INDEX(BP!$A$5:$A$9,MATCH(B828,BP!$A$5:$A$9,1)))+INDEX(BP!$C$5:$C$9,MATCH(B828,BP!$A$5:$A$9,1)),0))</f>
        <v>43</v>
      </c>
      <c r="D828" s="12" t="str">
        <f aca="false">IF(NOT(ISNUMBER(C828)),"",INDEX(BP!$F$5:$F$9,MATCH(C828,BP!$E$5:$E$9,1)))</f>
        <v>ดี</v>
      </c>
      <c r="E828" s="12" t="n">
        <f aca="false">YEAR(A828)</f>
        <v>2023</v>
      </c>
      <c r="F828" s="12" t="n">
        <f aca="false">MONTH(A828)</f>
        <v>4</v>
      </c>
      <c r="G828" s="12" t="n">
        <v>13.8</v>
      </c>
      <c r="H828" s="12" t="n">
        <v>30.6</v>
      </c>
      <c r="I828" s="12" t="n">
        <v>79</v>
      </c>
      <c r="J828" s="12" t="n">
        <v>0.1</v>
      </c>
      <c r="K828" s="12" t="n">
        <v>0</v>
      </c>
      <c r="L828" s="12" t="s">
        <v>36</v>
      </c>
    </row>
    <row r="829" customFormat="false" ht="15" hidden="false" customHeight="false" outlineLevel="0" collapsed="false">
      <c r="A829" s="11" t="n">
        <v>45024</v>
      </c>
      <c r="B829" s="12" t="n">
        <v>21</v>
      </c>
      <c r="C829" s="12" t="n">
        <f aca="false">IF(NOT(ISNUMBER(B829)),"",ROUND((INDEX(BP!$D$5:$D$9,MATCH(B829,BP!$A$5:$A$9,1))-INDEX(BP!$C$5:$C$9,MATCH(B829,BP!$A$5:$A$9,1)))/(INDEX(BP!$B$5:$B$9,MATCH(B829,BP!$A$5:$A$9,1))-INDEX(BP!$A$5:$A$9,MATCH(B829,BP!$A$5:$A$9,1)))*(B829-INDEX(BP!$A$5:$A$9,MATCH(B829,BP!$A$5:$A$9,1)))+INDEX(BP!$C$5:$C$9,MATCH(B829,BP!$A$5:$A$9,1)),0))</f>
        <v>40</v>
      </c>
      <c r="D829" s="12" t="str">
        <f aca="false">IF(NOT(ISNUMBER(C829)),"",INDEX(BP!$F$5:$F$9,MATCH(C829,BP!$E$5:$E$9,1)))</f>
        <v>ดี</v>
      </c>
      <c r="E829" s="12" t="n">
        <f aca="false">YEAR(A829)</f>
        <v>2023</v>
      </c>
      <c r="F829" s="12" t="n">
        <f aca="false">MONTH(A829)</f>
        <v>4</v>
      </c>
      <c r="G829" s="12" t="n">
        <v>16.6</v>
      </c>
      <c r="H829" s="12" t="n">
        <v>36.7</v>
      </c>
      <c r="I829" s="12" t="n">
        <v>74</v>
      </c>
      <c r="J829" s="12" t="n">
        <v>1</v>
      </c>
      <c r="K829" s="12" t="n">
        <v>0</v>
      </c>
      <c r="L829" s="12" t="s">
        <v>35</v>
      </c>
    </row>
    <row r="830" customFormat="false" ht="15" hidden="false" customHeight="false" outlineLevel="0" collapsed="false">
      <c r="A830" s="11" t="n">
        <v>45025</v>
      </c>
      <c r="B830" s="12" t="n">
        <v>15</v>
      </c>
      <c r="C830" s="12" t="n">
        <f aca="false">IF(NOT(ISNUMBER(B830)),"",ROUND((INDEX(BP!$D$5:$D$9,MATCH(B830,BP!$A$5:$A$9,1))-INDEX(BP!$C$5:$C$9,MATCH(B830,BP!$A$5:$A$9,1)))/(INDEX(BP!$B$5:$B$9,MATCH(B830,BP!$A$5:$A$9,1))-INDEX(BP!$A$5:$A$9,MATCH(B830,BP!$A$5:$A$9,1)))*(B830-INDEX(BP!$A$5:$A$9,MATCH(B830,BP!$A$5:$A$9,1)))+INDEX(BP!$C$5:$C$9,MATCH(B830,BP!$A$5:$A$9,1)),0))</f>
        <v>25</v>
      </c>
      <c r="D830" s="12" t="str">
        <f aca="false">IF(NOT(ISNUMBER(C830)),"",INDEX(BP!$F$5:$F$9,MATCH(C830,BP!$E$5:$E$9,1)))</f>
        <v>ดีมาก</v>
      </c>
      <c r="E830" s="12" t="n">
        <f aca="false">YEAR(A830)</f>
        <v>2023</v>
      </c>
      <c r="F830" s="12" t="n">
        <f aca="false">MONTH(A830)</f>
        <v>4</v>
      </c>
      <c r="G830" s="12" t="n">
        <v>16.7</v>
      </c>
      <c r="H830" s="12" t="n">
        <v>37.8</v>
      </c>
      <c r="I830" s="12" t="n">
        <v>77</v>
      </c>
      <c r="J830" s="12" t="n">
        <v>0</v>
      </c>
      <c r="K830" s="12" t="n">
        <v>0</v>
      </c>
      <c r="L830" s="12" t="s">
        <v>35</v>
      </c>
    </row>
    <row r="831" customFormat="false" ht="15" hidden="false" customHeight="false" outlineLevel="0" collapsed="false">
      <c r="A831" s="11" t="n">
        <v>45026</v>
      </c>
      <c r="B831" s="12" t="n">
        <v>23</v>
      </c>
      <c r="C831" s="12" t="n">
        <f aca="false">IF(NOT(ISNUMBER(B831)),"",ROUND((INDEX(BP!$D$5:$D$9,MATCH(B831,BP!$A$5:$A$9,1))-INDEX(BP!$C$5:$C$9,MATCH(B831,BP!$A$5:$A$9,1)))/(INDEX(BP!$B$5:$B$9,MATCH(B831,BP!$A$5:$A$9,1))-INDEX(BP!$A$5:$A$9,MATCH(B831,BP!$A$5:$A$9,1)))*(B831-INDEX(BP!$A$5:$A$9,MATCH(B831,BP!$A$5:$A$9,1)))+INDEX(BP!$C$5:$C$9,MATCH(B831,BP!$A$5:$A$9,1)),0))</f>
        <v>45</v>
      </c>
      <c r="D831" s="12" t="str">
        <f aca="false">IF(NOT(ISNUMBER(C831)),"",INDEX(BP!$F$5:$F$9,MATCH(C831,BP!$E$5:$E$9,1)))</f>
        <v>ดี</v>
      </c>
      <c r="E831" s="12" t="n">
        <f aca="false">YEAR(A831)</f>
        <v>2023</v>
      </c>
      <c r="F831" s="12" t="n">
        <f aca="false">MONTH(A831)</f>
        <v>4</v>
      </c>
      <c r="G831" s="12" t="n">
        <v>15.8</v>
      </c>
      <c r="H831" s="12" t="n">
        <v>35.6</v>
      </c>
      <c r="I831" s="12" t="n">
        <v>88</v>
      </c>
      <c r="J831" s="12" t="n">
        <v>0.3</v>
      </c>
      <c r="K831" s="12" t="n">
        <v>0</v>
      </c>
      <c r="L831" s="12" t="s">
        <v>36</v>
      </c>
    </row>
    <row r="832" customFormat="false" ht="15" hidden="false" customHeight="false" outlineLevel="0" collapsed="false">
      <c r="A832" s="11" t="n">
        <v>45027</v>
      </c>
      <c r="B832" s="12" t="n">
        <v>33</v>
      </c>
      <c r="C832" s="12" t="n">
        <f aca="false">IF(NOT(ISNUMBER(B832)),"",ROUND((INDEX(BP!$D$5:$D$9,MATCH(B832,BP!$A$5:$A$9,1))-INDEX(BP!$C$5:$C$9,MATCH(B832,BP!$A$5:$A$9,1)))/(INDEX(BP!$B$5:$B$9,MATCH(B832,BP!$A$5:$A$9,1))-INDEX(BP!$A$5:$A$9,MATCH(B832,BP!$A$5:$A$9,1)))*(B832-INDEX(BP!$A$5:$A$9,MATCH(B832,BP!$A$5:$A$9,1)))+INDEX(BP!$C$5:$C$9,MATCH(B832,BP!$A$5:$A$9,1)),0))</f>
        <v>82</v>
      </c>
      <c r="D832" s="12" t="str">
        <f aca="false">IF(NOT(ISNUMBER(C832)),"",INDEX(BP!$F$5:$F$9,MATCH(C832,BP!$E$5:$E$9,1)))</f>
        <v>ปานกลาง</v>
      </c>
      <c r="E832" s="12" t="n">
        <f aca="false">YEAR(A832)</f>
        <v>2023</v>
      </c>
      <c r="F832" s="12" t="n">
        <f aca="false">MONTH(A832)</f>
        <v>4</v>
      </c>
      <c r="G832" s="12" t="n">
        <v>14.1</v>
      </c>
      <c r="H832" s="12" t="n">
        <v>33.1</v>
      </c>
      <c r="I832" s="12" t="n">
        <v>58</v>
      </c>
      <c r="J832" s="12" t="n">
        <v>0</v>
      </c>
      <c r="K832" s="12" t="n">
        <v>0</v>
      </c>
      <c r="L832" s="12" t="s">
        <v>36</v>
      </c>
    </row>
    <row r="833" customFormat="false" ht="15" hidden="false" customHeight="false" outlineLevel="0" collapsed="false">
      <c r="A833" s="11" t="n">
        <v>45028</v>
      </c>
      <c r="B833" s="12" t="n">
        <v>36</v>
      </c>
      <c r="C833" s="12" t="n">
        <f aca="false">IF(NOT(ISNUMBER(B833)),"",ROUND((INDEX(BP!$D$5:$D$9,MATCH(B833,BP!$A$5:$A$9,1))-INDEX(BP!$C$5:$C$9,MATCH(B833,BP!$A$5:$A$9,1)))/(INDEX(BP!$B$5:$B$9,MATCH(B833,BP!$A$5:$A$9,1))-INDEX(BP!$A$5:$A$9,MATCH(B833,BP!$A$5:$A$9,1)))*(B833-INDEX(BP!$A$5:$A$9,MATCH(B833,BP!$A$5:$A$9,1)))+INDEX(BP!$C$5:$C$9,MATCH(B833,BP!$A$5:$A$9,1)),0))</f>
        <v>94</v>
      </c>
      <c r="D833" s="12" t="str">
        <f aca="false">IF(NOT(ISNUMBER(C833)),"",INDEX(BP!$F$5:$F$9,MATCH(C833,BP!$E$5:$E$9,1)))</f>
        <v>ปานกลาง</v>
      </c>
      <c r="E833" s="12" t="n">
        <f aca="false">YEAR(A833)</f>
        <v>2023</v>
      </c>
      <c r="F833" s="12" t="n">
        <f aca="false">MONTH(A833)</f>
        <v>4</v>
      </c>
      <c r="G833" s="12" t="n">
        <v>14.8</v>
      </c>
      <c r="H833" s="12" t="n">
        <v>32.8</v>
      </c>
      <c r="I833" s="12" t="n">
        <v>111</v>
      </c>
      <c r="J833" s="12" t="n">
        <v>1.5</v>
      </c>
      <c r="K833" s="12" t="n">
        <v>2.2</v>
      </c>
      <c r="L833" s="12" t="s">
        <v>36</v>
      </c>
    </row>
    <row r="834" customFormat="false" ht="15" hidden="false" customHeight="false" outlineLevel="0" collapsed="false">
      <c r="A834" s="11" t="n">
        <v>45029</v>
      </c>
      <c r="B834" s="12" t="n">
        <v>34</v>
      </c>
      <c r="C834" s="12" t="n">
        <f aca="false">IF(NOT(ISNUMBER(B834)),"",ROUND((INDEX(BP!$D$5:$D$9,MATCH(B834,BP!$A$5:$A$9,1))-INDEX(BP!$C$5:$C$9,MATCH(B834,BP!$A$5:$A$9,1)))/(INDEX(BP!$B$5:$B$9,MATCH(B834,BP!$A$5:$A$9,1))-INDEX(BP!$A$5:$A$9,MATCH(B834,BP!$A$5:$A$9,1)))*(B834-INDEX(BP!$A$5:$A$9,MATCH(B834,BP!$A$5:$A$9,1)))+INDEX(BP!$C$5:$C$9,MATCH(B834,BP!$A$5:$A$9,1)),0))</f>
        <v>86</v>
      </c>
      <c r="D834" s="12" t="str">
        <f aca="false">IF(NOT(ISNUMBER(C834)),"",INDEX(BP!$F$5:$F$9,MATCH(C834,BP!$E$5:$E$9,1)))</f>
        <v>ปานกลาง</v>
      </c>
      <c r="E834" s="12" t="n">
        <f aca="false">YEAR(A834)</f>
        <v>2023</v>
      </c>
      <c r="F834" s="12" t="n">
        <f aca="false">MONTH(A834)</f>
        <v>4</v>
      </c>
      <c r="G834" s="12" t="n">
        <v>14.3</v>
      </c>
      <c r="H834" s="12" t="n">
        <v>32.4</v>
      </c>
      <c r="I834" s="12" t="n">
        <v>114</v>
      </c>
      <c r="J834" s="12" t="n">
        <v>2.1</v>
      </c>
      <c r="K834" s="12" t="n">
        <v>18</v>
      </c>
      <c r="L834" s="12" t="s">
        <v>34</v>
      </c>
    </row>
    <row r="835" customFormat="false" ht="15" hidden="false" customHeight="false" outlineLevel="0" collapsed="false">
      <c r="A835" s="11" t="n">
        <v>45030</v>
      </c>
      <c r="B835" s="12" t="n">
        <v>33</v>
      </c>
      <c r="C835" s="12" t="n">
        <f aca="false">IF(NOT(ISNUMBER(B835)),"",ROUND((INDEX(BP!$D$5:$D$9,MATCH(B835,BP!$A$5:$A$9,1))-INDEX(BP!$C$5:$C$9,MATCH(B835,BP!$A$5:$A$9,1)))/(INDEX(BP!$B$5:$B$9,MATCH(B835,BP!$A$5:$A$9,1))-INDEX(BP!$A$5:$A$9,MATCH(B835,BP!$A$5:$A$9,1)))*(B835-INDEX(BP!$A$5:$A$9,MATCH(B835,BP!$A$5:$A$9,1)))+INDEX(BP!$C$5:$C$9,MATCH(B835,BP!$A$5:$A$9,1)),0))</f>
        <v>82</v>
      </c>
      <c r="D835" s="12" t="str">
        <f aca="false">IF(NOT(ISNUMBER(C835)),"",INDEX(BP!$F$5:$F$9,MATCH(C835,BP!$E$5:$E$9,1)))</f>
        <v>ปานกลาง</v>
      </c>
      <c r="E835" s="12" t="n">
        <f aca="false">YEAR(A835)</f>
        <v>2023</v>
      </c>
      <c r="F835" s="12" t="n">
        <f aca="false">MONTH(A835)</f>
        <v>4</v>
      </c>
      <c r="G835" s="12" t="n">
        <v>13</v>
      </c>
      <c r="H835" s="12" t="n">
        <v>32</v>
      </c>
      <c r="I835" s="12" t="n">
        <v>35</v>
      </c>
      <c r="J835" s="12" t="n">
        <v>1.3</v>
      </c>
      <c r="K835" s="12" t="n">
        <v>0.2</v>
      </c>
      <c r="L835" s="12" t="s">
        <v>34</v>
      </c>
    </row>
    <row r="836" customFormat="false" ht="15" hidden="false" customHeight="false" outlineLevel="0" collapsed="false">
      <c r="A836" s="11" t="n">
        <v>45031</v>
      </c>
      <c r="B836" s="12" t="n">
        <v>41</v>
      </c>
      <c r="C836" s="12" t="n">
        <f aca="false">IF(NOT(ISNUMBER(B836)),"",ROUND((INDEX(BP!$D$5:$D$9,MATCH(B836,BP!$A$5:$A$9,1))-INDEX(BP!$C$5:$C$9,MATCH(B836,BP!$A$5:$A$9,1)))/(INDEX(BP!$B$5:$B$9,MATCH(B836,BP!$A$5:$A$9,1))-INDEX(BP!$A$5:$A$9,MATCH(B836,BP!$A$5:$A$9,1)))*(B836-INDEX(BP!$A$5:$A$9,MATCH(B836,BP!$A$5:$A$9,1)))+INDEX(BP!$C$5:$C$9,MATCH(B836,BP!$A$5:$A$9,1)),0))</f>
        <v>110</v>
      </c>
      <c r="D836" s="12" t="str">
        <f aca="false">IF(NOT(ISNUMBER(C836)),"",INDEX(BP!$F$5:$F$9,MATCH(C836,BP!$E$5:$E$9,1)))</f>
        <v>เริ่มมีผลกระทบต่อสุขภาพ</v>
      </c>
      <c r="E836" s="12" t="n">
        <f aca="false">YEAR(A836)</f>
        <v>2023</v>
      </c>
      <c r="F836" s="12" t="n">
        <f aca="false">MONTH(A836)</f>
        <v>4</v>
      </c>
      <c r="G836" s="12" t="n">
        <v>15.5</v>
      </c>
      <c r="H836" s="12" t="n">
        <v>30.2</v>
      </c>
      <c r="I836" s="12" t="n">
        <v>278</v>
      </c>
      <c r="J836" s="12" t="n">
        <v>0.6</v>
      </c>
      <c r="K836" s="12" t="n">
        <v>0</v>
      </c>
      <c r="L836" s="12" t="s">
        <v>34</v>
      </c>
    </row>
    <row r="837" customFormat="false" ht="15" hidden="false" customHeight="false" outlineLevel="0" collapsed="false">
      <c r="A837" s="11" t="n">
        <v>45032</v>
      </c>
      <c r="B837" s="12" t="n">
        <v>38</v>
      </c>
      <c r="C837" s="12" t="n">
        <f aca="false">IF(NOT(ISNUMBER(B837)),"",ROUND((INDEX(BP!$D$5:$D$9,MATCH(B837,BP!$A$5:$A$9,1))-INDEX(BP!$C$5:$C$9,MATCH(B837,BP!$A$5:$A$9,1)))/(INDEX(BP!$B$5:$B$9,MATCH(B837,BP!$A$5:$A$9,1))-INDEX(BP!$A$5:$A$9,MATCH(B837,BP!$A$5:$A$9,1)))*(B837-INDEX(BP!$A$5:$A$9,MATCH(B837,BP!$A$5:$A$9,1)))+INDEX(BP!$C$5:$C$9,MATCH(B837,BP!$A$5:$A$9,1)),0))</f>
        <v>102</v>
      </c>
      <c r="D837" s="12" t="str">
        <f aca="false">IF(NOT(ISNUMBER(C837)),"",INDEX(BP!$F$5:$F$9,MATCH(C837,BP!$E$5:$E$9,1)))</f>
        <v>เริ่มมีผลกระทบต่อสุขภาพ</v>
      </c>
      <c r="E837" s="12" t="n">
        <f aca="false">YEAR(A837)</f>
        <v>2023</v>
      </c>
      <c r="F837" s="12" t="n">
        <f aca="false">MONTH(A837)</f>
        <v>4</v>
      </c>
      <c r="G837" s="12" t="n">
        <v>15</v>
      </c>
      <c r="H837" s="12" t="n">
        <v>42.8</v>
      </c>
      <c r="I837" s="12" t="n">
        <v>319</v>
      </c>
      <c r="J837" s="12" t="n">
        <v>2.2</v>
      </c>
      <c r="K837" s="12" t="n">
        <v>0</v>
      </c>
      <c r="L837" s="12" t="s">
        <v>35</v>
      </c>
    </row>
    <row r="838" customFormat="false" ht="15" hidden="false" customHeight="false" outlineLevel="0" collapsed="false">
      <c r="A838" s="11" t="n">
        <v>45033</v>
      </c>
      <c r="B838" s="12" t="n">
        <v>39</v>
      </c>
      <c r="C838" s="12" t="n">
        <f aca="false">IF(NOT(ISNUMBER(B838)),"",ROUND((INDEX(BP!$D$5:$D$9,MATCH(B838,BP!$A$5:$A$9,1))-INDEX(BP!$C$5:$C$9,MATCH(B838,BP!$A$5:$A$9,1)))/(INDEX(BP!$B$5:$B$9,MATCH(B838,BP!$A$5:$A$9,1))-INDEX(BP!$A$5:$A$9,MATCH(B838,BP!$A$5:$A$9,1)))*(B838-INDEX(BP!$A$5:$A$9,MATCH(B838,BP!$A$5:$A$9,1)))+INDEX(BP!$C$5:$C$9,MATCH(B838,BP!$A$5:$A$9,1)),0))</f>
        <v>105</v>
      </c>
      <c r="D838" s="12" t="str">
        <f aca="false">IF(NOT(ISNUMBER(C838)),"",INDEX(BP!$F$5:$F$9,MATCH(C838,BP!$E$5:$E$9,1)))</f>
        <v>เริ่มมีผลกระทบต่อสุขภาพ</v>
      </c>
      <c r="E838" s="12" t="n">
        <f aca="false">YEAR(A838)</f>
        <v>2023</v>
      </c>
      <c r="F838" s="12" t="n">
        <f aca="false">MONTH(A838)</f>
        <v>4</v>
      </c>
      <c r="G838" s="12" t="n">
        <v>11.2</v>
      </c>
      <c r="H838" s="12" t="n">
        <v>28.1</v>
      </c>
      <c r="I838" s="12" t="n">
        <v>280</v>
      </c>
      <c r="J838" s="12" t="n">
        <v>2.5</v>
      </c>
      <c r="K838" s="12" t="n">
        <v>0</v>
      </c>
      <c r="L838" s="12" t="s">
        <v>34</v>
      </c>
    </row>
    <row r="839" customFormat="false" ht="15" hidden="false" customHeight="false" outlineLevel="0" collapsed="false">
      <c r="A839" s="11" t="n">
        <v>45034</v>
      </c>
      <c r="B839" s="12" t="n">
        <v>39</v>
      </c>
      <c r="C839" s="12" t="n">
        <f aca="false">IF(NOT(ISNUMBER(B839)),"",ROUND((INDEX(BP!$D$5:$D$9,MATCH(B839,BP!$A$5:$A$9,1))-INDEX(BP!$C$5:$C$9,MATCH(B839,BP!$A$5:$A$9,1)))/(INDEX(BP!$B$5:$B$9,MATCH(B839,BP!$A$5:$A$9,1))-INDEX(BP!$A$5:$A$9,MATCH(B839,BP!$A$5:$A$9,1)))*(B839-INDEX(BP!$A$5:$A$9,MATCH(B839,BP!$A$5:$A$9,1)))+INDEX(BP!$C$5:$C$9,MATCH(B839,BP!$A$5:$A$9,1)),0))</f>
        <v>105</v>
      </c>
      <c r="D839" s="12" t="str">
        <f aca="false">IF(NOT(ISNUMBER(C839)),"",INDEX(BP!$F$5:$F$9,MATCH(C839,BP!$E$5:$E$9,1)))</f>
        <v>เริ่มมีผลกระทบต่อสุขภาพ</v>
      </c>
      <c r="E839" s="12" t="n">
        <f aca="false">YEAR(A839)</f>
        <v>2023</v>
      </c>
      <c r="F839" s="12" t="n">
        <f aca="false">MONTH(A839)</f>
        <v>4</v>
      </c>
      <c r="G839" s="12" t="n">
        <v>14</v>
      </c>
      <c r="H839" s="12" t="n">
        <v>32.4</v>
      </c>
      <c r="I839" s="12" t="n">
        <v>190</v>
      </c>
      <c r="J839" s="12" t="n">
        <v>3.7</v>
      </c>
      <c r="K839" s="12" t="n">
        <v>0</v>
      </c>
      <c r="L839" s="12" t="s">
        <v>36</v>
      </c>
    </row>
    <row r="840" customFormat="false" ht="15" hidden="false" customHeight="false" outlineLevel="0" collapsed="false">
      <c r="A840" s="11" t="n">
        <v>45035</v>
      </c>
      <c r="B840" s="12" t="n">
        <v>35</v>
      </c>
      <c r="C840" s="12" t="n">
        <f aca="false">IF(NOT(ISNUMBER(B840)),"",ROUND((INDEX(BP!$D$5:$D$9,MATCH(B840,BP!$A$5:$A$9,1))-INDEX(BP!$C$5:$C$9,MATCH(B840,BP!$A$5:$A$9,1)))/(INDEX(BP!$B$5:$B$9,MATCH(B840,BP!$A$5:$A$9,1))-INDEX(BP!$A$5:$A$9,MATCH(B840,BP!$A$5:$A$9,1)))*(B840-INDEX(BP!$A$5:$A$9,MATCH(B840,BP!$A$5:$A$9,1)))+INDEX(BP!$C$5:$C$9,MATCH(B840,BP!$A$5:$A$9,1)),0))</f>
        <v>90</v>
      </c>
      <c r="D840" s="12" t="str">
        <f aca="false">IF(NOT(ISNUMBER(C840)),"",INDEX(BP!$F$5:$F$9,MATCH(C840,BP!$E$5:$E$9,1)))</f>
        <v>ปานกลาง</v>
      </c>
      <c r="E840" s="12" t="n">
        <f aca="false">YEAR(A840)</f>
        <v>2023</v>
      </c>
      <c r="F840" s="12" t="n">
        <f aca="false">MONTH(A840)</f>
        <v>4</v>
      </c>
      <c r="G840" s="12" t="n">
        <v>10.1</v>
      </c>
      <c r="H840" s="12" t="n">
        <v>27.7</v>
      </c>
      <c r="I840" s="12" t="n">
        <v>217</v>
      </c>
      <c r="J840" s="12" t="n">
        <v>2.7</v>
      </c>
      <c r="K840" s="12" t="n">
        <v>0</v>
      </c>
      <c r="L840" s="12" t="s">
        <v>36</v>
      </c>
    </row>
    <row r="841" customFormat="false" ht="15" hidden="false" customHeight="false" outlineLevel="0" collapsed="false">
      <c r="A841" s="11" t="n">
        <v>45036</v>
      </c>
      <c r="B841" s="12" t="n">
        <v>33</v>
      </c>
      <c r="C841" s="12" t="n">
        <f aca="false">IF(NOT(ISNUMBER(B841)),"",ROUND((INDEX(BP!$D$5:$D$9,MATCH(B841,BP!$A$5:$A$9,1))-INDEX(BP!$C$5:$C$9,MATCH(B841,BP!$A$5:$A$9,1)))/(INDEX(BP!$B$5:$B$9,MATCH(B841,BP!$A$5:$A$9,1))-INDEX(BP!$A$5:$A$9,MATCH(B841,BP!$A$5:$A$9,1)))*(B841-INDEX(BP!$A$5:$A$9,MATCH(B841,BP!$A$5:$A$9,1)))+INDEX(BP!$C$5:$C$9,MATCH(B841,BP!$A$5:$A$9,1)),0))</f>
        <v>82</v>
      </c>
      <c r="D841" s="12" t="str">
        <f aca="false">IF(NOT(ISNUMBER(C841)),"",INDEX(BP!$F$5:$F$9,MATCH(C841,BP!$E$5:$E$9,1)))</f>
        <v>ปานกลาง</v>
      </c>
      <c r="E841" s="12" t="n">
        <f aca="false">YEAR(A841)</f>
        <v>2023</v>
      </c>
      <c r="F841" s="12" t="n">
        <f aca="false">MONTH(A841)</f>
        <v>4</v>
      </c>
      <c r="G841" s="12" t="n">
        <v>14.4</v>
      </c>
      <c r="H841" s="12" t="n">
        <v>41.8</v>
      </c>
      <c r="I841" s="12" t="n">
        <v>231</v>
      </c>
      <c r="J841" s="12" t="n">
        <v>2.7</v>
      </c>
      <c r="K841" s="12" t="n">
        <v>0</v>
      </c>
      <c r="L841" s="12" t="s">
        <v>36</v>
      </c>
    </row>
    <row r="842" customFormat="false" ht="15" hidden="false" customHeight="false" outlineLevel="0" collapsed="false">
      <c r="A842" s="11" t="n">
        <v>45037</v>
      </c>
      <c r="B842" s="12" t="n">
        <v>26</v>
      </c>
      <c r="C842" s="12" t="n">
        <f aca="false">IF(NOT(ISNUMBER(B842)),"",ROUND((INDEX(BP!$D$5:$D$9,MATCH(B842,BP!$A$5:$A$9,1))-INDEX(BP!$C$5:$C$9,MATCH(B842,BP!$A$5:$A$9,1)))/(INDEX(BP!$B$5:$B$9,MATCH(B842,BP!$A$5:$A$9,1))-INDEX(BP!$A$5:$A$9,MATCH(B842,BP!$A$5:$A$9,1)))*(B842-INDEX(BP!$A$5:$A$9,MATCH(B842,BP!$A$5:$A$9,1)))+INDEX(BP!$C$5:$C$9,MATCH(B842,BP!$A$5:$A$9,1)),0))</f>
        <v>55</v>
      </c>
      <c r="D842" s="12" t="str">
        <f aca="false">IF(NOT(ISNUMBER(C842)),"",INDEX(BP!$F$5:$F$9,MATCH(C842,BP!$E$5:$E$9,1)))</f>
        <v>ปานกลาง</v>
      </c>
      <c r="E842" s="12" t="n">
        <f aca="false">YEAR(A842)</f>
        <v>2023</v>
      </c>
      <c r="F842" s="12" t="n">
        <f aca="false">MONTH(A842)</f>
        <v>4</v>
      </c>
      <c r="G842" s="12" t="n">
        <v>12.4</v>
      </c>
      <c r="H842" s="12" t="n">
        <v>32</v>
      </c>
      <c r="I842" s="12" t="n">
        <v>229</v>
      </c>
      <c r="J842" s="12" t="n">
        <v>3.4</v>
      </c>
      <c r="K842" s="12" t="n">
        <v>2.2</v>
      </c>
      <c r="L842" s="12" t="s">
        <v>36</v>
      </c>
    </row>
    <row r="843" customFormat="false" ht="15" hidden="false" customHeight="false" outlineLevel="0" collapsed="false">
      <c r="A843" s="11" t="n">
        <v>45038</v>
      </c>
      <c r="B843" s="12" t="n">
        <v>26</v>
      </c>
      <c r="C843" s="12" t="n">
        <f aca="false">IF(NOT(ISNUMBER(B843)),"",ROUND((INDEX(BP!$D$5:$D$9,MATCH(B843,BP!$A$5:$A$9,1))-INDEX(BP!$C$5:$C$9,MATCH(B843,BP!$A$5:$A$9,1)))/(INDEX(BP!$B$5:$B$9,MATCH(B843,BP!$A$5:$A$9,1))-INDEX(BP!$A$5:$A$9,MATCH(B843,BP!$A$5:$A$9,1)))*(B843-INDEX(BP!$A$5:$A$9,MATCH(B843,BP!$A$5:$A$9,1)))+INDEX(BP!$C$5:$C$9,MATCH(B843,BP!$A$5:$A$9,1)),0))</f>
        <v>55</v>
      </c>
      <c r="D843" s="12" t="str">
        <f aca="false">IF(NOT(ISNUMBER(C843)),"",INDEX(BP!$F$5:$F$9,MATCH(C843,BP!$E$5:$E$9,1)))</f>
        <v>ปานกลาง</v>
      </c>
      <c r="E843" s="12" t="n">
        <f aca="false">YEAR(A843)</f>
        <v>2023</v>
      </c>
      <c r="F843" s="12" t="n">
        <f aca="false">MONTH(A843)</f>
        <v>4</v>
      </c>
      <c r="G843" s="12" t="n">
        <v>11</v>
      </c>
      <c r="H843" s="12" t="n">
        <v>28.4</v>
      </c>
      <c r="I843" s="12" t="n">
        <v>179</v>
      </c>
      <c r="J843" s="12" t="n">
        <v>16.2</v>
      </c>
      <c r="K843" s="12" t="n">
        <v>0.8</v>
      </c>
      <c r="L843" s="12" t="s">
        <v>35</v>
      </c>
    </row>
    <row r="844" customFormat="false" ht="15" hidden="false" customHeight="false" outlineLevel="0" collapsed="false">
      <c r="A844" s="11" t="n">
        <v>45039</v>
      </c>
      <c r="B844" s="12" t="n">
        <v>25</v>
      </c>
      <c r="C844" s="12" t="n">
        <f aca="false">IF(NOT(ISNUMBER(B844)),"",ROUND((INDEX(BP!$D$5:$D$9,MATCH(B844,BP!$A$5:$A$9,1))-INDEX(BP!$C$5:$C$9,MATCH(B844,BP!$A$5:$A$9,1)))/(INDEX(BP!$B$5:$B$9,MATCH(B844,BP!$A$5:$A$9,1))-INDEX(BP!$A$5:$A$9,MATCH(B844,BP!$A$5:$A$9,1)))*(B844-INDEX(BP!$A$5:$A$9,MATCH(B844,BP!$A$5:$A$9,1)))+INDEX(BP!$C$5:$C$9,MATCH(B844,BP!$A$5:$A$9,1)),0))</f>
        <v>50</v>
      </c>
      <c r="D844" s="12" t="str">
        <f aca="false">IF(NOT(ISNUMBER(C844)),"",INDEX(BP!$F$5:$F$9,MATCH(C844,BP!$E$5:$E$9,1)))</f>
        <v>ดี</v>
      </c>
      <c r="E844" s="12" t="n">
        <f aca="false">YEAR(A844)</f>
        <v>2023</v>
      </c>
      <c r="F844" s="12" t="n">
        <f aca="false">MONTH(A844)</f>
        <v>4</v>
      </c>
      <c r="G844" s="12" t="n">
        <v>16.9</v>
      </c>
      <c r="H844" s="12" t="n">
        <v>37.1</v>
      </c>
      <c r="I844" s="12" t="n">
        <v>128</v>
      </c>
      <c r="J844" s="12" t="n">
        <v>4.6</v>
      </c>
      <c r="K844" s="12" t="n">
        <v>4.2</v>
      </c>
      <c r="L844" s="12" t="s">
        <v>35</v>
      </c>
    </row>
    <row r="845" customFormat="false" ht="15" hidden="false" customHeight="false" outlineLevel="0" collapsed="false">
      <c r="A845" s="11" t="n">
        <v>45040</v>
      </c>
      <c r="B845" s="12" t="n">
        <v>21</v>
      </c>
      <c r="C845" s="12" t="n">
        <f aca="false">IF(NOT(ISNUMBER(B845)),"",ROUND((INDEX(BP!$D$5:$D$9,MATCH(B845,BP!$A$5:$A$9,1))-INDEX(BP!$C$5:$C$9,MATCH(B845,BP!$A$5:$A$9,1)))/(INDEX(BP!$B$5:$B$9,MATCH(B845,BP!$A$5:$A$9,1))-INDEX(BP!$A$5:$A$9,MATCH(B845,BP!$A$5:$A$9,1)))*(B845-INDEX(BP!$A$5:$A$9,MATCH(B845,BP!$A$5:$A$9,1)))+INDEX(BP!$C$5:$C$9,MATCH(B845,BP!$A$5:$A$9,1)),0))</f>
        <v>40</v>
      </c>
      <c r="D845" s="12" t="str">
        <f aca="false">IF(NOT(ISNUMBER(C845)),"",INDEX(BP!$F$5:$F$9,MATCH(C845,BP!$E$5:$E$9,1)))</f>
        <v>ดี</v>
      </c>
      <c r="E845" s="12" t="n">
        <f aca="false">YEAR(A845)</f>
        <v>2023</v>
      </c>
      <c r="F845" s="12" t="n">
        <f aca="false">MONTH(A845)</f>
        <v>4</v>
      </c>
      <c r="G845" s="12" t="n">
        <v>14.5</v>
      </c>
      <c r="H845" s="12" t="n">
        <v>33.5</v>
      </c>
      <c r="I845" s="12" t="n">
        <v>64</v>
      </c>
      <c r="J845" s="12" t="n">
        <v>0.3</v>
      </c>
      <c r="K845" s="12" t="n">
        <v>0</v>
      </c>
      <c r="L845" s="12" t="s">
        <v>36</v>
      </c>
    </row>
    <row r="846" customFormat="false" ht="15" hidden="false" customHeight="false" outlineLevel="0" collapsed="false">
      <c r="A846" s="11" t="n">
        <v>45041</v>
      </c>
      <c r="B846" s="12" t="n">
        <v>17</v>
      </c>
      <c r="C846" s="12" t="n">
        <f aca="false">IF(NOT(ISNUMBER(B846)),"",ROUND((INDEX(BP!$D$5:$D$9,MATCH(B846,BP!$A$5:$A$9,1))-INDEX(BP!$C$5:$C$9,MATCH(B846,BP!$A$5:$A$9,1)))/(INDEX(BP!$B$5:$B$9,MATCH(B846,BP!$A$5:$A$9,1))-INDEX(BP!$A$5:$A$9,MATCH(B846,BP!$A$5:$A$9,1)))*(B846-INDEX(BP!$A$5:$A$9,MATCH(B846,BP!$A$5:$A$9,1)))+INDEX(BP!$C$5:$C$9,MATCH(B846,BP!$A$5:$A$9,1)),0))</f>
        <v>31</v>
      </c>
      <c r="D846" s="12" t="str">
        <f aca="false">IF(NOT(ISNUMBER(C846)),"",INDEX(BP!$F$5:$F$9,MATCH(C846,BP!$E$5:$E$9,1)))</f>
        <v>ดี</v>
      </c>
      <c r="E846" s="12" t="n">
        <f aca="false">YEAR(A846)</f>
        <v>2023</v>
      </c>
      <c r="F846" s="12" t="n">
        <f aca="false">MONTH(A846)</f>
        <v>4</v>
      </c>
      <c r="G846" s="12" t="n">
        <v>18.1</v>
      </c>
      <c r="H846" s="12" t="n">
        <v>37.8</v>
      </c>
      <c r="I846" s="12" t="n">
        <v>75</v>
      </c>
      <c r="J846" s="12" t="n">
        <v>0.6</v>
      </c>
      <c r="K846" s="12" t="n">
        <v>0</v>
      </c>
      <c r="L846" s="12" t="s">
        <v>36</v>
      </c>
    </row>
    <row r="847" customFormat="false" ht="15" hidden="false" customHeight="false" outlineLevel="0" collapsed="false">
      <c r="A847" s="11" t="n">
        <v>45042</v>
      </c>
      <c r="B847" s="12" t="n">
        <v>18</v>
      </c>
      <c r="C847" s="12" t="n">
        <f aca="false">IF(NOT(ISNUMBER(B847)),"",ROUND((INDEX(BP!$D$5:$D$9,MATCH(B847,BP!$A$5:$A$9,1))-INDEX(BP!$C$5:$C$9,MATCH(B847,BP!$A$5:$A$9,1)))/(INDEX(BP!$B$5:$B$9,MATCH(B847,BP!$A$5:$A$9,1))-INDEX(BP!$A$5:$A$9,MATCH(B847,BP!$A$5:$A$9,1)))*(B847-INDEX(BP!$A$5:$A$9,MATCH(B847,BP!$A$5:$A$9,1)))+INDEX(BP!$C$5:$C$9,MATCH(B847,BP!$A$5:$A$9,1)),0))</f>
        <v>33</v>
      </c>
      <c r="D847" s="12" t="str">
        <f aca="false">IF(NOT(ISNUMBER(C847)),"",INDEX(BP!$F$5:$F$9,MATCH(C847,BP!$E$5:$E$9,1)))</f>
        <v>ดี</v>
      </c>
      <c r="E847" s="12" t="n">
        <f aca="false">YEAR(A847)</f>
        <v>2023</v>
      </c>
      <c r="F847" s="12" t="n">
        <f aca="false">MONTH(A847)</f>
        <v>4</v>
      </c>
      <c r="G847" s="12" t="n">
        <v>18.3</v>
      </c>
      <c r="H847" s="12" t="n">
        <v>40.7</v>
      </c>
      <c r="I847" s="12" t="n">
        <v>81</v>
      </c>
      <c r="J847" s="12" t="n">
        <v>1</v>
      </c>
      <c r="K847" s="12" t="n">
        <v>2</v>
      </c>
      <c r="L847" s="12" t="s">
        <v>36</v>
      </c>
    </row>
    <row r="848" customFormat="false" ht="15" hidden="false" customHeight="false" outlineLevel="0" collapsed="false">
      <c r="A848" s="11" t="n">
        <v>45043</v>
      </c>
      <c r="B848" s="12" t="n">
        <v>15</v>
      </c>
      <c r="C848" s="12" t="n">
        <f aca="false">IF(NOT(ISNUMBER(B848)),"",ROUND((INDEX(BP!$D$5:$D$9,MATCH(B848,BP!$A$5:$A$9,1))-INDEX(BP!$C$5:$C$9,MATCH(B848,BP!$A$5:$A$9,1)))/(INDEX(BP!$B$5:$B$9,MATCH(B848,BP!$A$5:$A$9,1))-INDEX(BP!$A$5:$A$9,MATCH(B848,BP!$A$5:$A$9,1)))*(B848-INDEX(BP!$A$5:$A$9,MATCH(B848,BP!$A$5:$A$9,1)))+INDEX(BP!$C$5:$C$9,MATCH(B848,BP!$A$5:$A$9,1)),0))</f>
        <v>25</v>
      </c>
      <c r="D848" s="12" t="str">
        <f aca="false">IF(NOT(ISNUMBER(C848)),"",INDEX(BP!$F$5:$F$9,MATCH(C848,BP!$E$5:$E$9,1)))</f>
        <v>ดีมาก</v>
      </c>
      <c r="E848" s="12" t="n">
        <f aca="false">YEAR(A848)</f>
        <v>2023</v>
      </c>
      <c r="F848" s="12" t="n">
        <f aca="false">MONTH(A848)</f>
        <v>4</v>
      </c>
      <c r="G848" s="12" t="n">
        <v>18.4</v>
      </c>
      <c r="H848" s="12" t="n">
        <v>42.5</v>
      </c>
      <c r="I848" s="12" t="n">
        <v>92</v>
      </c>
      <c r="J848" s="12" t="n">
        <v>2.2</v>
      </c>
      <c r="K848" s="12" t="n">
        <v>0</v>
      </c>
      <c r="L848" s="12" t="s">
        <v>36</v>
      </c>
    </row>
    <row r="849" customFormat="false" ht="15" hidden="false" customHeight="false" outlineLevel="0" collapsed="false">
      <c r="A849" s="11" t="n">
        <v>45044</v>
      </c>
      <c r="B849" s="12" t="n">
        <v>21</v>
      </c>
      <c r="C849" s="12" t="n">
        <f aca="false">IF(NOT(ISNUMBER(B849)),"",ROUND((INDEX(BP!$D$5:$D$9,MATCH(B849,BP!$A$5:$A$9,1))-INDEX(BP!$C$5:$C$9,MATCH(B849,BP!$A$5:$A$9,1)))/(INDEX(BP!$B$5:$B$9,MATCH(B849,BP!$A$5:$A$9,1))-INDEX(BP!$A$5:$A$9,MATCH(B849,BP!$A$5:$A$9,1)))*(B849-INDEX(BP!$A$5:$A$9,MATCH(B849,BP!$A$5:$A$9,1)))+INDEX(BP!$C$5:$C$9,MATCH(B849,BP!$A$5:$A$9,1)),0))</f>
        <v>40</v>
      </c>
      <c r="D849" s="12" t="str">
        <f aca="false">IF(NOT(ISNUMBER(C849)),"",INDEX(BP!$F$5:$F$9,MATCH(C849,BP!$E$5:$E$9,1)))</f>
        <v>ดี</v>
      </c>
      <c r="E849" s="12" t="n">
        <f aca="false">YEAR(A849)</f>
        <v>2023</v>
      </c>
      <c r="F849" s="12" t="n">
        <f aca="false">MONTH(A849)</f>
        <v>4</v>
      </c>
      <c r="G849" s="12" t="n">
        <v>14.8</v>
      </c>
      <c r="H849" s="12" t="n">
        <v>34.6</v>
      </c>
      <c r="I849" s="12" t="n">
        <v>80</v>
      </c>
      <c r="J849" s="12" t="n">
        <v>1.4</v>
      </c>
      <c r="K849" s="12" t="n">
        <v>0</v>
      </c>
      <c r="L849" s="12" t="s">
        <v>36</v>
      </c>
    </row>
    <row r="850" customFormat="false" ht="15" hidden="false" customHeight="false" outlineLevel="0" collapsed="false">
      <c r="A850" s="11" t="n">
        <v>45045</v>
      </c>
      <c r="B850" s="12" t="n">
        <v>23</v>
      </c>
      <c r="C850" s="12" t="n">
        <f aca="false">IF(NOT(ISNUMBER(B850)),"",ROUND((INDEX(BP!$D$5:$D$9,MATCH(B850,BP!$A$5:$A$9,1))-INDEX(BP!$C$5:$C$9,MATCH(B850,BP!$A$5:$A$9,1)))/(INDEX(BP!$B$5:$B$9,MATCH(B850,BP!$A$5:$A$9,1))-INDEX(BP!$A$5:$A$9,MATCH(B850,BP!$A$5:$A$9,1)))*(B850-INDEX(BP!$A$5:$A$9,MATCH(B850,BP!$A$5:$A$9,1)))+INDEX(BP!$C$5:$C$9,MATCH(B850,BP!$A$5:$A$9,1)),0))</f>
        <v>45</v>
      </c>
      <c r="D850" s="12" t="str">
        <f aca="false">IF(NOT(ISNUMBER(C850)),"",INDEX(BP!$F$5:$F$9,MATCH(C850,BP!$E$5:$E$9,1)))</f>
        <v>ดี</v>
      </c>
      <c r="E850" s="12" t="n">
        <f aca="false">YEAR(A850)</f>
        <v>2023</v>
      </c>
      <c r="F850" s="12" t="n">
        <f aca="false">MONTH(A850)</f>
        <v>4</v>
      </c>
      <c r="G850" s="12" t="n">
        <v>13.8</v>
      </c>
      <c r="H850" s="12" t="n">
        <v>34.6</v>
      </c>
      <c r="I850" s="12" t="n">
        <v>63</v>
      </c>
      <c r="J850" s="12" t="n">
        <v>3.3</v>
      </c>
      <c r="K850" s="12" t="n">
        <v>0.2</v>
      </c>
      <c r="L850" s="12" t="s">
        <v>35</v>
      </c>
    </row>
    <row r="851" customFormat="false" ht="15" hidden="false" customHeight="false" outlineLevel="0" collapsed="false">
      <c r="A851" s="11" t="n">
        <v>45046</v>
      </c>
      <c r="B851" s="12" t="n">
        <v>20</v>
      </c>
      <c r="C851" s="12" t="n">
        <f aca="false">IF(NOT(ISNUMBER(B851)),"",ROUND((INDEX(BP!$D$5:$D$9,MATCH(B851,BP!$A$5:$A$9,1))-INDEX(BP!$C$5:$C$9,MATCH(B851,BP!$A$5:$A$9,1)))/(INDEX(BP!$B$5:$B$9,MATCH(B851,BP!$A$5:$A$9,1))-INDEX(BP!$A$5:$A$9,MATCH(B851,BP!$A$5:$A$9,1)))*(B851-INDEX(BP!$A$5:$A$9,MATCH(B851,BP!$A$5:$A$9,1)))+INDEX(BP!$C$5:$C$9,MATCH(B851,BP!$A$5:$A$9,1)),0))</f>
        <v>38</v>
      </c>
      <c r="D851" s="12" t="str">
        <f aca="false">IF(NOT(ISNUMBER(C851)),"",INDEX(BP!$F$5:$F$9,MATCH(C851,BP!$E$5:$E$9,1)))</f>
        <v>ดี</v>
      </c>
      <c r="E851" s="12" t="n">
        <f aca="false">YEAR(A851)</f>
        <v>2023</v>
      </c>
      <c r="F851" s="12" t="n">
        <f aca="false">MONTH(A851)</f>
        <v>4</v>
      </c>
      <c r="G851" s="12" t="n">
        <v>17.3</v>
      </c>
      <c r="H851" s="12" t="n">
        <v>38.2</v>
      </c>
      <c r="I851" s="12" t="n">
        <v>72</v>
      </c>
      <c r="J851" s="12" t="n">
        <v>2</v>
      </c>
      <c r="K851" s="12" t="n">
        <v>0</v>
      </c>
      <c r="L851" s="12" t="s">
        <v>35</v>
      </c>
    </row>
    <row r="852" customFormat="false" ht="15" hidden="false" customHeight="false" outlineLevel="0" collapsed="false">
      <c r="A852" s="11" t="n">
        <v>45047</v>
      </c>
      <c r="B852" s="12" t="n">
        <v>12</v>
      </c>
      <c r="C852" s="12" t="n">
        <f aca="false">IF(NOT(ISNUMBER(B852)),"",ROUND((INDEX(BP!$D$5:$D$9,MATCH(B852,BP!$A$5:$A$9,1))-INDEX(BP!$C$5:$C$9,MATCH(B852,BP!$A$5:$A$9,1)))/(INDEX(BP!$B$5:$B$9,MATCH(B852,BP!$A$5:$A$9,1))-INDEX(BP!$A$5:$A$9,MATCH(B852,BP!$A$5:$A$9,1)))*(B852-INDEX(BP!$A$5:$A$9,MATCH(B852,BP!$A$5:$A$9,1)))+INDEX(BP!$C$5:$C$9,MATCH(B852,BP!$A$5:$A$9,1)),0))</f>
        <v>20</v>
      </c>
      <c r="D852" s="12" t="str">
        <f aca="false">IF(NOT(ISNUMBER(C852)),"",INDEX(BP!$F$5:$F$9,MATCH(C852,BP!$E$5:$E$9,1)))</f>
        <v>ดีมาก</v>
      </c>
      <c r="E852" s="12" t="n">
        <f aca="false">YEAR(A852)</f>
        <v>2023</v>
      </c>
      <c r="F852" s="12" t="n">
        <f aca="false">MONTH(A852)</f>
        <v>5</v>
      </c>
      <c r="G852" s="12" t="n">
        <v>18.5</v>
      </c>
      <c r="H852" s="12" t="n">
        <v>40.3</v>
      </c>
      <c r="I852" s="12" t="n">
        <v>89</v>
      </c>
      <c r="J852" s="12" t="n">
        <v>4.5</v>
      </c>
      <c r="K852" s="12" t="n">
        <v>1.6</v>
      </c>
      <c r="L852" s="12" t="s">
        <v>34</v>
      </c>
    </row>
    <row r="853" customFormat="false" ht="15" hidden="false" customHeight="false" outlineLevel="0" collapsed="false">
      <c r="A853" s="11" t="n">
        <v>45048</v>
      </c>
      <c r="B853" s="12" t="n">
        <v>12</v>
      </c>
      <c r="C853" s="12" t="n">
        <f aca="false">IF(NOT(ISNUMBER(B853)),"",ROUND((INDEX(BP!$D$5:$D$9,MATCH(B853,BP!$A$5:$A$9,1))-INDEX(BP!$C$5:$C$9,MATCH(B853,BP!$A$5:$A$9,1)))/(INDEX(BP!$B$5:$B$9,MATCH(B853,BP!$A$5:$A$9,1))-INDEX(BP!$A$5:$A$9,MATCH(B853,BP!$A$5:$A$9,1)))*(B853-INDEX(BP!$A$5:$A$9,MATCH(B853,BP!$A$5:$A$9,1)))+INDEX(BP!$C$5:$C$9,MATCH(B853,BP!$A$5:$A$9,1)),0))</f>
        <v>20</v>
      </c>
      <c r="D853" s="12" t="str">
        <f aca="false">IF(NOT(ISNUMBER(C853)),"",INDEX(BP!$F$5:$F$9,MATCH(C853,BP!$E$5:$E$9,1)))</f>
        <v>ดีมาก</v>
      </c>
      <c r="E853" s="12" t="n">
        <f aca="false">YEAR(A853)</f>
        <v>2023</v>
      </c>
      <c r="F853" s="12" t="n">
        <f aca="false">MONTH(A853)</f>
        <v>5</v>
      </c>
      <c r="G853" s="12" t="n">
        <v>17.4</v>
      </c>
      <c r="H853" s="12" t="n">
        <v>38.9</v>
      </c>
      <c r="I853" s="12" t="n">
        <v>100</v>
      </c>
      <c r="J853" s="12" t="n">
        <v>17.6</v>
      </c>
      <c r="K853" s="12" t="n">
        <v>13.2</v>
      </c>
      <c r="L853" s="12" t="s">
        <v>36</v>
      </c>
    </row>
    <row r="854" customFormat="false" ht="15" hidden="false" customHeight="false" outlineLevel="0" collapsed="false">
      <c r="A854" s="11" t="n">
        <v>45049</v>
      </c>
      <c r="B854" s="12" t="n">
        <v>12</v>
      </c>
      <c r="C854" s="12" t="n">
        <f aca="false">IF(NOT(ISNUMBER(B854)),"",ROUND((INDEX(BP!$D$5:$D$9,MATCH(B854,BP!$A$5:$A$9,1))-INDEX(BP!$C$5:$C$9,MATCH(B854,BP!$A$5:$A$9,1)))/(INDEX(BP!$B$5:$B$9,MATCH(B854,BP!$A$5:$A$9,1))-INDEX(BP!$A$5:$A$9,MATCH(B854,BP!$A$5:$A$9,1)))*(B854-INDEX(BP!$A$5:$A$9,MATCH(B854,BP!$A$5:$A$9,1)))+INDEX(BP!$C$5:$C$9,MATCH(B854,BP!$A$5:$A$9,1)),0))</f>
        <v>20</v>
      </c>
      <c r="D854" s="12" t="str">
        <f aca="false">IF(NOT(ISNUMBER(C854)),"",INDEX(BP!$F$5:$F$9,MATCH(C854,BP!$E$5:$E$9,1)))</f>
        <v>ดีมาก</v>
      </c>
      <c r="E854" s="12" t="n">
        <f aca="false">YEAR(A854)</f>
        <v>2023</v>
      </c>
      <c r="F854" s="12" t="n">
        <f aca="false">MONTH(A854)</f>
        <v>5</v>
      </c>
      <c r="G854" s="12" t="n">
        <v>16.3</v>
      </c>
      <c r="H854" s="12" t="n">
        <v>37.1</v>
      </c>
      <c r="I854" s="12" t="n">
        <v>87</v>
      </c>
      <c r="J854" s="12" t="n">
        <v>3</v>
      </c>
      <c r="K854" s="12" t="n">
        <v>0</v>
      </c>
      <c r="L854" s="12" t="s">
        <v>36</v>
      </c>
    </row>
    <row r="855" customFormat="false" ht="15" hidden="false" customHeight="false" outlineLevel="0" collapsed="false">
      <c r="A855" s="11" t="n">
        <v>45050</v>
      </c>
      <c r="B855" s="12" t="n">
        <v>17</v>
      </c>
      <c r="C855" s="12" t="n">
        <f aca="false">IF(NOT(ISNUMBER(B855)),"",ROUND((INDEX(BP!$D$5:$D$9,MATCH(B855,BP!$A$5:$A$9,1))-INDEX(BP!$C$5:$C$9,MATCH(B855,BP!$A$5:$A$9,1)))/(INDEX(BP!$B$5:$B$9,MATCH(B855,BP!$A$5:$A$9,1))-INDEX(BP!$A$5:$A$9,MATCH(B855,BP!$A$5:$A$9,1)))*(B855-INDEX(BP!$A$5:$A$9,MATCH(B855,BP!$A$5:$A$9,1)))+INDEX(BP!$C$5:$C$9,MATCH(B855,BP!$A$5:$A$9,1)),0))</f>
        <v>31</v>
      </c>
      <c r="D855" s="12" t="str">
        <f aca="false">IF(NOT(ISNUMBER(C855)),"",INDEX(BP!$F$5:$F$9,MATCH(C855,BP!$E$5:$E$9,1)))</f>
        <v>ดี</v>
      </c>
      <c r="E855" s="12" t="n">
        <f aca="false">YEAR(A855)</f>
        <v>2023</v>
      </c>
      <c r="F855" s="12" t="n">
        <f aca="false">MONTH(A855)</f>
        <v>5</v>
      </c>
      <c r="G855" s="12" t="n">
        <v>13</v>
      </c>
      <c r="H855" s="12" t="n">
        <v>31.3</v>
      </c>
      <c r="I855" s="12" t="n">
        <v>117</v>
      </c>
      <c r="J855" s="12" t="n">
        <v>4.3</v>
      </c>
      <c r="K855" s="12" t="n">
        <v>0</v>
      </c>
      <c r="L855" s="12" t="s">
        <v>34</v>
      </c>
    </row>
    <row r="856" customFormat="false" ht="15" hidden="false" customHeight="false" outlineLevel="0" collapsed="false">
      <c r="A856" s="11" t="n">
        <v>45051</v>
      </c>
      <c r="B856" s="12" t="n">
        <v>19</v>
      </c>
      <c r="C856" s="12" t="n">
        <f aca="false">IF(NOT(ISNUMBER(B856)),"",ROUND((INDEX(BP!$D$5:$D$9,MATCH(B856,BP!$A$5:$A$9,1))-INDEX(BP!$C$5:$C$9,MATCH(B856,BP!$A$5:$A$9,1)))/(INDEX(BP!$B$5:$B$9,MATCH(B856,BP!$A$5:$A$9,1))-INDEX(BP!$A$5:$A$9,MATCH(B856,BP!$A$5:$A$9,1)))*(B856-INDEX(BP!$A$5:$A$9,MATCH(B856,BP!$A$5:$A$9,1)))+INDEX(BP!$C$5:$C$9,MATCH(B856,BP!$A$5:$A$9,1)),0))</f>
        <v>35</v>
      </c>
      <c r="D856" s="12" t="str">
        <f aca="false">IF(NOT(ISNUMBER(C856)),"",INDEX(BP!$F$5:$F$9,MATCH(C856,BP!$E$5:$E$9,1)))</f>
        <v>ดี</v>
      </c>
      <c r="E856" s="12" t="n">
        <f aca="false">YEAR(A856)</f>
        <v>2023</v>
      </c>
      <c r="F856" s="12" t="n">
        <f aca="false">MONTH(A856)</f>
        <v>5</v>
      </c>
      <c r="G856" s="12" t="n">
        <v>10.5</v>
      </c>
      <c r="H856" s="12" t="n">
        <v>24.5</v>
      </c>
      <c r="I856" s="12" t="n">
        <v>215</v>
      </c>
      <c r="J856" s="12" t="n">
        <v>0.2</v>
      </c>
      <c r="K856" s="12" t="n">
        <v>1.8</v>
      </c>
      <c r="L856" s="12" t="s">
        <v>34</v>
      </c>
    </row>
    <row r="857" customFormat="false" ht="15" hidden="false" customHeight="false" outlineLevel="0" collapsed="false">
      <c r="A857" s="11" t="n">
        <v>45052</v>
      </c>
      <c r="B857" s="12" t="n">
        <v>17</v>
      </c>
      <c r="C857" s="12" t="n">
        <f aca="false">IF(NOT(ISNUMBER(B857)),"",ROUND((INDEX(BP!$D$5:$D$9,MATCH(B857,BP!$A$5:$A$9,1))-INDEX(BP!$C$5:$C$9,MATCH(B857,BP!$A$5:$A$9,1)))/(INDEX(BP!$B$5:$B$9,MATCH(B857,BP!$A$5:$A$9,1))-INDEX(BP!$A$5:$A$9,MATCH(B857,BP!$A$5:$A$9,1)))*(B857-INDEX(BP!$A$5:$A$9,MATCH(B857,BP!$A$5:$A$9,1)))+INDEX(BP!$C$5:$C$9,MATCH(B857,BP!$A$5:$A$9,1)),0))</f>
        <v>31</v>
      </c>
      <c r="D857" s="12" t="str">
        <f aca="false">IF(NOT(ISNUMBER(C857)),"",INDEX(BP!$F$5:$F$9,MATCH(C857,BP!$E$5:$E$9,1)))</f>
        <v>ดี</v>
      </c>
      <c r="E857" s="12" t="n">
        <f aca="false">YEAR(A857)</f>
        <v>2023</v>
      </c>
      <c r="F857" s="12" t="n">
        <f aca="false">MONTH(A857)</f>
        <v>5</v>
      </c>
      <c r="G857" s="12" t="n">
        <v>10.9</v>
      </c>
      <c r="H857" s="12" t="n">
        <v>27.7</v>
      </c>
      <c r="I857" s="12" t="n">
        <v>234</v>
      </c>
      <c r="J857" s="12" t="n">
        <v>0.9</v>
      </c>
      <c r="K857" s="12" t="n">
        <v>0.4</v>
      </c>
      <c r="L857" s="12" t="s">
        <v>35</v>
      </c>
    </row>
    <row r="858" customFormat="false" ht="15" hidden="false" customHeight="false" outlineLevel="0" collapsed="false">
      <c r="A858" s="11" t="n">
        <v>45053</v>
      </c>
      <c r="B858" s="12" t="n">
        <v>14</v>
      </c>
      <c r="C858" s="12" t="n">
        <f aca="false">IF(NOT(ISNUMBER(B858)),"",ROUND((INDEX(BP!$D$5:$D$9,MATCH(B858,BP!$A$5:$A$9,1))-INDEX(BP!$C$5:$C$9,MATCH(B858,BP!$A$5:$A$9,1)))/(INDEX(BP!$B$5:$B$9,MATCH(B858,BP!$A$5:$A$9,1))-INDEX(BP!$A$5:$A$9,MATCH(B858,BP!$A$5:$A$9,1)))*(B858-INDEX(BP!$A$5:$A$9,MATCH(B858,BP!$A$5:$A$9,1)))+INDEX(BP!$C$5:$C$9,MATCH(B858,BP!$A$5:$A$9,1)),0))</f>
        <v>23</v>
      </c>
      <c r="D858" s="12" t="str">
        <f aca="false">IF(NOT(ISNUMBER(C858)),"",INDEX(BP!$F$5:$F$9,MATCH(C858,BP!$E$5:$E$9,1)))</f>
        <v>ดีมาก</v>
      </c>
      <c r="E858" s="12" t="n">
        <f aca="false">YEAR(A858)</f>
        <v>2023</v>
      </c>
      <c r="F858" s="12" t="n">
        <f aca="false">MONTH(A858)</f>
        <v>5</v>
      </c>
      <c r="G858" s="12" t="n">
        <v>16.9</v>
      </c>
      <c r="H858" s="12" t="n">
        <v>31.3</v>
      </c>
      <c r="I858" s="12" t="n">
        <v>229</v>
      </c>
      <c r="J858" s="12" t="n">
        <v>0.9</v>
      </c>
      <c r="K858" s="12" t="n">
        <v>0</v>
      </c>
      <c r="L858" s="12" t="s">
        <v>35</v>
      </c>
    </row>
    <row r="859" customFormat="false" ht="15" hidden="false" customHeight="false" outlineLevel="0" collapsed="false">
      <c r="A859" s="11" t="n">
        <v>45054</v>
      </c>
      <c r="B859" s="12" t="n">
        <v>15</v>
      </c>
      <c r="C859" s="12" t="n">
        <f aca="false">IF(NOT(ISNUMBER(B859)),"",ROUND((INDEX(BP!$D$5:$D$9,MATCH(B859,BP!$A$5:$A$9,1))-INDEX(BP!$C$5:$C$9,MATCH(B859,BP!$A$5:$A$9,1)))/(INDEX(BP!$B$5:$B$9,MATCH(B859,BP!$A$5:$A$9,1))-INDEX(BP!$A$5:$A$9,MATCH(B859,BP!$A$5:$A$9,1)))*(B859-INDEX(BP!$A$5:$A$9,MATCH(B859,BP!$A$5:$A$9,1)))+INDEX(BP!$C$5:$C$9,MATCH(B859,BP!$A$5:$A$9,1)),0))</f>
        <v>25</v>
      </c>
      <c r="D859" s="12" t="str">
        <f aca="false">IF(NOT(ISNUMBER(C859)),"",INDEX(BP!$F$5:$F$9,MATCH(C859,BP!$E$5:$E$9,1)))</f>
        <v>ดีมาก</v>
      </c>
      <c r="E859" s="12" t="n">
        <f aca="false">YEAR(A859)</f>
        <v>2023</v>
      </c>
      <c r="F859" s="12" t="n">
        <f aca="false">MONTH(A859)</f>
        <v>5</v>
      </c>
      <c r="G859" s="12" t="n">
        <v>12.3</v>
      </c>
      <c r="H859" s="12" t="n">
        <v>26.3</v>
      </c>
      <c r="I859" s="12" t="n">
        <v>185</v>
      </c>
      <c r="J859" s="12" t="n">
        <v>6.7</v>
      </c>
      <c r="K859" s="12" t="n">
        <v>0</v>
      </c>
      <c r="L859" s="12" t="s">
        <v>36</v>
      </c>
    </row>
    <row r="860" customFormat="false" ht="15" hidden="false" customHeight="false" outlineLevel="0" collapsed="false">
      <c r="A860" s="11" t="n">
        <v>45055</v>
      </c>
      <c r="B860" s="12" t="n">
        <v>14</v>
      </c>
      <c r="C860" s="12" t="n">
        <f aca="false">IF(NOT(ISNUMBER(B860)),"",ROUND((INDEX(BP!$D$5:$D$9,MATCH(B860,BP!$A$5:$A$9,1))-INDEX(BP!$C$5:$C$9,MATCH(B860,BP!$A$5:$A$9,1)))/(INDEX(BP!$B$5:$B$9,MATCH(B860,BP!$A$5:$A$9,1))-INDEX(BP!$A$5:$A$9,MATCH(B860,BP!$A$5:$A$9,1)))*(B860-INDEX(BP!$A$5:$A$9,MATCH(B860,BP!$A$5:$A$9,1)))+INDEX(BP!$C$5:$C$9,MATCH(B860,BP!$A$5:$A$9,1)),0))</f>
        <v>23</v>
      </c>
      <c r="D860" s="12" t="str">
        <f aca="false">IF(NOT(ISNUMBER(C860)),"",INDEX(BP!$F$5:$F$9,MATCH(C860,BP!$E$5:$E$9,1)))</f>
        <v>ดีมาก</v>
      </c>
      <c r="E860" s="12" t="n">
        <f aca="false">YEAR(A860)</f>
        <v>2023</v>
      </c>
      <c r="F860" s="12" t="n">
        <f aca="false">MONTH(A860)</f>
        <v>5</v>
      </c>
      <c r="G860" s="12" t="n">
        <v>14.5</v>
      </c>
      <c r="H860" s="12" t="n">
        <v>29.9</v>
      </c>
      <c r="I860" s="12" t="n">
        <v>111</v>
      </c>
      <c r="J860" s="12" t="n">
        <v>20.9</v>
      </c>
      <c r="K860" s="12" t="n">
        <v>0.6</v>
      </c>
      <c r="L860" s="12" t="s">
        <v>36</v>
      </c>
    </row>
    <row r="861" customFormat="false" ht="15" hidden="false" customHeight="false" outlineLevel="0" collapsed="false">
      <c r="A861" s="11" t="n">
        <v>45056</v>
      </c>
      <c r="B861" s="12" t="n">
        <v>12</v>
      </c>
      <c r="C861" s="12" t="n">
        <f aca="false">IF(NOT(ISNUMBER(B861)),"",ROUND((INDEX(BP!$D$5:$D$9,MATCH(B861,BP!$A$5:$A$9,1))-INDEX(BP!$C$5:$C$9,MATCH(B861,BP!$A$5:$A$9,1)))/(INDEX(BP!$B$5:$B$9,MATCH(B861,BP!$A$5:$A$9,1))-INDEX(BP!$A$5:$A$9,MATCH(B861,BP!$A$5:$A$9,1)))*(B861-INDEX(BP!$A$5:$A$9,MATCH(B861,BP!$A$5:$A$9,1)))+INDEX(BP!$C$5:$C$9,MATCH(B861,BP!$A$5:$A$9,1)),0))</f>
        <v>20</v>
      </c>
      <c r="D861" s="12" t="str">
        <f aca="false">IF(NOT(ISNUMBER(C861)),"",INDEX(BP!$F$5:$F$9,MATCH(C861,BP!$E$5:$E$9,1)))</f>
        <v>ดีมาก</v>
      </c>
      <c r="E861" s="12" t="n">
        <f aca="false">YEAR(A861)</f>
        <v>2023</v>
      </c>
      <c r="F861" s="12" t="n">
        <f aca="false">MONTH(A861)</f>
        <v>5</v>
      </c>
      <c r="G861" s="12" t="n">
        <v>10.2</v>
      </c>
      <c r="H861" s="12" t="n">
        <v>26.3</v>
      </c>
      <c r="I861" s="12" t="n">
        <v>5</v>
      </c>
      <c r="J861" s="12" t="n">
        <v>9.1</v>
      </c>
      <c r="K861" s="12" t="n">
        <v>0</v>
      </c>
      <c r="L861" s="12" t="s">
        <v>36</v>
      </c>
    </row>
    <row r="862" customFormat="false" ht="15" hidden="false" customHeight="false" outlineLevel="0" collapsed="false">
      <c r="A862" s="11" t="n">
        <v>45057</v>
      </c>
      <c r="B862" s="12" t="n">
        <v>14</v>
      </c>
      <c r="C862" s="12" t="n">
        <f aca="false">IF(NOT(ISNUMBER(B862)),"",ROUND((INDEX(BP!$D$5:$D$9,MATCH(B862,BP!$A$5:$A$9,1))-INDEX(BP!$C$5:$C$9,MATCH(B862,BP!$A$5:$A$9,1)))/(INDEX(BP!$B$5:$B$9,MATCH(B862,BP!$A$5:$A$9,1))-INDEX(BP!$A$5:$A$9,MATCH(B862,BP!$A$5:$A$9,1)))*(B862-INDEX(BP!$A$5:$A$9,MATCH(B862,BP!$A$5:$A$9,1)))+INDEX(BP!$C$5:$C$9,MATCH(B862,BP!$A$5:$A$9,1)),0))</f>
        <v>23</v>
      </c>
      <c r="D862" s="12" t="str">
        <f aca="false">IF(NOT(ISNUMBER(C862)),"",INDEX(BP!$F$5:$F$9,MATCH(C862,BP!$E$5:$E$9,1)))</f>
        <v>ดีมาก</v>
      </c>
      <c r="E862" s="12" t="n">
        <f aca="false">YEAR(A862)</f>
        <v>2023</v>
      </c>
      <c r="F862" s="12" t="n">
        <f aca="false">MONTH(A862)</f>
        <v>5</v>
      </c>
      <c r="G862" s="12" t="n">
        <v>13.6</v>
      </c>
      <c r="H862" s="12" t="n">
        <v>31.7</v>
      </c>
      <c r="I862" s="12" t="n">
        <v>71</v>
      </c>
      <c r="J862" s="12" t="n">
        <v>0.5</v>
      </c>
      <c r="K862" s="12" t="n">
        <v>0</v>
      </c>
      <c r="L862" s="12" t="s">
        <v>36</v>
      </c>
    </row>
    <row r="863" customFormat="false" ht="15" hidden="false" customHeight="false" outlineLevel="0" collapsed="false">
      <c r="A863" s="11" t="n">
        <v>45058</v>
      </c>
      <c r="B863" s="12" t="n">
        <v>16</v>
      </c>
      <c r="C863" s="12" t="n">
        <f aca="false">IF(NOT(ISNUMBER(B863)),"",ROUND((INDEX(BP!$D$5:$D$9,MATCH(B863,BP!$A$5:$A$9,1))-INDEX(BP!$C$5:$C$9,MATCH(B863,BP!$A$5:$A$9,1)))/(INDEX(BP!$B$5:$B$9,MATCH(B863,BP!$A$5:$A$9,1))-INDEX(BP!$A$5:$A$9,MATCH(B863,BP!$A$5:$A$9,1)))*(B863-INDEX(BP!$A$5:$A$9,MATCH(B863,BP!$A$5:$A$9,1)))+INDEX(BP!$C$5:$C$9,MATCH(B863,BP!$A$5:$A$9,1)),0))</f>
        <v>28</v>
      </c>
      <c r="D863" s="12" t="str">
        <f aca="false">IF(NOT(ISNUMBER(C863)),"",INDEX(BP!$F$5:$F$9,MATCH(C863,BP!$E$5:$E$9,1)))</f>
        <v>ดี</v>
      </c>
      <c r="E863" s="12" t="n">
        <f aca="false">YEAR(A863)</f>
        <v>2023</v>
      </c>
      <c r="F863" s="12" t="n">
        <f aca="false">MONTH(A863)</f>
        <v>5</v>
      </c>
      <c r="G863" s="12" t="n">
        <v>10.8</v>
      </c>
      <c r="H863" s="12" t="n">
        <v>26.6</v>
      </c>
      <c r="I863" s="12" t="n">
        <v>90</v>
      </c>
      <c r="J863" s="12" t="n">
        <v>0.2</v>
      </c>
      <c r="K863" s="12" t="n">
        <v>0</v>
      </c>
      <c r="L863" s="12" t="s">
        <v>36</v>
      </c>
    </row>
    <row r="864" customFormat="false" ht="15" hidden="false" customHeight="false" outlineLevel="0" collapsed="false">
      <c r="A864" s="11" t="n">
        <v>45059</v>
      </c>
      <c r="B864" s="12" t="n">
        <v>17</v>
      </c>
      <c r="C864" s="12" t="n">
        <f aca="false">IF(NOT(ISNUMBER(B864)),"",ROUND((INDEX(BP!$D$5:$D$9,MATCH(B864,BP!$A$5:$A$9,1))-INDEX(BP!$C$5:$C$9,MATCH(B864,BP!$A$5:$A$9,1)))/(INDEX(BP!$B$5:$B$9,MATCH(B864,BP!$A$5:$A$9,1))-INDEX(BP!$A$5:$A$9,MATCH(B864,BP!$A$5:$A$9,1)))*(B864-INDEX(BP!$A$5:$A$9,MATCH(B864,BP!$A$5:$A$9,1)))+INDEX(BP!$C$5:$C$9,MATCH(B864,BP!$A$5:$A$9,1)),0))</f>
        <v>31</v>
      </c>
      <c r="D864" s="12" t="str">
        <f aca="false">IF(NOT(ISNUMBER(C864)),"",INDEX(BP!$F$5:$F$9,MATCH(C864,BP!$E$5:$E$9,1)))</f>
        <v>ดี</v>
      </c>
      <c r="E864" s="12" t="n">
        <f aca="false">YEAR(A864)</f>
        <v>2023</v>
      </c>
      <c r="F864" s="12" t="n">
        <f aca="false">MONTH(A864)</f>
        <v>5</v>
      </c>
      <c r="G864" s="12" t="n">
        <v>10.1</v>
      </c>
      <c r="H864" s="12" t="n">
        <v>23.8</v>
      </c>
      <c r="I864" s="12" t="n">
        <v>104</v>
      </c>
      <c r="J864" s="12" t="n">
        <v>0.2</v>
      </c>
      <c r="K864" s="12" t="n">
        <v>0.2</v>
      </c>
      <c r="L864" s="12" t="s">
        <v>35</v>
      </c>
    </row>
    <row r="865" customFormat="false" ht="15" hidden="false" customHeight="false" outlineLevel="0" collapsed="false">
      <c r="A865" s="11" t="n">
        <v>45060</v>
      </c>
      <c r="B865" s="12" t="n">
        <v>20</v>
      </c>
      <c r="C865" s="12" t="n">
        <f aca="false">IF(NOT(ISNUMBER(B865)),"",ROUND((INDEX(BP!$D$5:$D$9,MATCH(B865,BP!$A$5:$A$9,1))-INDEX(BP!$C$5:$C$9,MATCH(B865,BP!$A$5:$A$9,1)))/(INDEX(BP!$B$5:$B$9,MATCH(B865,BP!$A$5:$A$9,1))-INDEX(BP!$A$5:$A$9,MATCH(B865,BP!$A$5:$A$9,1)))*(B865-INDEX(BP!$A$5:$A$9,MATCH(B865,BP!$A$5:$A$9,1)))+INDEX(BP!$C$5:$C$9,MATCH(B865,BP!$A$5:$A$9,1)),0))</f>
        <v>38</v>
      </c>
      <c r="D865" s="12" t="str">
        <f aca="false">IF(NOT(ISNUMBER(C865)),"",INDEX(BP!$F$5:$F$9,MATCH(C865,BP!$E$5:$E$9,1)))</f>
        <v>ดี</v>
      </c>
      <c r="E865" s="12" t="n">
        <f aca="false">YEAR(A865)</f>
        <v>2023</v>
      </c>
      <c r="F865" s="12" t="n">
        <f aca="false">MONTH(A865)</f>
        <v>5</v>
      </c>
      <c r="G865" s="12" t="n">
        <v>15</v>
      </c>
      <c r="H865" s="12" t="n">
        <v>29.5</v>
      </c>
      <c r="I865" s="12" t="n">
        <v>146</v>
      </c>
      <c r="J865" s="12" t="n">
        <v>5.3</v>
      </c>
      <c r="K865" s="12" t="n">
        <v>0</v>
      </c>
      <c r="L865" s="12" t="s">
        <v>35</v>
      </c>
    </row>
    <row r="866" customFormat="false" ht="15" hidden="false" customHeight="false" outlineLevel="0" collapsed="false">
      <c r="A866" s="11" t="n">
        <v>45061</v>
      </c>
      <c r="B866" s="12" t="n">
        <v>20</v>
      </c>
      <c r="C866" s="12" t="n">
        <f aca="false">IF(NOT(ISNUMBER(B866)),"",ROUND((INDEX(BP!$D$5:$D$9,MATCH(B866,BP!$A$5:$A$9,1))-INDEX(BP!$C$5:$C$9,MATCH(B866,BP!$A$5:$A$9,1)))/(INDEX(BP!$B$5:$B$9,MATCH(B866,BP!$A$5:$A$9,1))-INDEX(BP!$A$5:$A$9,MATCH(B866,BP!$A$5:$A$9,1)))*(B866-INDEX(BP!$A$5:$A$9,MATCH(B866,BP!$A$5:$A$9,1)))+INDEX(BP!$C$5:$C$9,MATCH(B866,BP!$A$5:$A$9,1)),0))</f>
        <v>38</v>
      </c>
      <c r="D866" s="12" t="str">
        <f aca="false">IF(NOT(ISNUMBER(C866)),"",INDEX(BP!$F$5:$F$9,MATCH(C866,BP!$E$5:$E$9,1)))</f>
        <v>ดี</v>
      </c>
      <c r="E866" s="12" t="n">
        <f aca="false">YEAR(A866)</f>
        <v>2023</v>
      </c>
      <c r="F866" s="12" t="n">
        <f aca="false">MONTH(A866)</f>
        <v>5</v>
      </c>
      <c r="G866" s="12" t="n">
        <v>11.9</v>
      </c>
      <c r="H866" s="12" t="n">
        <v>29.2</v>
      </c>
      <c r="I866" s="12" t="n">
        <v>226</v>
      </c>
      <c r="J866" s="12" t="n">
        <v>3.8</v>
      </c>
      <c r="K866" s="12" t="n">
        <v>15.8</v>
      </c>
      <c r="L866" s="12" t="s">
        <v>36</v>
      </c>
    </row>
    <row r="867" customFormat="false" ht="15" hidden="false" customHeight="false" outlineLevel="0" collapsed="false">
      <c r="A867" s="11" t="n">
        <v>45062</v>
      </c>
      <c r="B867" s="12" t="n">
        <v>15</v>
      </c>
      <c r="C867" s="12" t="n">
        <f aca="false">IF(NOT(ISNUMBER(B867)),"",ROUND((INDEX(BP!$D$5:$D$9,MATCH(B867,BP!$A$5:$A$9,1))-INDEX(BP!$C$5:$C$9,MATCH(B867,BP!$A$5:$A$9,1)))/(INDEX(BP!$B$5:$B$9,MATCH(B867,BP!$A$5:$A$9,1))-INDEX(BP!$A$5:$A$9,MATCH(B867,BP!$A$5:$A$9,1)))*(B867-INDEX(BP!$A$5:$A$9,MATCH(B867,BP!$A$5:$A$9,1)))+INDEX(BP!$C$5:$C$9,MATCH(B867,BP!$A$5:$A$9,1)),0))</f>
        <v>25</v>
      </c>
      <c r="D867" s="12" t="str">
        <f aca="false">IF(NOT(ISNUMBER(C867)),"",INDEX(BP!$F$5:$F$9,MATCH(C867,BP!$E$5:$E$9,1)))</f>
        <v>ดีมาก</v>
      </c>
      <c r="E867" s="12" t="n">
        <f aca="false">YEAR(A867)</f>
        <v>2023</v>
      </c>
      <c r="F867" s="12" t="n">
        <f aca="false">MONTH(A867)</f>
        <v>5</v>
      </c>
      <c r="G867" s="12" t="n">
        <v>12.9</v>
      </c>
      <c r="H867" s="12" t="n">
        <v>23.8</v>
      </c>
      <c r="I867" s="12" t="n">
        <v>153</v>
      </c>
      <c r="J867" s="12" t="n">
        <v>3.5</v>
      </c>
      <c r="K867" s="12" t="n">
        <v>0</v>
      </c>
      <c r="L867" s="12" t="s">
        <v>36</v>
      </c>
    </row>
    <row r="868" customFormat="false" ht="15" hidden="false" customHeight="false" outlineLevel="0" collapsed="false">
      <c r="A868" s="11" t="n">
        <v>45063</v>
      </c>
      <c r="B868" s="12" t="n">
        <v>16</v>
      </c>
      <c r="C868" s="12" t="n">
        <f aca="false">IF(NOT(ISNUMBER(B868)),"",ROUND((INDEX(BP!$D$5:$D$9,MATCH(B868,BP!$A$5:$A$9,1))-INDEX(BP!$C$5:$C$9,MATCH(B868,BP!$A$5:$A$9,1)))/(INDEX(BP!$B$5:$B$9,MATCH(B868,BP!$A$5:$A$9,1))-INDEX(BP!$A$5:$A$9,MATCH(B868,BP!$A$5:$A$9,1)))*(B868-INDEX(BP!$A$5:$A$9,MATCH(B868,BP!$A$5:$A$9,1)))+INDEX(BP!$C$5:$C$9,MATCH(B868,BP!$A$5:$A$9,1)),0))</f>
        <v>28</v>
      </c>
      <c r="D868" s="12" t="str">
        <f aca="false">IF(NOT(ISNUMBER(C868)),"",INDEX(BP!$F$5:$F$9,MATCH(C868,BP!$E$5:$E$9,1)))</f>
        <v>ดี</v>
      </c>
      <c r="E868" s="12" t="n">
        <f aca="false">YEAR(A868)</f>
        <v>2023</v>
      </c>
      <c r="F868" s="12" t="n">
        <f aca="false">MONTH(A868)</f>
        <v>5</v>
      </c>
      <c r="G868" s="12" t="n">
        <v>11.2</v>
      </c>
      <c r="H868" s="12" t="n">
        <v>24.5</v>
      </c>
      <c r="I868" s="12" t="n">
        <v>358</v>
      </c>
      <c r="J868" s="12" t="n">
        <v>11.3</v>
      </c>
      <c r="K868" s="12" t="n">
        <v>48.2</v>
      </c>
      <c r="L868" s="12" t="s">
        <v>34</v>
      </c>
    </row>
    <row r="869" customFormat="false" ht="15" hidden="false" customHeight="false" outlineLevel="0" collapsed="false">
      <c r="A869" s="11" t="n">
        <v>45064</v>
      </c>
      <c r="B869" s="12" t="n">
        <v>13</v>
      </c>
      <c r="C869" s="12" t="n">
        <f aca="false">IF(NOT(ISNUMBER(B869)),"",ROUND((INDEX(BP!$D$5:$D$9,MATCH(B869,BP!$A$5:$A$9,1))-INDEX(BP!$C$5:$C$9,MATCH(B869,BP!$A$5:$A$9,1)))/(INDEX(BP!$B$5:$B$9,MATCH(B869,BP!$A$5:$A$9,1))-INDEX(BP!$A$5:$A$9,MATCH(B869,BP!$A$5:$A$9,1)))*(B869-INDEX(BP!$A$5:$A$9,MATCH(B869,BP!$A$5:$A$9,1)))+INDEX(BP!$C$5:$C$9,MATCH(B869,BP!$A$5:$A$9,1)),0))</f>
        <v>22</v>
      </c>
      <c r="D869" s="12" t="str">
        <f aca="false">IF(NOT(ISNUMBER(C869)),"",INDEX(BP!$F$5:$F$9,MATCH(C869,BP!$E$5:$E$9,1)))</f>
        <v>ดีมาก</v>
      </c>
      <c r="E869" s="12" t="n">
        <f aca="false">YEAR(A869)</f>
        <v>2023</v>
      </c>
      <c r="F869" s="12" t="n">
        <f aca="false">MONTH(A869)</f>
        <v>5</v>
      </c>
      <c r="G869" s="12" t="n">
        <v>15.7</v>
      </c>
      <c r="H869" s="12" t="n">
        <v>34.2</v>
      </c>
      <c r="I869" s="12" t="n">
        <v>245</v>
      </c>
      <c r="J869" s="12" t="n">
        <v>5.5</v>
      </c>
      <c r="K869" s="12" t="n">
        <v>0.2</v>
      </c>
      <c r="L869" s="12" t="s">
        <v>36</v>
      </c>
    </row>
    <row r="870" customFormat="false" ht="15" hidden="false" customHeight="false" outlineLevel="0" collapsed="false">
      <c r="A870" s="11" t="n">
        <v>45065</v>
      </c>
      <c r="B870" s="12" t="n">
        <v>16</v>
      </c>
      <c r="C870" s="12" t="n">
        <f aca="false">IF(NOT(ISNUMBER(B870)),"",ROUND((INDEX(BP!$D$5:$D$9,MATCH(B870,BP!$A$5:$A$9,1))-INDEX(BP!$C$5:$C$9,MATCH(B870,BP!$A$5:$A$9,1)))/(INDEX(BP!$B$5:$B$9,MATCH(B870,BP!$A$5:$A$9,1))-INDEX(BP!$A$5:$A$9,MATCH(B870,BP!$A$5:$A$9,1)))*(B870-INDEX(BP!$A$5:$A$9,MATCH(B870,BP!$A$5:$A$9,1)))+INDEX(BP!$C$5:$C$9,MATCH(B870,BP!$A$5:$A$9,1)),0))</f>
        <v>28</v>
      </c>
      <c r="D870" s="12" t="str">
        <f aca="false">IF(NOT(ISNUMBER(C870)),"",INDEX(BP!$F$5:$F$9,MATCH(C870,BP!$E$5:$E$9,1)))</f>
        <v>ดี</v>
      </c>
      <c r="E870" s="12" t="n">
        <f aca="false">YEAR(A870)</f>
        <v>2023</v>
      </c>
      <c r="F870" s="12" t="n">
        <f aca="false">MONTH(A870)</f>
        <v>5</v>
      </c>
      <c r="G870" s="12" t="n">
        <v>18</v>
      </c>
      <c r="H870" s="12" t="n">
        <v>39.2</v>
      </c>
      <c r="I870" s="12" t="n">
        <v>243</v>
      </c>
      <c r="J870" s="12" t="n">
        <v>7.5</v>
      </c>
      <c r="K870" s="12" t="n">
        <v>4.6</v>
      </c>
      <c r="L870" s="12" t="s">
        <v>36</v>
      </c>
    </row>
    <row r="871" customFormat="false" ht="15" hidden="false" customHeight="false" outlineLevel="0" collapsed="false">
      <c r="A871" s="11" t="n">
        <v>45066</v>
      </c>
      <c r="B871" s="12" t="n">
        <v>14</v>
      </c>
      <c r="C871" s="12" t="n">
        <f aca="false">IF(NOT(ISNUMBER(B871)),"",ROUND((INDEX(BP!$D$5:$D$9,MATCH(B871,BP!$A$5:$A$9,1))-INDEX(BP!$C$5:$C$9,MATCH(B871,BP!$A$5:$A$9,1)))/(INDEX(BP!$B$5:$B$9,MATCH(B871,BP!$A$5:$A$9,1))-INDEX(BP!$A$5:$A$9,MATCH(B871,BP!$A$5:$A$9,1)))*(B871-INDEX(BP!$A$5:$A$9,MATCH(B871,BP!$A$5:$A$9,1)))+INDEX(BP!$C$5:$C$9,MATCH(B871,BP!$A$5:$A$9,1)),0))</f>
        <v>23</v>
      </c>
      <c r="D871" s="12" t="str">
        <f aca="false">IF(NOT(ISNUMBER(C871)),"",INDEX(BP!$F$5:$F$9,MATCH(C871,BP!$E$5:$E$9,1)))</f>
        <v>ดีมาก</v>
      </c>
      <c r="E871" s="12" t="n">
        <f aca="false">YEAR(A871)</f>
        <v>2023</v>
      </c>
      <c r="F871" s="12" t="n">
        <f aca="false">MONTH(A871)</f>
        <v>5</v>
      </c>
      <c r="G871" s="12" t="n">
        <v>15.7</v>
      </c>
      <c r="H871" s="12" t="n">
        <v>37.4</v>
      </c>
      <c r="I871" s="12" t="n">
        <v>229</v>
      </c>
      <c r="J871" s="12" t="n">
        <v>3.9</v>
      </c>
      <c r="K871" s="12" t="n">
        <v>0</v>
      </c>
      <c r="L871" s="12" t="s">
        <v>35</v>
      </c>
    </row>
    <row r="872" customFormat="false" ht="15" hidden="false" customHeight="false" outlineLevel="0" collapsed="false">
      <c r="A872" s="11" t="n">
        <v>45067</v>
      </c>
      <c r="B872" s="12" t="n">
        <v>16</v>
      </c>
      <c r="C872" s="12" t="n">
        <f aca="false">IF(NOT(ISNUMBER(B872)),"",ROUND((INDEX(BP!$D$5:$D$9,MATCH(B872,BP!$A$5:$A$9,1))-INDEX(BP!$C$5:$C$9,MATCH(B872,BP!$A$5:$A$9,1)))/(INDEX(BP!$B$5:$B$9,MATCH(B872,BP!$A$5:$A$9,1))-INDEX(BP!$A$5:$A$9,MATCH(B872,BP!$A$5:$A$9,1)))*(B872-INDEX(BP!$A$5:$A$9,MATCH(B872,BP!$A$5:$A$9,1)))+INDEX(BP!$C$5:$C$9,MATCH(B872,BP!$A$5:$A$9,1)),0))</f>
        <v>28</v>
      </c>
      <c r="D872" s="12" t="str">
        <f aca="false">IF(NOT(ISNUMBER(C872)),"",INDEX(BP!$F$5:$F$9,MATCH(C872,BP!$E$5:$E$9,1)))</f>
        <v>ดี</v>
      </c>
      <c r="E872" s="12" t="n">
        <f aca="false">YEAR(A872)</f>
        <v>2023</v>
      </c>
      <c r="F872" s="12" t="n">
        <f aca="false">MONTH(A872)</f>
        <v>5</v>
      </c>
      <c r="G872" s="12" t="n">
        <v>22.4</v>
      </c>
      <c r="H872" s="12" t="n">
        <v>47.5</v>
      </c>
      <c r="I872" s="12" t="n">
        <v>224</v>
      </c>
      <c r="J872" s="12" t="n">
        <v>12.8</v>
      </c>
      <c r="K872" s="12" t="n">
        <v>0</v>
      </c>
      <c r="L872" s="12" t="s">
        <v>35</v>
      </c>
    </row>
    <row r="873" customFormat="false" ht="15" hidden="false" customHeight="false" outlineLevel="0" collapsed="false">
      <c r="A873" s="11" t="n">
        <v>45068</v>
      </c>
      <c r="B873" s="12" t="n">
        <v>17</v>
      </c>
      <c r="C873" s="12" t="n">
        <f aca="false">IF(NOT(ISNUMBER(B873)),"",ROUND((INDEX(BP!$D$5:$D$9,MATCH(B873,BP!$A$5:$A$9,1))-INDEX(BP!$C$5:$C$9,MATCH(B873,BP!$A$5:$A$9,1)))/(INDEX(BP!$B$5:$B$9,MATCH(B873,BP!$A$5:$A$9,1))-INDEX(BP!$A$5:$A$9,MATCH(B873,BP!$A$5:$A$9,1)))*(B873-INDEX(BP!$A$5:$A$9,MATCH(B873,BP!$A$5:$A$9,1)))+INDEX(BP!$C$5:$C$9,MATCH(B873,BP!$A$5:$A$9,1)),0))</f>
        <v>31</v>
      </c>
      <c r="D873" s="12" t="str">
        <f aca="false">IF(NOT(ISNUMBER(C873)),"",INDEX(BP!$F$5:$F$9,MATCH(C873,BP!$E$5:$E$9,1)))</f>
        <v>ดี</v>
      </c>
      <c r="E873" s="12" t="n">
        <f aca="false">YEAR(A873)</f>
        <v>2023</v>
      </c>
      <c r="F873" s="12" t="n">
        <f aca="false">MONTH(A873)</f>
        <v>5</v>
      </c>
      <c r="G873" s="12" t="n">
        <v>16.9</v>
      </c>
      <c r="H873" s="12" t="n">
        <v>36.4</v>
      </c>
      <c r="I873" s="12" t="n">
        <v>241</v>
      </c>
      <c r="J873" s="12" t="n">
        <v>1.8</v>
      </c>
      <c r="K873" s="12" t="n">
        <v>0</v>
      </c>
      <c r="L873" s="12" t="s">
        <v>36</v>
      </c>
    </row>
    <row r="874" customFormat="false" ht="15" hidden="false" customHeight="false" outlineLevel="0" collapsed="false">
      <c r="A874" s="11" t="n">
        <v>45069</v>
      </c>
      <c r="B874" s="12" t="n">
        <v>14</v>
      </c>
      <c r="C874" s="12" t="n">
        <f aca="false">IF(NOT(ISNUMBER(B874)),"",ROUND((INDEX(BP!$D$5:$D$9,MATCH(B874,BP!$A$5:$A$9,1))-INDEX(BP!$C$5:$C$9,MATCH(B874,BP!$A$5:$A$9,1)))/(INDEX(BP!$B$5:$B$9,MATCH(B874,BP!$A$5:$A$9,1))-INDEX(BP!$A$5:$A$9,MATCH(B874,BP!$A$5:$A$9,1)))*(B874-INDEX(BP!$A$5:$A$9,MATCH(B874,BP!$A$5:$A$9,1)))+INDEX(BP!$C$5:$C$9,MATCH(B874,BP!$A$5:$A$9,1)),0))</f>
        <v>23</v>
      </c>
      <c r="D874" s="12" t="str">
        <f aca="false">IF(NOT(ISNUMBER(C874)),"",INDEX(BP!$F$5:$F$9,MATCH(C874,BP!$E$5:$E$9,1)))</f>
        <v>ดีมาก</v>
      </c>
      <c r="E874" s="12" t="n">
        <f aca="false">YEAR(A874)</f>
        <v>2023</v>
      </c>
      <c r="F874" s="12" t="n">
        <f aca="false">MONTH(A874)</f>
        <v>5</v>
      </c>
      <c r="G874" s="12" t="n">
        <v>16.3</v>
      </c>
      <c r="H874" s="12" t="n">
        <v>34.2</v>
      </c>
      <c r="I874" s="12" t="n">
        <v>239</v>
      </c>
      <c r="J874" s="12" t="n">
        <v>0.7</v>
      </c>
      <c r="K874" s="12" t="n">
        <v>0</v>
      </c>
      <c r="L874" s="12" t="s">
        <v>36</v>
      </c>
    </row>
    <row r="875" customFormat="false" ht="15" hidden="false" customHeight="false" outlineLevel="0" collapsed="false">
      <c r="A875" s="11" t="n">
        <v>45070</v>
      </c>
      <c r="B875" s="12" t="n">
        <v>17</v>
      </c>
      <c r="C875" s="12" t="n">
        <f aca="false">IF(NOT(ISNUMBER(B875)),"",ROUND((INDEX(BP!$D$5:$D$9,MATCH(B875,BP!$A$5:$A$9,1))-INDEX(BP!$C$5:$C$9,MATCH(B875,BP!$A$5:$A$9,1)))/(INDEX(BP!$B$5:$B$9,MATCH(B875,BP!$A$5:$A$9,1))-INDEX(BP!$A$5:$A$9,MATCH(B875,BP!$A$5:$A$9,1)))*(B875-INDEX(BP!$A$5:$A$9,MATCH(B875,BP!$A$5:$A$9,1)))+INDEX(BP!$C$5:$C$9,MATCH(B875,BP!$A$5:$A$9,1)),0))</f>
        <v>31</v>
      </c>
      <c r="D875" s="12" t="str">
        <f aca="false">IF(NOT(ISNUMBER(C875)),"",INDEX(BP!$F$5:$F$9,MATCH(C875,BP!$E$5:$E$9,1)))</f>
        <v>ดี</v>
      </c>
      <c r="E875" s="12" t="n">
        <f aca="false">YEAR(A875)</f>
        <v>2023</v>
      </c>
      <c r="F875" s="12" t="n">
        <f aca="false">MONTH(A875)</f>
        <v>5</v>
      </c>
      <c r="G875" s="12" t="n">
        <v>16.7</v>
      </c>
      <c r="H875" s="12" t="n">
        <v>31.7</v>
      </c>
      <c r="I875" s="12" t="n">
        <v>234</v>
      </c>
      <c r="J875" s="12" t="n">
        <v>2.2</v>
      </c>
      <c r="K875" s="12" t="n">
        <v>0</v>
      </c>
      <c r="L875" s="12" t="s">
        <v>36</v>
      </c>
    </row>
    <row r="876" customFormat="false" ht="15" hidden="false" customHeight="false" outlineLevel="0" collapsed="false">
      <c r="A876" s="11" t="n">
        <v>45071</v>
      </c>
      <c r="B876" s="12" t="n">
        <v>17</v>
      </c>
      <c r="C876" s="12" t="n">
        <f aca="false">IF(NOT(ISNUMBER(B876)),"",ROUND((INDEX(BP!$D$5:$D$9,MATCH(B876,BP!$A$5:$A$9,1))-INDEX(BP!$C$5:$C$9,MATCH(B876,BP!$A$5:$A$9,1)))/(INDEX(BP!$B$5:$B$9,MATCH(B876,BP!$A$5:$A$9,1))-INDEX(BP!$A$5:$A$9,MATCH(B876,BP!$A$5:$A$9,1)))*(B876-INDEX(BP!$A$5:$A$9,MATCH(B876,BP!$A$5:$A$9,1)))+INDEX(BP!$C$5:$C$9,MATCH(B876,BP!$A$5:$A$9,1)),0))</f>
        <v>31</v>
      </c>
      <c r="D876" s="12" t="str">
        <f aca="false">IF(NOT(ISNUMBER(C876)),"",INDEX(BP!$F$5:$F$9,MATCH(C876,BP!$E$5:$E$9,1)))</f>
        <v>ดี</v>
      </c>
      <c r="E876" s="12" t="n">
        <f aca="false">YEAR(A876)</f>
        <v>2023</v>
      </c>
      <c r="F876" s="12" t="n">
        <f aca="false">MONTH(A876)</f>
        <v>5</v>
      </c>
      <c r="G876" s="12" t="n">
        <v>15.1</v>
      </c>
      <c r="H876" s="12" t="n">
        <v>34.9</v>
      </c>
      <c r="I876" s="12" t="n">
        <v>236</v>
      </c>
      <c r="J876" s="12" t="n">
        <v>2.1</v>
      </c>
      <c r="K876" s="12" t="n">
        <v>0</v>
      </c>
      <c r="L876" s="12" t="s">
        <v>36</v>
      </c>
    </row>
    <row r="877" customFormat="false" ht="15" hidden="false" customHeight="false" outlineLevel="0" collapsed="false">
      <c r="A877" s="11" t="n">
        <v>45072</v>
      </c>
      <c r="B877" s="12" t="n">
        <v>15</v>
      </c>
      <c r="C877" s="12" t="n">
        <f aca="false">IF(NOT(ISNUMBER(B877)),"",ROUND((INDEX(BP!$D$5:$D$9,MATCH(B877,BP!$A$5:$A$9,1))-INDEX(BP!$C$5:$C$9,MATCH(B877,BP!$A$5:$A$9,1)))/(INDEX(BP!$B$5:$B$9,MATCH(B877,BP!$A$5:$A$9,1))-INDEX(BP!$A$5:$A$9,MATCH(B877,BP!$A$5:$A$9,1)))*(B877-INDEX(BP!$A$5:$A$9,MATCH(B877,BP!$A$5:$A$9,1)))+INDEX(BP!$C$5:$C$9,MATCH(B877,BP!$A$5:$A$9,1)),0))</f>
        <v>25</v>
      </c>
      <c r="D877" s="12" t="str">
        <f aca="false">IF(NOT(ISNUMBER(C877)),"",INDEX(BP!$F$5:$F$9,MATCH(C877,BP!$E$5:$E$9,1)))</f>
        <v>ดีมาก</v>
      </c>
      <c r="E877" s="12" t="n">
        <f aca="false">YEAR(A877)</f>
        <v>2023</v>
      </c>
      <c r="F877" s="12" t="n">
        <f aca="false">MONTH(A877)</f>
        <v>5</v>
      </c>
      <c r="G877" s="12" t="n">
        <v>14.5</v>
      </c>
      <c r="H877" s="12" t="n">
        <v>36.4</v>
      </c>
      <c r="I877" s="12" t="n">
        <v>232</v>
      </c>
      <c r="J877" s="12" t="n">
        <v>10.4</v>
      </c>
      <c r="K877" s="12" t="n">
        <v>12.2</v>
      </c>
      <c r="L877" s="12" t="s">
        <v>36</v>
      </c>
    </row>
    <row r="878" customFormat="false" ht="15" hidden="false" customHeight="false" outlineLevel="0" collapsed="false">
      <c r="A878" s="11" t="n">
        <v>45073</v>
      </c>
      <c r="B878" s="12" t="n">
        <v>14</v>
      </c>
      <c r="C878" s="12" t="n">
        <f aca="false">IF(NOT(ISNUMBER(B878)),"",ROUND((INDEX(BP!$D$5:$D$9,MATCH(B878,BP!$A$5:$A$9,1))-INDEX(BP!$C$5:$C$9,MATCH(B878,BP!$A$5:$A$9,1)))/(INDEX(BP!$B$5:$B$9,MATCH(B878,BP!$A$5:$A$9,1))-INDEX(BP!$A$5:$A$9,MATCH(B878,BP!$A$5:$A$9,1)))*(B878-INDEX(BP!$A$5:$A$9,MATCH(B878,BP!$A$5:$A$9,1)))+INDEX(BP!$C$5:$C$9,MATCH(B878,BP!$A$5:$A$9,1)),0))</f>
        <v>23</v>
      </c>
      <c r="D878" s="12" t="str">
        <f aca="false">IF(NOT(ISNUMBER(C878)),"",INDEX(BP!$F$5:$F$9,MATCH(C878,BP!$E$5:$E$9,1)))</f>
        <v>ดีมาก</v>
      </c>
      <c r="E878" s="12" t="n">
        <f aca="false">YEAR(A878)</f>
        <v>2023</v>
      </c>
      <c r="F878" s="12" t="n">
        <f aca="false">MONTH(A878)</f>
        <v>5</v>
      </c>
      <c r="G878" s="12" t="n">
        <v>20.9</v>
      </c>
      <c r="H878" s="12" t="n">
        <v>43.6</v>
      </c>
      <c r="I878" s="12" t="n">
        <v>246</v>
      </c>
      <c r="J878" s="12" t="n">
        <v>3.6</v>
      </c>
      <c r="K878" s="12" t="n">
        <v>3</v>
      </c>
      <c r="L878" s="12" t="s">
        <v>35</v>
      </c>
    </row>
    <row r="879" customFormat="false" ht="15" hidden="false" customHeight="false" outlineLevel="0" collapsed="false">
      <c r="A879" s="11" t="n">
        <v>45074</v>
      </c>
      <c r="B879" s="12" t="n">
        <v>14</v>
      </c>
      <c r="C879" s="12" t="n">
        <f aca="false">IF(NOT(ISNUMBER(B879)),"",ROUND((INDEX(BP!$D$5:$D$9,MATCH(B879,BP!$A$5:$A$9,1))-INDEX(BP!$C$5:$C$9,MATCH(B879,BP!$A$5:$A$9,1)))/(INDEX(BP!$B$5:$B$9,MATCH(B879,BP!$A$5:$A$9,1))-INDEX(BP!$A$5:$A$9,MATCH(B879,BP!$A$5:$A$9,1)))*(B879-INDEX(BP!$A$5:$A$9,MATCH(B879,BP!$A$5:$A$9,1)))+INDEX(BP!$C$5:$C$9,MATCH(B879,BP!$A$5:$A$9,1)),0))</f>
        <v>23</v>
      </c>
      <c r="D879" s="12" t="str">
        <f aca="false">IF(NOT(ISNUMBER(C879)),"",INDEX(BP!$F$5:$F$9,MATCH(C879,BP!$E$5:$E$9,1)))</f>
        <v>ดีมาก</v>
      </c>
      <c r="E879" s="12" t="n">
        <f aca="false">YEAR(A879)</f>
        <v>2023</v>
      </c>
      <c r="F879" s="12" t="n">
        <f aca="false">MONTH(A879)</f>
        <v>5</v>
      </c>
      <c r="G879" s="12" t="n">
        <v>15.3</v>
      </c>
      <c r="H879" s="12" t="n">
        <v>41.4</v>
      </c>
      <c r="I879" s="12" t="n">
        <v>249</v>
      </c>
      <c r="J879" s="12" t="n">
        <v>5.9</v>
      </c>
      <c r="K879" s="12" t="n">
        <v>2.4</v>
      </c>
      <c r="L879" s="12" t="s">
        <v>35</v>
      </c>
    </row>
    <row r="880" customFormat="false" ht="15" hidden="false" customHeight="false" outlineLevel="0" collapsed="false">
      <c r="A880" s="11" t="n">
        <v>45075</v>
      </c>
      <c r="B880" s="12" t="n">
        <v>15</v>
      </c>
      <c r="C880" s="12" t="n">
        <f aca="false">IF(NOT(ISNUMBER(B880)),"",ROUND((INDEX(BP!$D$5:$D$9,MATCH(B880,BP!$A$5:$A$9,1))-INDEX(BP!$C$5:$C$9,MATCH(B880,BP!$A$5:$A$9,1)))/(INDEX(BP!$B$5:$B$9,MATCH(B880,BP!$A$5:$A$9,1))-INDEX(BP!$A$5:$A$9,MATCH(B880,BP!$A$5:$A$9,1)))*(B880-INDEX(BP!$A$5:$A$9,MATCH(B880,BP!$A$5:$A$9,1)))+INDEX(BP!$C$5:$C$9,MATCH(B880,BP!$A$5:$A$9,1)),0))</f>
        <v>25</v>
      </c>
      <c r="D880" s="12" t="str">
        <f aca="false">IF(NOT(ISNUMBER(C880)),"",INDEX(BP!$F$5:$F$9,MATCH(C880,BP!$E$5:$E$9,1)))</f>
        <v>ดีมาก</v>
      </c>
      <c r="E880" s="12" t="n">
        <f aca="false">YEAR(A880)</f>
        <v>2023</v>
      </c>
      <c r="F880" s="12" t="n">
        <f aca="false">MONTH(A880)</f>
        <v>5</v>
      </c>
      <c r="G880" s="12" t="n">
        <v>20.2</v>
      </c>
      <c r="H880" s="12" t="n">
        <v>40.7</v>
      </c>
      <c r="I880" s="12" t="n">
        <v>253</v>
      </c>
      <c r="J880" s="12" t="n">
        <v>0.3</v>
      </c>
      <c r="K880" s="12" t="n">
        <v>0</v>
      </c>
      <c r="L880" s="12" t="s">
        <v>36</v>
      </c>
    </row>
    <row r="881" customFormat="false" ht="15" hidden="false" customHeight="false" outlineLevel="0" collapsed="false">
      <c r="A881" s="11" t="n">
        <v>45076</v>
      </c>
      <c r="B881" s="12" t="n">
        <v>14</v>
      </c>
      <c r="C881" s="12" t="n">
        <f aca="false">IF(NOT(ISNUMBER(B881)),"",ROUND((INDEX(BP!$D$5:$D$9,MATCH(B881,BP!$A$5:$A$9,1))-INDEX(BP!$C$5:$C$9,MATCH(B881,BP!$A$5:$A$9,1)))/(INDEX(BP!$B$5:$B$9,MATCH(B881,BP!$A$5:$A$9,1))-INDEX(BP!$A$5:$A$9,MATCH(B881,BP!$A$5:$A$9,1)))*(B881-INDEX(BP!$A$5:$A$9,MATCH(B881,BP!$A$5:$A$9,1)))+INDEX(BP!$C$5:$C$9,MATCH(B881,BP!$A$5:$A$9,1)),0))</f>
        <v>23</v>
      </c>
      <c r="D881" s="12" t="str">
        <f aca="false">IF(NOT(ISNUMBER(C881)),"",INDEX(BP!$F$5:$F$9,MATCH(C881,BP!$E$5:$E$9,1)))</f>
        <v>ดีมาก</v>
      </c>
      <c r="E881" s="12" t="n">
        <f aca="false">YEAR(A881)</f>
        <v>2023</v>
      </c>
      <c r="F881" s="12" t="n">
        <f aca="false">MONTH(A881)</f>
        <v>5</v>
      </c>
      <c r="G881" s="12" t="n">
        <v>18.1</v>
      </c>
      <c r="H881" s="12" t="n">
        <v>42.5</v>
      </c>
      <c r="I881" s="12" t="n">
        <v>248</v>
      </c>
      <c r="J881" s="12" t="n">
        <v>1.2</v>
      </c>
      <c r="K881" s="12" t="n">
        <v>3.2</v>
      </c>
      <c r="L881" s="12" t="s">
        <v>36</v>
      </c>
    </row>
    <row r="882" customFormat="false" ht="15" hidden="false" customHeight="false" outlineLevel="0" collapsed="false">
      <c r="A882" s="11" t="n">
        <v>45077</v>
      </c>
      <c r="B882" s="12" t="n">
        <v>14</v>
      </c>
      <c r="C882" s="12" t="n">
        <f aca="false">IF(NOT(ISNUMBER(B882)),"",ROUND((INDEX(BP!$D$5:$D$9,MATCH(B882,BP!$A$5:$A$9,1))-INDEX(BP!$C$5:$C$9,MATCH(B882,BP!$A$5:$A$9,1)))/(INDEX(BP!$B$5:$B$9,MATCH(B882,BP!$A$5:$A$9,1))-INDEX(BP!$A$5:$A$9,MATCH(B882,BP!$A$5:$A$9,1)))*(B882-INDEX(BP!$A$5:$A$9,MATCH(B882,BP!$A$5:$A$9,1)))+INDEX(BP!$C$5:$C$9,MATCH(B882,BP!$A$5:$A$9,1)),0))</f>
        <v>23</v>
      </c>
      <c r="D882" s="12" t="str">
        <f aca="false">IF(NOT(ISNUMBER(C882)),"",INDEX(BP!$F$5:$F$9,MATCH(C882,BP!$E$5:$E$9,1)))</f>
        <v>ดีมาก</v>
      </c>
      <c r="E882" s="12" t="n">
        <f aca="false">YEAR(A882)</f>
        <v>2023</v>
      </c>
      <c r="F882" s="12" t="n">
        <f aca="false">MONTH(A882)</f>
        <v>5</v>
      </c>
      <c r="G882" s="12" t="n">
        <v>20.5</v>
      </c>
      <c r="H882" s="12" t="n">
        <v>40.3</v>
      </c>
      <c r="I882" s="12" t="n">
        <v>251</v>
      </c>
      <c r="J882" s="12" t="n">
        <v>3.5</v>
      </c>
      <c r="K882" s="12" t="n">
        <v>0</v>
      </c>
      <c r="L882" s="12" t="s">
        <v>36</v>
      </c>
    </row>
    <row r="883" customFormat="false" ht="15" hidden="false" customHeight="false" outlineLevel="0" collapsed="false">
      <c r="A883" s="11" t="n">
        <v>45078</v>
      </c>
      <c r="B883" s="12" t="n">
        <v>12</v>
      </c>
      <c r="C883" s="12" t="n">
        <f aca="false">IF(NOT(ISNUMBER(B883)),"",ROUND((INDEX(BP!$D$5:$D$9,MATCH(B883,BP!$A$5:$A$9,1))-INDEX(BP!$C$5:$C$9,MATCH(B883,BP!$A$5:$A$9,1)))/(INDEX(BP!$B$5:$B$9,MATCH(B883,BP!$A$5:$A$9,1))-INDEX(BP!$A$5:$A$9,MATCH(B883,BP!$A$5:$A$9,1)))*(B883-INDEX(BP!$A$5:$A$9,MATCH(B883,BP!$A$5:$A$9,1)))+INDEX(BP!$C$5:$C$9,MATCH(B883,BP!$A$5:$A$9,1)),0))</f>
        <v>20</v>
      </c>
      <c r="D883" s="12" t="str">
        <f aca="false">IF(NOT(ISNUMBER(C883)),"",INDEX(BP!$F$5:$F$9,MATCH(C883,BP!$E$5:$E$9,1)))</f>
        <v>ดีมาก</v>
      </c>
      <c r="E883" s="12" t="n">
        <f aca="false">YEAR(A883)</f>
        <v>2023</v>
      </c>
      <c r="F883" s="12" t="n">
        <f aca="false">MONTH(A883)</f>
        <v>6</v>
      </c>
      <c r="G883" s="12" t="n">
        <v>22.7</v>
      </c>
      <c r="H883" s="12" t="n">
        <v>45.7</v>
      </c>
      <c r="I883" s="12" t="n">
        <v>249</v>
      </c>
      <c r="J883" s="12" t="n">
        <v>0.7</v>
      </c>
      <c r="K883" s="12" t="n">
        <v>0</v>
      </c>
      <c r="L883" s="12" t="s">
        <v>36</v>
      </c>
    </row>
    <row r="884" customFormat="false" ht="15" hidden="false" customHeight="false" outlineLevel="0" collapsed="false">
      <c r="A884" s="11" t="n">
        <v>45079</v>
      </c>
      <c r="B884" s="12" t="n">
        <v>11.8</v>
      </c>
      <c r="C884" s="12" t="n">
        <f aca="false">IF(NOT(ISNUMBER(B884)),"",ROUND((INDEX(BP!$D$5:$D$9,MATCH(B884,BP!$A$5:$A$9,1))-INDEX(BP!$C$5:$C$9,MATCH(B884,BP!$A$5:$A$9,1)))/(INDEX(BP!$B$5:$B$9,MATCH(B884,BP!$A$5:$A$9,1))-INDEX(BP!$A$5:$A$9,MATCH(B884,BP!$A$5:$A$9,1)))*(B884-INDEX(BP!$A$5:$A$9,MATCH(B884,BP!$A$5:$A$9,1)))+INDEX(BP!$C$5:$C$9,MATCH(B884,BP!$A$5:$A$9,1)),0))</f>
        <v>20</v>
      </c>
      <c r="D884" s="12" t="str">
        <f aca="false">IF(NOT(ISNUMBER(C884)),"",INDEX(BP!$F$5:$F$9,MATCH(C884,BP!$E$5:$E$9,1)))</f>
        <v>ดีมาก</v>
      </c>
      <c r="E884" s="12" t="n">
        <f aca="false">YEAR(A884)</f>
        <v>2023</v>
      </c>
      <c r="F884" s="12" t="n">
        <f aca="false">MONTH(A884)</f>
        <v>6</v>
      </c>
      <c r="G884" s="12" t="n">
        <v>15.4</v>
      </c>
      <c r="H884" s="12" t="n">
        <v>34.9</v>
      </c>
      <c r="I884" s="12" t="n">
        <v>243</v>
      </c>
      <c r="J884" s="12" t="n">
        <v>5.1</v>
      </c>
      <c r="K884" s="12" t="n">
        <v>0</v>
      </c>
      <c r="L884" s="12" t="s">
        <v>36</v>
      </c>
    </row>
    <row r="885" customFormat="false" ht="15" hidden="false" customHeight="false" outlineLevel="0" collapsed="false">
      <c r="A885" s="11" t="n">
        <v>45080</v>
      </c>
      <c r="B885" s="12" t="n">
        <v>12.6</v>
      </c>
      <c r="C885" s="12" t="n">
        <f aca="false">IF(NOT(ISNUMBER(B885)),"",ROUND((INDEX(BP!$D$5:$D$9,MATCH(B885,BP!$A$5:$A$9,1))-INDEX(BP!$C$5:$C$9,MATCH(B885,BP!$A$5:$A$9,1)))/(INDEX(BP!$B$5:$B$9,MATCH(B885,BP!$A$5:$A$9,1))-INDEX(BP!$A$5:$A$9,MATCH(B885,BP!$A$5:$A$9,1)))*(B885-INDEX(BP!$A$5:$A$9,MATCH(B885,BP!$A$5:$A$9,1)))+INDEX(BP!$C$5:$C$9,MATCH(B885,BP!$A$5:$A$9,1)),0))</f>
        <v>21</v>
      </c>
      <c r="D885" s="12" t="str">
        <f aca="false">IF(NOT(ISNUMBER(C885)),"",INDEX(BP!$F$5:$F$9,MATCH(C885,BP!$E$5:$E$9,1)))</f>
        <v>ดีมาก</v>
      </c>
      <c r="E885" s="12" t="n">
        <f aca="false">YEAR(A885)</f>
        <v>2023</v>
      </c>
      <c r="F885" s="12" t="n">
        <f aca="false">MONTH(A885)</f>
        <v>6</v>
      </c>
      <c r="G885" s="12" t="n">
        <v>11.9</v>
      </c>
      <c r="H885" s="12" t="n">
        <v>29.9</v>
      </c>
      <c r="I885" s="12" t="n">
        <v>242</v>
      </c>
      <c r="J885" s="12" t="n">
        <v>15.1</v>
      </c>
      <c r="K885" s="12" t="n">
        <v>0.4</v>
      </c>
      <c r="L885" s="12" t="s">
        <v>34</v>
      </c>
    </row>
    <row r="886" customFormat="false" ht="15" hidden="false" customHeight="false" outlineLevel="0" collapsed="false">
      <c r="A886" s="11" t="n">
        <v>45081</v>
      </c>
      <c r="B886" s="12" t="n">
        <v>12.8</v>
      </c>
      <c r="C886" s="12" t="n">
        <f aca="false">IF(NOT(ISNUMBER(B886)),"",ROUND((INDEX(BP!$D$5:$D$9,MATCH(B886,BP!$A$5:$A$9,1))-INDEX(BP!$C$5:$C$9,MATCH(B886,BP!$A$5:$A$9,1)))/(INDEX(BP!$B$5:$B$9,MATCH(B886,BP!$A$5:$A$9,1))-INDEX(BP!$A$5:$A$9,MATCH(B886,BP!$A$5:$A$9,1)))*(B886-INDEX(BP!$A$5:$A$9,MATCH(B886,BP!$A$5:$A$9,1)))+INDEX(BP!$C$5:$C$9,MATCH(B886,BP!$A$5:$A$9,1)),0))</f>
        <v>21</v>
      </c>
      <c r="D886" s="12" t="str">
        <f aca="false">IF(NOT(ISNUMBER(C886)),"",INDEX(BP!$F$5:$F$9,MATCH(C886,BP!$E$5:$E$9,1)))</f>
        <v>ดีมาก</v>
      </c>
      <c r="E886" s="12" t="n">
        <f aca="false">YEAR(A886)</f>
        <v>2023</v>
      </c>
      <c r="F886" s="12" t="n">
        <f aca="false">MONTH(A886)</f>
        <v>6</v>
      </c>
      <c r="G886" s="12" t="n">
        <v>16.2</v>
      </c>
      <c r="H886" s="12" t="n">
        <v>37.1</v>
      </c>
      <c r="I886" s="12" t="n">
        <v>233</v>
      </c>
      <c r="J886" s="12" t="n">
        <v>1</v>
      </c>
      <c r="K886" s="12" t="n">
        <v>0</v>
      </c>
      <c r="L886" s="12" t="s">
        <v>35</v>
      </c>
    </row>
    <row r="887" customFormat="false" ht="15" hidden="false" customHeight="false" outlineLevel="0" collapsed="false">
      <c r="A887" s="11" t="n">
        <v>45082</v>
      </c>
      <c r="B887" s="12" t="n">
        <v>14.5</v>
      </c>
      <c r="C887" s="12" t="n">
        <f aca="false">IF(NOT(ISNUMBER(B887)),"",ROUND((INDEX(BP!$D$5:$D$9,MATCH(B887,BP!$A$5:$A$9,1))-INDEX(BP!$C$5:$C$9,MATCH(B887,BP!$A$5:$A$9,1)))/(INDEX(BP!$B$5:$B$9,MATCH(B887,BP!$A$5:$A$9,1))-INDEX(BP!$A$5:$A$9,MATCH(B887,BP!$A$5:$A$9,1)))*(B887-INDEX(BP!$A$5:$A$9,MATCH(B887,BP!$A$5:$A$9,1)))+INDEX(BP!$C$5:$C$9,MATCH(B887,BP!$A$5:$A$9,1)),0))</f>
        <v>24</v>
      </c>
      <c r="D887" s="12" t="str">
        <f aca="false">IF(NOT(ISNUMBER(C887)),"",INDEX(BP!$F$5:$F$9,MATCH(C887,BP!$E$5:$E$9,1)))</f>
        <v>ดีมาก</v>
      </c>
      <c r="E887" s="12" t="n">
        <f aca="false">YEAR(A887)</f>
        <v>2023</v>
      </c>
      <c r="F887" s="12" t="n">
        <f aca="false">MONTH(A887)</f>
        <v>6</v>
      </c>
      <c r="G887" s="12" t="n">
        <v>13.6</v>
      </c>
      <c r="H887" s="12" t="n">
        <v>34.9</v>
      </c>
      <c r="I887" s="12" t="n">
        <v>243</v>
      </c>
      <c r="J887" s="12" t="n">
        <v>0.6</v>
      </c>
      <c r="K887" s="12" t="n">
        <v>1</v>
      </c>
      <c r="L887" s="12" t="s">
        <v>34</v>
      </c>
    </row>
    <row r="888" customFormat="false" ht="15" hidden="false" customHeight="false" outlineLevel="0" collapsed="false">
      <c r="A888" s="11" t="n">
        <v>45083</v>
      </c>
      <c r="B888" s="12" t="n">
        <v>14.6</v>
      </c>
      <c r="C888" s="12" t="n">
        <f aca="false">IF(NOT(ISNUMBER(B888)),"",ROUND((INDEX(BP!$D$5:$D$9,MATCH(B888,BP!$A$5:$A$9,1))-INDEX(BP!$C$5:$C$9,MATCH(B888,BP!$A$5:$A$9,1)))/(INDEX(BP!$B$5:$B$9,MATCH(B888,BP!$A$5:$A$9,1))-INDEX(BP!$A$5:$A$9,MATCH(B888,BP!$A$5:$A$9,1)))*(B888-INDEX(BP!$A$5:$A$9,MATCH(B888,BP!$A$5:$A$9,1)))+INDEX(BP!$C$5:$C$9,MATCH(B888,BP!$A$5:$A$9,1)),0))</f>
        <v>24</v>
      </c>
      <c r="D888" s="12" t="str">
        <f aca="false">IF(NOT(ISNUMBER(C888)),"",INDEX(BP!$F$5:$F$9,MATCH(C888,BP!$E$5:$E$9,1)))</f>
        <v>ดีมาก</v>
      </c>
      <c r="E888" s="12" t="n">
        <f aca="false">YEAR(A888)</f>
        <v>2023</v>
      </c>
      <c r="F888" s="12" t="n">
        <f aca="false">MONTH(A888)</f>
        <v>6</v>
      </c>
      <c r="G888" s="12" t="n">
        <v>23.4</v>
      </c>
      <c r="H888" s="12" t="n">
        <v>44.3</v>
      </c>
      <c r="I888" s="12" t="n">
        <v>231</v>
      </c>
      <c r="J888" s="12" t="n">
        <v>1.2</v>
      </c>
      <c r="K888" s="12" t="n">
        <v>6.6</v>
      </c>
      <c r="L888" s="12" t="s">
        <v>36</v>
      </c>
    </row>
    <row r="889" customFormat="false" ht="15" hidden="false" customHeight="false" outlineLevel="0" collapsed="false">
      <c r="A889" s="11" t="n">
        <v>45084</v>
      </c>
      <c r="B889" s="12" t="n">
        <v>14.7</v>
      </c>
      <c r="C889" s="12" t="n">
        <f aca="false">IF(NOT(ISNUMBER(B889)),"",ROUND((INDEX(BP!$D$5:$D$9,MATCH(B889,BP!$A$5:$A$9,1))-INDEX(BP!$C$5:$C$9,MATCH(B889,BP!$A$5:$A$9,1)))/(INDEX(BP!$B$5:$B$9,MATCH(B889,BP!$A$5:$A$9,1))-INDEX(BP!$A$5:$A$9,MATCH(B889,BP!$A$5:$A$9,1)))*(B889-INDEX(BP!$A$5:$A$9,MATCH(B889,BP!$A$5:$A$9,1)))+INDEX(BP!$C$5:$C$9,MATCH(B889,BP!$A$5:$A$9,1)),0))</f>
        <v>25</v>
      </c>
      <c r="D889" s="12" t="str">
        <f aca="false">IF(NOT(ISNUMBER(C889)),"",INDEX(BP!$F$5:$F$9,MATCH(C889,BP!$E$5:$E$9,1)))</f>
        <v>ดีมาก</v>
      </c>
      <c r="E889" s="12" t="n">
        <f aca="false">YEAR(A889)</f>
        <v>2023</v>
      </c>
      <c r="F889" s="12" t="n">
        <f aca="false">MONTH(A889)</f>
        <v>6</v>
      </c>
      <c r="G889" s="12" t="n">
        <v>13</v>
      </c>
      <c r="H889" s="12" t="n">
        <v>32</v>
      </c>
      <c r="I889" s="12" t="n">
        <v>234</v>
      </c>
      <c r="J889" s="12" t="n">
        <v>0</v>
      </c>
      <c r="K889" s="12" t="n">
        <v>0</v>
      </c>
      <c r="L889" s="12" t="s">
        <v>36</v>
      </c>
    </row>
    <row r="890" customFormat="false" ht="15" hidden="false" customHeight="false" outlineLevel="0" collapsed="false">
      <c r="A890" s="11" t="n">
        <v>45085</v>
      </c>
      <c r="B890" s="12" t="n">
        <v>18.9</v>
      </c>
      <c r="C890" s="12" t="n">
        <f aca="false">IF(NOT(ISNUMBER(B890)),"",ROUND((INDEX(BP!$D$5:$D$9,MATCH(B890,BP!$A$5:$A$9,1))-INDEX(BP!$C$5:$C$9,MATCH(B890,BP!$A$5:$A$9,1)))/(INDEX(BP!$B$5:$B$9,MATCH(B890,BP!$A$5:$A$9,1))-INDEX(BP!$A$5:$A$9,MATCH(B890,BP!$A$5:$A$9,1)))*(B890-INDEX(BP!$A$5:$A$9,MATCH(B890,BP!$A$5:$A$9,1)))+INDEX(BP!$C$5:$C$9,MATCH(B890,BP!$A$5:$A$9,1)),0))</f>
        <v>35</v>
      </c>
      <c r="D890" s="12" t="str">
        <f aca="false">IF(NOT(ISNUMBER(C890)),"",INDEX(BP!$F$5:$F$9,MATCH(C890,BP!$E$5:$E$9,1)))</f>
        <v>ดี</v>
      </c>
      <c r="E890" s="12" t="n">
        <f aca="false">YEAR(A890)</f>
        <v>2023</v>
      </c>
      <c r="F890" s="12" t="n">
        <f aca="false">MONTH(A890)</f>
        <v>6</v>
      </c>
      <c r="G890" s="12" t="n">
        <v>12.2</v>
      </c>
      <c r="H890" s="12" t="n">
        <v>29.2</v>
      </c>
      <c r="I890" s="12" t="n">
        <v>92</v>
      </c>
      <c r="J890" s="12" t="n">
        <v>2.4</v>
      </c>
      <c r="K890" s="12" t="n">
        <v>0</v>
      </c>
      <c r="L890" s="12" t="s">
        <v>36</v>
      </c>
    </row>
    <row r="891" customFormat="false" ht="15" hidden="false" customHeight="false" outlineLevel="0" collapsed="false">
      <c r="A891" s="11" t="n">
        <v>45086</v>
      </c>
      <c r="B891" s="12" t="n">
        <v>23.1</v>
      </c>
      <c r="C891" s="12" t="n">
        <f aca="false">IF(NOT(ISNUMBER(B891)),"",ROUND((INDEX(BP!$D$5:$D$9,MATCH(B891,BP!$A$5:$A$9,1))-INDEX(BP!$C$5:$C$9,MATCH(B891,BP!$A$5:$A$9,1)))/(INDEX(BP!$B$5:$B$9,MATCH(B891,BP!$A$5:$A$9,1))-INDEX(BP!$A$5:$A$9,MATCH(B891,BP!$A$5:$A$9,1)))*(B891-INDEX(BP!$A$5:$A$9,MATCH(B891,BP!$A$5:$A$9,1)))+INDEX(BP!$C$5:$C$9,MATCH(B891,BP!$A$5:$A$9,1)),0))</f>
        <v>45</v>
      </c>
      <c r="D891" s="12" t="str">
        <f aca="false">IF(NOT(ISNUMBER(C891)),"",INDEX(BP!$F$5:$F$9,MATCH(C891,BP!$E$5:$E$9,1)))</f>
        <v>ดี</v>
      </c>
      <c r="E891" s="12" t="n">
        <f aca="false">YEAR(A891)</f>
        <v>2023</v>
      </c>
      <c r="F891" s="12" t="n">
        <f aca="false">MONTH(A891)</f>
        <v>6</v>
      </c>
      <c r="G891" s="12" t="n">
        <v>12.4</v>
      </c>
      <c r="H891" s="12" t="n">
        <v>27.7</v>
      </c>
      <c r="I891" s="12" t="n">
        <v>188</v>
      </c>
      <c r="J891" s="12" t="n">
        <v>2.6</v>
      </c>
      <c r="K891" s="12" t="n">
        <v>0</v>
      </c>
      <c r="L891" s="12" t="s">
        <v>36</v>
      </c>
    </row>
    <row r="892" customFormat="false" ht="15" hidden="false" customHeight="false" outlineLevel="0" collapsed="false">
      <c r="A892" s="11" t="n">
        <v>45087</v>
      </c>
      <c r="B892" s="12" t="n">
        <v>22.6</v>
      </c>
      <c r="C892" s="12" t="n">
        <f aca="false">IF(NOT(ISNUMBER(B892)),"",ROUND((INDEX(BP!$D$5:$D$9,MATCH(B892,BP!$A$5:$A$9,1))-INDEX(BP!$C$5:$C$9,MATCH(B892,BP!$A$5:$A$9,1)))/(INDEX(BP!$B$5:$B$9,MATCH(B892,BP!$A$5:$A$9,1))-INDEX(BP!$A$5:$A$9,MATCH(B892,BP!$A$5:$A$9,1)))*(B892-INDEX(BP!$A$5:$A$9,MATCH(B892,BP!$A$5:$A$9,1)))+INDEX(BP!$C$5:$C$9,MATCH(B892,BP!$A$5:$A$9,1)),0))</f>
        <v>44</v>
      </c>
      <c r="D892" s="12" t="str">
        <f aca="false">IF(NOT(ISNUMBER(C892)),"",INDEX(BP!$F$5:$F$9,MATCH(C892,BP!$E$5:$E$9,1)))</f>
        <v>ดี</v>
      </c>
      <c r="E892" s="12" t="n">
        <f aca="false">YEAR(A892)</f>
        <v>2023</v>
      </c>
      <c r="F892" s="12" t="n">
        <f aca="false">MONTH(A892)</f>
        <v>6</v>
      </c>
      <c r="G892" s="12" t="n">
        <v>14.5</v>
      </c>
      <c r="H892" s="12" t="n">
        <v>28.8</v>
      </c>
      <c r="I892" s="12" t="n">
        <v>221</v>
      </c>
      <c r="J892" s="12" t="n">
        <v>9.6</v>
      </c>
      <c r="K892" s="12" t="n">
        <v>0</v>
      </c>
      <c r="L892" s="12" t="s">
        <v>35</v>
      </c>
    </row>
    <row r="893" customFormat="false" ht="15" hidden="false" customHeight="false" outlineLevel="0" collapsed="false">
      <c r="A893" s="11" t="n">
        <v>45088</v>
      </c>
      <c r="B893" s="12" t="n">
        <v>20.9</v>
      </c>
      <c r="C893" s="12" t="n">
        <f aca="false">IF(NOT(ISNUMBER(B893)),"",ROUND((INDEX(BP!$D$5:$D$9,MATCH(B893,BP!$A$5:$A$9,1))-INDEX(BP!$C$5:$C$9,MATCH(B893,BP!$A$5:$A$9,1)))/(INDEX(BP!$B$5:$B$9,MATCH(B893,BP!$A$5:$A$9,1))-INDEX(BP!$A$5:$A$9,MATCH(B893,BP!$A$5:$A$9,1)))*(B893-INDEX(BP!$A$5:$A$9,MATCH(B893,BP!$A$5:$A$9,1)))+INDEX(BP!$C$5:$C$9,MATCH(B893,BP!$A$5:$A$9,1)),0))</f>
        <v>40</v>
      </c>
      <c r="D893" s="12" t="str">
        <f aca="false">IF(NOT(ISNUMBER(C893)),"",INDEX(BP!$F$5:$F$9,MATCH(C893,BP!$E$5:$E$9,1)))</f>
        <v>ดี</v>
      </c>
      <c r="E893" s="12" t="n">
        <f aca="false">YEAR(A893)</f>
        <v>2023</v>
      </c>
      <c r="F893" s="12" t="n">
        <f aca="false">MONTH(A893)</f>
        <v>6</v>
      </c>
      <c r="G893" s="12" t="n">
        <v>14</v>
      </c>
      <c r="H893" s="12" t="n">
        <v>32.8</v>
      </c>
      <c r="I893" s="12" t="n">
        <v>226</v>
      </c>
      <c r="J893" s="12" t="n">
        <v>0.3</v>
      </c>
      <c r="K893" s="12" t="n">
        <v>2.6</v>
      </c>
      <c r="L893" s="12" t="s">
        <v>35</v>
      </c>
    </row>
    <row r="894" customFormat="false" ht="15" hidden="false" customHeight="false" outlineLevel="0" collapsed="false">
      <c r="A894" s="11" t="n">
        <v>45089</v>
      </c>
      <c r="B894" s="12" t="n">
        <v>21.9</v>
      </c>
      <c r="C894" s="12" t="n">
        <f aca="false">IF(NOT(ISNUMBER(B894)),"",ROUND((INDEX(BP!$D$5:$D$9,MATCH(B894,BP!$A$5:$A$9,1))-INDEX(BP!$C$5:$C$9,MATCH(B894,BP!$A$5:$A$9,1)))/(INDEX(BP!$B$5:$B$9,MATCH(B894,BP!$A$5:$A$9,1))-INDEX(BP!$A$5:$A$9,MATCH(B894,BP!$A$5:$A$9,1)))*(B894-INDEX(BP!$A$5:$A$9,MATCH(B894,BP!$A$5:$A$9,1)))+INDEX(BP!$C$5:$C$9,MATCH(B894,BP!$A$5:$A$9,1)),0))</f>
        <v>42</v>
      </c>
      <c r="D894" s="12" t="str">
        <f aca="false">IF(NOT(ISNUMBER(C894)),"",INDEX(BP!$F$5:$F$9,MATCH(C894,BP!$E$5:$E$9,1)))</f>
        <v>ดี</v>
      </c>
      <c r="E894" s="12" t="n">
        <f aca="false">YEAR(A894)</f>
        <v>2023</v>
      </c>
      <c r="F894" s="12" t="n">
        <f aca="false">MONTH(A894)</f>
        <v>6</v>
      </c>
      <c r="G894" s="12" t="n">
        <v>9.8</v>
      </c>
      <c r="H894" s="12" t="n">
        <v>26.6</v>
      </c>
      <c r="I894" s="12" t="n">
        <v>191</v>
      </c>
      <c r="J894" s="12" t="n">
        <v>0.5</v>
      </c>
      <c r="K894" s="12" t="n">
        <v>0</v>
      </c>
      <c r="L894" s="12" t="s">
        <v>36</v>
      </c>
    </row>
    <row r="895" customFormat="false" ht="15" hidden="false" customHeight="false" outlineLevel="0" collapsed="false">
      <c r="A895" s="11" t="n">
        <v>45090</v>
      </c>
      <c r="B895" s="12" t="n">
        <v>23.9</v>
      </c>
      <c r="C895" s="12" t="n">
        <f aca="false">IF(NOT(ISNUMBER(B895)),"",ROUND((INDEX(BP!$D$5:$D$9,MATCH(B895,BP!$A$5:$A$9,1))-INDEX(BP!$C$5:$C$9,MATCH(B895,BP!$A$5:$A$9,1)))/(INDEX(BP!$B$5:$B$9,MATCH(B895,BP!$A$5:$A$9,1))-INDEX(BP!$A$5:$A$9,MATCH(B895,BP!$A$5:$A$9,1)))*(B895-INDEX(BP!$A$5:$A$9,MATCH(B895,BP!$A$5:$A$9,1)))+INDEX(BP!$C$5:$C$9,MATCH(B895,BP!$A$5:$A$9,1)),0))</f>
        <v>47</v>
      </c>
      <c r="D895" s="12" t="str">
        <f aca="false">IF(NOT(ISNUMBER(C895)),"",INDEX(BP!$F$5:$F$9,MATCH(C895,BP!$E$5:$E$9,1)))</f>
        <v>ดี</v>
      </c>
      <c r="E895" s="12" t="n">
        <f aca="false">YEAR(A895)</f>
        <v>2023</v>
      </c>
      <c r="F895" s="12" t="n">
        <f aca="false">MONTH(A895)</f>
        <v>6</v>
      </c>
      <c r="G895" s="12" t="n">
        <v>18.4</v>
      </c>
      <c r="H895" s="12" t="n">
        <v>38.2</v>
      </c>
      <c r="I895" s="12" t="n">
        <v>219</v>
      </c>
      <c r="J895" s="12" t="n">
        <v>2.8</v>
      </c>
      <c r="K895" s="12" t="n">
        <v>0</v>
      </c>
      <c r="L895" s="12" t="s">
        <v>36</v>
      </c>
    </row>
    <row r="896" customFormat="false" ht="15" hidden="false" customHeight="false" outlineLevel="0" collapsed="false">
      <c r="A896" s="11" t="n">
        <v>45091</v>
      </c>
      <c r="B896" s="12" t="n">
        <v>20.4</v>
      </c>
      <c r="C896" s="12" t="n">
        <f aca="false">IF(NOT(ISNUMBER(B896)),"",ROUND((INDEX(BP!$D$5:$D$9,MATCH(B896,BP!$A$5:$A$9,1))-INDEX(BP!$C$5:$C$9,MATCH(B896,BP!$A$5:$A$9,1)))/(INDEX(BP!$B$5:$B$9,MATCH(B896,BP!$A$5:$A$9,1))-INDEX(BP!$A$5:$A$9,MATCH(B896,BP!$A$5:$A$9,1)))*(B896-INDEX(BP!$A$5:$A$9,MATCH(B896,BP!$A$5:$A$9,1)))+INDEX(BP!$C$5:$C$9,MATCH(B896,BP!$A$5:$A$9,1)),0))</f>
        <v>39</v>
      </c>
      <c r="D896" s="12" t="str">
        <f aca="false">IF(NOT(ISNUMBER(C896)),"",INDEX(BP!$F$5:$F$9,MATCH(C896,BP!$E$5:$E$9,1)))</f>
        <v>ดี</v>
      </c>
      <c r="E896" s="12" t="n">
        <f aca="false">YEAR(A896)</f>
        <v>2023</v>
      </c>
      <c r="F896" s="12" t="n">
        <f aca="false">MONTH(A896)</f>
        <v>6</v>
      </c>
      <c r="G896" s="12" t="n">
        <v>13.2</v>
      </c>
      <c r="H896" s="12" t="n">
        <v>25.9</v>
      </c>
      <c r="I896" s="12" t="n">
        <v>177</v>
      </c>
      <c r="J896" s="12" t="n">
        <v>0.4</v>
      </c>
      <c r="K896" s="12" t="n">
        <v>7.4</v>
      </c>
      <c r="L896" s="12" t="s">
        <v>36</v>
      </c>
    </row>
    <row r="897" customFormat="false" ht="15" hidden="false" customHeight="false" outlineLevel="0" collapsed="false">
      <c r="A897" s="11" t="n">
        <v>45092</v>
      </c>
      <c r="B897" s="12" t="n">
        <v>19.8</v>
      </c>
      <c r="C897" s="12" t="n">
        <f aca="false">IF(NOT(ISNUMBER(B897)),"",ROUND((INDEX(BP!$D$5:$D$9,MATCH(B897,BP!$A$5:$A$9,1))-INDEX(BP!$C$5:$C$9,MATCH(B897,BP!$A$5:$A$9,1)))/(INDEX(BP!$B$5:$B$9,MATCH(B897,BP!$A$5:$A$9,1))-INDEX(BP!$A$5:$A$9,MATCH(B897,BP!$A$5:$A$9,1)))*(B897-INDEX(BP!$A$5:$A$9,MATCH(B897,BP!$A$5:$A$9,1)))+INDEX(BP!$C$5:$C$9,MATCH(B897,BP!$A$5:$A$9,1)),0))</f>
        <v>37</v>
      </c>
      <c r="D897" s="12" t="str">
        <f aca="false">IF(NOT(ISNUMBER(C897)),"",INDEX(BP!$F$5:$F$9,MATCH(C897,BP!$E$5:$E$9,1)))</f>
        <v>ดี</v>
      </c>
      <c r="E897" s="12" t="n">
        <f aca="false">YEAR(A897)</f>
        <v>2023</v>
      </c>
      <c r="F897" s="12" t="n">
        <f aca="false">MONTH(A897)</f>
        <v>6</v>
      </c>
      <c r="G897" s="12" t="n">
        <v>10.7</v>
      </c>
      <c r="H897" s="12" t="n">
        <v>30.6</v>
      </c>
      <c r="I897" s="12" t="n">
        <v>222</v>
      </c>
      <c r="J897" s="12" t="n">
        <v>0.8</v>
      </c>
      <c r="K897" s="12" t="n">
        <v>1.2</v>
      </c>
      <c r="L897" s="12" t="s">
        <v>36</v>
      </c>
    </row>
    <row r="898" customFormat="false" ht="15" hidden="false" customHeight="false" outlineLevel="0" collapsed="false">
      <c r="A898" s="11" t="n">
        <v>45093</v>
      </c>
      <c r="B898" s="12" t="n">
        <v>20.5</v>
      </c>
      <c r="C898" s="12" t="n">
        <f aca="false">IF(NOT(ISNUMBER(B898)),"",ROUND((INDEX(BP!$D$5:$D$9,MATCH(B898,BP!$A$5:$A$9,1))-INDEX(BP!$C$5:$C$9,MATCH(B898,BP!$A$5:$A$9,1)))/(INDEX(BP!$B$5:$B$9,MATCH(B898,BP!$A$5:$A$9,1))-INDEX(BP!$A$5:$A$9,MATCH(B898,BP!$A$5:$A$9,1)))*(B898-INDEX(BP!$A$5:$A$9,MATCH(B898,BP!$A$5:$A$9,1)))+INDEX(BP!$C$5:$C$9,MATCH(B898,BP!$A$5:$A$9,1)),0))</f>
        <v>39</v>
      </c>
      <c r="D898" s="12" t="str">
        <f aca="false">IF(NOT(ISNUMBER(C898)),"",INDEX(BP!$F$5:$F$9,MATCH(C898,BP!$E$5:$E$9,1)))</f>
        <v>ดี</v>
      </c>
      <c r="E898" s="12" t="n">
        <f aca="false">YEAR(A898)</f>
        <v>2023</v>
      </c>
      <c r="F898" s="12" t="n">
        <f aca="false">MONTH(A898)</f>
        <v>6</v>
      </c>
      <c r="G898" s="12" t="n">
        <v>12.4</v>
      </c>
      <c r="H898" s="12" t="n">
        <v>29.9</v>
      </c>
      <c r="I898" s="12" t="n">
        <v>185</v>
      </c>
      <c r="J898" s="12" t="n">
        <v>2.1</v>
      </c>
      <c r="K898" s="12" t="n">
        <v>0.2</v>
      </c>
      <c r="L898" s="12" t="s">
        <v>36</v>
      </c>
    </row>
    <row r="899" customFormat="false" ht="15" hidden="false" customHeight="false" outlineLevel="0" collapsed="false">
      <c r="A899" s="11" t="n">
        <v>45094</v>
      </c>
      <c r="B899" s="12" t="n">
        <v>18.8</v>
      </c>
      <c r="C899" s="12" t="n">
        <f aca="false">IF(NOT(ISNUMBER(B899)),"",ROUND((INDEX(BP!$D$5:$D$9,MATCH(B899,BP!$A$5:$A$9,1))-INDEX(BP!$C$5:$C$9,MATCH(B899,BP!$A$5:$A$9,1)))/(INDEX(BP!$B$5:$B$9,MATCH(B899,BP!$A$5:$A$9,1))-INDEX(BP!$A$5:$A$9,MATCH(B899,BP!$A$5:$A$9,1)))*(B899-INDEX(BP!$A$5:$A$9,MATCH(B899,BP!$A$5:$A$9,1)))+INDEX(BP!$C$5:$C$9,MATCH(B899,BP!$A$5:$A$9,1)),0))</f>
        <v>35</v>
      </c>
      <c r="D899" s="12" t="str">
        <f aca="false">IF(NOT(ISNUMBER(C899)),"",INDEX(BP!$F$5:$F$9,MATCH(C899,BP!$E$5:$E$9,1)))</f>
        <v>ดี</v>
      </c>
      <c r="E899" s="12" t="n">
        <f aca="false">YEAR(A899)</f>
        <v>2023</v>
      </c>
      <c r="F899" s="12" t="n">
        <f aca="false">MONTH(A899)</f>
        <v>6</v>
      </c>
      <c r="G899" s="12" t="n">
        <v>9.1</v>
      </c>
      <c r="H899" s="12" t="n">
        <v>26.3</v>
      </c>
      <c r="I899" s="12" t="n">
        <v>162</v>
      </c>
      <c r="J899" s="12" t="n">
        <v>10.1</v>
      </c>
      <c r="K899" s="12" t="n">
        <v>15.8</v>
      </c>
      <c r="L899" s="12" t="s">
        <v>35</v>
      </c>
    </row>
    <row r="900" customFormat="false" ht="15" hidden="false" customHeight="false" outlineLevel="0" collapsed="false">
      <c r="A900" s="11" t="n">
        <v>45095</v>
      </c>
      <c r="B900" s="12" t="n">
        <v>17.8</v>
      </c>
      <c r="C900" s="12" t="n">
        <f aca="false">IF(NOT(ISNUMBER(B900)),"",ROUND((INDEX(BP!$D$5:$D$9,MATCH(B900,BP!$A$5:$A$9,1))-INDEX(BP!$C$5:$C$9,MATCH(B900,BP!$A$5:$A$9,1)))/(INDEX(BP!$B$5:$B$9,MATCH(B900,BP!$A$5:$A$9,1))-INDEX(BP!$A$5:$A$9,MATCH(B900,BP!$A$5:$A$9,1)))*(B900-INDEX(BP!$A$5:$A$9,MATCH(B900,BP!$A$5:$A$9,1)))+INDEX(BP!$C$5:$C$9,MATCH(B900,BP!$A$5:$A$9,1)),0))</f>
        <v>33</v>
      </c>
      <c r="D900" s="12" t="str">
        <f aca="false">IF(NOT(ISNUMBER(C900)),"",INDEX(BP!$F$5:$F$9,MATCH(C900,BP!$E$5:$E$9,1)))</f>
        <v>ดี</v>
      </c>
      <c r="E900" s="12" t="n">
        <f aca="false">YEAR(A900)</f>
        <v>2023</v>
      </c>
      <c r="F900" s="12" t="n">
        <f aca="false">MONTH(A900)</f>
        <v>6</v>
      </c>
      <c r="G900" s="12" t="n">
        <v>14.5</v>
      </c>
      <c r="H900" s="12" t="n">
        <v>29.2</v>
      </c>
      <c r="I900" s="12" t="n">
        <v>220</v>
      </c>
      <c r="J900" s="12" t="n">
        <v>3.1</v>
      </c>
      <c r="K900" s="12" t="n">
        <v>0.2</v>
      </c>
      <c r="L900" s="12" t="s">
        <v>35</v>
      </c>
    </row>
    <row r="901" customFormat="false" ht="15" hidden="false" customHeight="false" outlineLevel="0" collapsed="false">
      <c r="A901" s="11" t="n">
        <v>45096</v>
      </c>
      <c r="B901" s="12" t="n">
        <v>18.8</v>
      </c>
      <c r="C901" s="12" t="n">
        <f aca="false">IF(NOT(ISNUMBER(B901)),"",ROUND((INDEX(BP!$D$5:$D$9,MATCH(B901,BP!$A$5:$A$9,1))-INDEX(BP!$C$5:$C$9,MATCH(B901,BP!$A$5:$A$9,1)))/(INDEX(BP!$B$5:$B$9,MATCH(B901,BP!$A$5:$A$9,1))-INDEX(BP!$A$5:$A$9,MATCH(B901,BP!$A$5:$A$9,1)))*(B901-INDEX(BP!$A$5:$A$9,MATCH(B901,BP!$A$5:$A$9,1)))+INDEX(BP!$C$5:$C$9,MATCH(B901,BP!$A$5:$A$9,1)),0))</f>
        <v>35</v>
      </c>
      <c r="D901" s="12" t="str">
        <f aca="false">IF(NOT(ISNUMBER(C901)),"",INDEX(BP!$F$5:$F$9,MATCH(C901,BP!$E$5:$E$9,1)))</f>
        <v>ดี</v>
      </c>
      <c r="E901" s="12" t="n">
        <f aca="false">YEAR(A901)</f>
        <v>2023</v>
      </c>
      <c r="F901" s="12" t="n">
        <f aca="false">MONTH(A901)</f>
        <v>6</v>
      </c>
      <c r="G901" s="12" t="n">
        <v>11.5</v>
      </c>
      <c r="H901" s="12" t="n">
        <v>29.2</v>
      </c>
      <c r="I901" s="12" t="n">
        <v>229</v>
      </c>
      <c r="J901" s="12" t="n">
        <v>3.3</v>
      </c>
      <c r="K901" s="12" t="n">
        <v>0</v>
      </c>
      <c r="L901" s="12" t="s">
        <v>36</v>
      </c>
    </row>
    <row r="902" customFormat="false" ht="15" hidden="false" customHeight="false" outlineLevel="0" collapsed="false">
      <c r="A902" s="11" t="n">
        <v>45097</v>
      </c>
      <c r="B902" s="12" t="n">
        <v>18</v>
      </c>
      <c r="C902" s="12" t="n">
        <f aca="false">IF(NOT(ISNUMBER(B902)),"",ROUND((INDEX(BP!$D$5:$D$9,MATCH(B902,BP!$A$5:$A$9,1))-INDEX(BP!$C$5:$C$9,MATCH(B902,BP!$A$5:$A$9,1)))/(INDEX(BP!$B$5:$B$9,MATCH(B902,BP!$A$5:$A$9,1))-INDEX(BP!$A$5:$A$9,MATCH(B902,BP!$A$5:$A$9,1)))*(B902-INDEX(BP!$A$5:$A$9,MATCH(B902,BP!$A$5:$A$9,1)))+INDEX(BP!$C$5:$C$9,MATCH(B902,BP!$A$5:$A$9,1)),0))</f>
        <v>33</v>
      </c>
      <c r="D902" s="12" t="str">
        <f aca="false">IF(NOT(ISNUMBER(C902)),"",INDEX(BP!$F$5:$F$9,MATCH(C902,BP!$E$5:$E$9,1)))</f>
        <v>ดี</v>
      </c>
      <c r="E902" s="12" t="n">
        <f aca="false">YEAR(A902)</f>
        <v>2023</v>
      </c>
      <c r="F902" s="12" t="n">
        <f aca="false">MONTH(A902)</f>
        <v>6</v>
      </c>
      <c r="G902" s="12" t="n">
        <v>12.4</v>
      </c>
      <c r="H902" s="12" t="n">
        <v>29.5</v>
      </c>
      <c r="I902" s="12" t="n">
        <v>189</v>
      </c>
      <c r="J902" s="12" t="n">
        <v>0.7</v>
      </c>
      <c r="K902" s="12" t="n">
        <v>0</v>
      </c>
      <c r="L902" s="12" t="s">
        <v>36</v>
      </c>
    </row>
    <row r="903" customFormat="false" ht="15" hidden="false" customHeight="false" outlineLevel="0" collapsed="false">
      <c r="A903" s="11" t="n">
        <v>45098</v>
      </c>
      <c r="B903" s="12" t="n">
        <v>22.1</v>
      </c>
      <c r="C903" s="12" t="n">
        <f aca="false">IF(NOT(ISNUMBER(B903)),"",ROUND((INDEX(BP!$D$5:$D$9,MATCH(B903,BP!$A$5:$A$9,1))-INDEX(BP!$C$5:$C$9,MATCH(B903,BP!$A$5:$A$9,1)))/(INDEX(BP!$B$5:$B$9,MATCH(B903,BP!$A$5:$A$9,1))-INDEX(BP!$A$5:$A$9,MATCH(B903,BP!$A$5:$A$9,1)))*(B903-INDEX(BP!$A$5:$A$9,MATCH(B903,BP!$A$5:$A$9,1)))+INDEX(BP!$C$5:$C$9,MATCH(B903,BP!$A$5:$A$9,1)),0))</f>
        <v>43</v>
      </c>
      <c r="D903" s="12" t="str">
        <f aca="false">IF(NOT(ISNUMBER(C903)),"",INDEX(BP!$F$5:$F$9,MATCH(C903,BP!$E$5:$E$9,1)))</f>
        <v>ดี</v>
      </c>
      <c r="E903" s="12" t="n">
        <f aca="false">YEAR(A903)</f>
        <v>2023</v>
      </c>
      <c r="F903" s="12" t="n">
        <f aca="false">MONTH(A903)</f>
        <v>6</v>
      </c>
      <c r="G903" s="12" t="n">
        <v>13.6</v>
      </c>
      <c r="H903" s="12" t="n">
        <v>32.4</v>
      </c>
      <c r="I903" s="12" t="n">
        <v>343</v>
      </c>
      <c r="J903" s="12" t="n">
        <v>0</v>
      </c>
      <c r="K903" s="12" t="n">
        <v>0</v>
      </c>
      <c r="L903" s="12" t="s">
        <v>36</v>
      </c>
    </row>
    <row r="904" customFormat="false" ht="15" hidden="false" customHeight="false" outlineLevel="0" collapsed="false">
      <c r="A904" s="11" t="n">
        <v>45099</v>
      </c>
      <c r="B904" s="12" t="n">
        <v>23.6</v>
      </c>
      <c r="C904" s="12" t="n">
        <f aca="false">IF(NOT(ISNUMBER(B904)),"",ROUND((INDEX(BP!$D$5:$D$9,MATCH(B904,BP!$A$5:$A$9,1))-INDEX(BP!$C$5:$C$9,MATCH(B904,BP!$A$5:$A$9,1)))/(INDEX(BP!$B$5:$B$9,MATCH(B904,BP!$A$5:$A$9,1))-INDEX(BP!$A$5:$A$9,MATCH(B904,BP!$A$5:$A$9,1)))*(B904-INDEX(BP!$A$5:$A$9,MATCH(B904,BP!$A$5:$A$9,1)))+INDEX(BP!$C$5:$C$9,MATCH(B904,BP!$A$5:$A$9,1)),0))</f>
        <v>47</v>
      </c>
      <c r="D904" s="12" t="str">
        <f aca="false">IF(NOT(ISNUMBER(C904)),"",INDEX(BP!$F$5:$F$9,MATCH(C904,BP!$E$5:$E$9,1)))</f>
        <v>ดี</v>
      </c>
      <c r="E904" s="12" t="n">
        <f aca="false">YEAR(A904)</f>
        <v>2023</v>
      </c>
      <c r="F904" s="12" t="n">
        <f aca="false">MONTH(A904)</f>
        <v>6</v>
      </c>
      <c r="G904" s="12" t="n">
        <v>10.1</v>
      </c>
      <c r="H904" s="12" t="n">
        <v>27.4</v>
      </c>
      <c r="I904" s="12" t="n">
        <v>83</v>
      </c>
      <c r="J904" s="12" t="n">
        <v>5.1</v>
      </c>
      <c r="K904" s="12" t="n">
        <v>2</v>
      </c>
      <c r="L904" s="12" t="s">
        <v>36</v>
      </c>
    </row>
    <row r="905" customFormat="false" ht="15" hidden="false" customHeight="false" outlineLevel="0" collapsed="false">
      <c r="A905" s="11" t="n">
        <v>45100</v>
      </c>
      <c r="B905" s="12" t="n">
        <v>22.8</v>
      </c>
      <c r="C905" s="12" t="n">
        <f aca="false">IF(NOT(ISNUMBER(B905)),"",ROUND((INDEX(BP!$D$5:$D$9,MATCH(B905,BP!$A$5:$A$9,1))-INDEX(BP!$C$5:$C$9,MATCH(B905,BP!$A$5:$A$9,1)))/(INDEX(BP!$B$5:$B$9,MATCH(B905,BP!$A$5:$A$9,1))-INDEX(BP!$A$5:$A$9,MATCH(B905,BP!$A$5:$A$9,1)))*(B905-INDEX(BP!$A$5:$A$9,MATCH(B905,BP!$A$5:$A$9,1)))+INDEX(BP!$C$5:$C$9,MATCH(B905,BP!$A$5:$A$9,1)),0))</f>
        <v>45</v>
      </c>
      <c r="D905" s="12" t="str">
        <f aca="false">IF(NOT(ISNUMBER(C905)),"",INDEX(BP!$F$5:$F$9,MATCH(C905,BP!$E$5:$E$9,1)))</f>
        <v>ดี</v>
      </c>
      <c r="E905" s="12" t="n">
        <f aca="false">YEAR(A905)</f>
        <v>2023</v>
      </c>
      <c r="F905" s="12" t="n">
        <f aca="false">MONTH(A905)</f>
        <v>6</v>
      </c>
      <c r="G905" s="12" t="n">
        <v>12.3</v>
      </c>
      <c r="H905" s="12" t="n">
        <v>27.7</v>
      </c>
      <c r="I905" s="12" t="n">
        <v>210</v>
      </c>
      <c r="J905" s="12" t="n">
        <v>1.9</v>
      </c>
      <c r="K905" s="12" t="n">
        <v>0</v>
      </c>
      <c r="L905" s="12" t="s">
        <v>36</v>
      </c>
    </row>
    <row r="906" customFormat="false" ht="15" hidden="false" customHeight="false" outlineLevel="0" collapsed="false">
      <c r="A906" s="11" t="n">
        <v>45101</v>
      </c>
      <c r="B906" s="12" t="n">
        <v>19.6</v>
      </c>
      <c r="C906" s="12" t="n">
        <f aca="false">IF(NOT(ISNUMBER(B906)),"",ROUND((INDEX(BP!$D$5:$D$9,MATCH(B906,BP!$A$5:$A$9,1))-INDEX(BP!$C$5:$C$9,MATCH(B906,BP!$A$5:$A$9,1)))/(INDEX(BP!$B$5:$B$9,MATCH(B906,BP!$A$5:$A$9,1))-INDEX(BP!$A$5:$A$9,MATCH(B906,BP!$A$5:$A$9,1)))*(B906-INDEX(BP!$A$5:$A$9,MATCH(B906,BP!$A$5:$A$9,1)))+INDEX(BP!$C$5:$C$9,MATCH(B906,BP!$A$5:$A$9,1)),0))</f>
        <v>37</v>
      </c>
      <c r="D906" s="12" t="str">
        <f aca="false">IF(NOT(ISNUMBER(C906)),"",INDEX(BP!$F$5:$F$9,MATCH(C906,BP!$E$5:$E$9,1)))</f>
        <v>ดี</v>
      </c>
      <c r="E906" s="12" t="n">
        <f aca="false">YEAR(A906)</f>
        <v>2023</v>
      </c>
      <c r="F906" s="12" t="n">
        <f aca="false">MONTH(A906)</f>
        <v>6</v>
      </c>
      <c r="G906" s="12" t="n">
        <v>13.1</v>
      </c>
      <c r="H906" s="12" t="n">
        <v>30.6</v>
      </c>
      <c r="I906" s="12" t="n">
        <v>240</v>
      </c>
      <c r="J906" s="12" t="n">
        <v>1.1</v>
      </c>
      <c r="K906" s="12" t="n">
        <v>26</v>
      </c>
      <c r="L906" s="12" t="s">
        <v>35</v>
      </c>
    </row>
    <row r="907" customFormat="false" ht="15" hidden="false" customHeight="false" outlineLevel="0" collapsed="false">
      <c r="A907" s="11" t="n">
        <v>45102</v>
      </c>
      <c r="B907" s="12" t="n">
        <v>17.1</v>
      </c>
      <c r="C907" s="12" t="n">
        <f aca="false">IF(NOT(ISNUMBER(B907)),"",ROUND((INDEX(BP!$D$5:$D$9,MATCH(B907,BP!$A$5:$A$9,1))-INDEX(BP!$C$5:$C$9,MATCH(B907,BP!$A$5:$A$9,1)))/(INDEX(BP!$B$5:$B$9,MATCH(B907,BP!$A$5:$A$9,1))-INDEX(BP!$A$5:$A$9,MATCH(B907,BP!$A$5:$A$9,1)))*(B907-INDEX(BP!$A$5:$A$9,MATCH(B907,BP!$A$5:$A$9,1)))+INDEX(BP!$C$5:$C$9,MATCH(B907,BP!$A$5:$A$9,1)),0))</f>
        <v>31</v>
      </c>
      <c r="D907" s="12" t="str">
        <f aca="false">IF(NOT(ISNUMBER(C907)),"",INDEX(BP!$F$5:$F$9,MATCH(C907,BP!$E$5:$E$9,1)))</f>
        <v>ดี</v>
      </c>
      <c r="E907" s="12" t="n">
        <f aca="false">YEAR(A907)</f>
        <v>2023</v>
      </c>
      <c r="F907" s="12" t="n">
        <f aca="false">MONTH(A907)</f>
        <v>6</v>
      </c>
      <c r="G907" s="12" t="n">
        <v>12</v>
      </c>
      <c r="H907" s="12" t="n">
        <v>31</v>
      </c>
      <c r="I907" s="12" t="n">
        <v>254</v>
      </c>
      <c r="J907" s="12" t="n">
        <v>16.4</v>
      </c>
      <c r="K907" s="12" t="n">
        <v>37.6</v>
      </c>
      <c r="L907" s="12" t="s">
        <v>35</v>
      </c>
    </row>
    <row r="908" customFormat="false" ht="15" hidden="false" customHeight="false" outlineLevel="0" collapsed="false">
      <c r="A908" s="11" t="n">
        <v>45103</v>
      </c>
      <c r="B908" s="12" t="n">
        <v>15.5</v>
      </c>
      <c r="C908" s="12" t="n">
        <f aca="false">IF(NOT(ISNUMBER(B908)),"",ROUND((INDEX(BP!$D$5:$D$9,MATCH(B908,BP!$A$5:$A$9,1))-INDEX(BP!$C$5:$C$9,MATCH(B908,BP!$A$5:$A$9,1)))/(INDEX(BP!$B$5:$B$9,MATCH(B908,BP!$A$5:$A$9,1))-INDEX(BP!$A$5:$A$9,MATCH(B908,BP!$A$5:$A$9,1)))*(B908-INDEX(BP!$A$5:$A$9,MATCH(B908,BP!$A$5:$A$9,1)))+INDEX(BP!$C$5:$C$9,MATCH(B908,BP!$A$5:$A$9,1)),0))</f>
        <v>27</v>
      </c>
      <c r="D908" s="12" t="str">
        <f aca="false">IF(NOT(ISNUMBER(C908)),"",INDEX(BP!$F$5:$F$9,MATCH(C908,BP!$E$5:$E$9,1)))</f>
        <v>ดี</v>
      </c>
      <c r="E908" s="12" t="n">
        <f aca="false">YEAR(A908)</f>
        <v>2023</v>
      </c>
      <c r="F908" s="12" t="n">
        <f aca="false">MONTH(A908)</f>
        <v>6</v>
      </c>
      <c r="G908" s="12" t="n">
        <v>9.2</v>
      </c>
      <c r="H908" s="12" t="n">
        <v>22.3</v>
      </c>
      <c r="I908" s="12" t="n">
        <v>235</v>
      </c>
      <c r="J908" s="12" t="n">
        <v>3</v>
      </c>
      <c r="K908" s="12" t="n">
        <v>4.6</v>
      </c>
      <c r="L908" s="12" t="s">
        <v>36</v>
      </c>
    </row>
    <row r="909" customFormat="false" ht="15" hidden="false" customHeight="false" outlineLevel="0" collapsed="false">
      <c r="A909" s="11" t="n">
        <v>45104</v>
      </c>
      <c r="B909" s="12" t="n">
        <v>13.7</v>
      </c>
      <c r="C909" s="12" t="n">
        <f aca="false">IF(NOT(ISNUMBER(B909)),"",ROUND((INDEX(BP!$D$5:$D$9,MATCH(B909,BP!$A$5:$A$9,1))-INDEX(BP!$C$5:$C$9,MATCH(B909,BP!$A$5:$A$9,1)))/(INDEX(BP!$B$5:$B$9,MATCH(B909,BP!$A$5:$A$9,1))-INDEX(BP!$A$5:$A$9,MATCH(B909,BP!$A$5:$A$9,1)))*(B909-INDEX(BP!$A$5:$A$9,MATCH(B909,BP!$A$5:$A$9,1)))+INDEX(BP!$C$5:$C$9,MATCH(B909,BP!$A$5:$A$9,1)),0))</f>
        <v>23</v>
      </c>
      <c r="D909" s="12" t="str">
        <f aca="false">IF(NOT(ISNUMBER(C909)),"",INDEX(BP!$F$5:$F$9,MATCH(C909,BP!$E$5:$E$9,1)))</f>
        <v>ดีมาก</v>
      </c>
      <c r="E909" s="12" t="n">
        <f aca="false">YEAR(A909)</f>
        <v>2023</v>
      </c>
      <c r="F909" s="12" t="n">
        <f aca="false">MONTH(A909)</f>
        <v>6</v>
      </c>
      <c r="G909" s="12" t="n">
        <v>14.8</v>
      </c>
      <c r="H909" s="12" t="n">
        <v>32.8</v>
      </c>
      <c r="I909" s="12" t="n">
        <v>235</v>
      </c>
      <c r="J909" s="12" t="n">
        <v>16.8</v>
      </c>
      <c r="K909" s="12" t="n">
        <v>4</v>
      </c>
      <c r="L909" s="12" t="s">
        <v>36</v>
      </c>
    </row>
    <row r="910" customFormat="false" ht="15" hidden="false" customHeight="false" outlineLevel="0" collapsed="false">
      <c r="A910" s="11" t="n">
        <v>45105</v>
      </c>
      <c r="B910" s="12" t="n">
        <v>10.7</v>
      </c>
      <c r="C910" s="12" t="n">
        <f aca="false">IF(NOT(ISNUMBER(B910)),"",ROUND((INDEX(BP!$D$5:$D$9,MATCH(B910,BP!$A$5:$A$9,1))-INDEX(BP!$C$5:$C$9,MATCH(B910,BP!$A$5:$A$9,1)))/(INDEX(BP!$B$5:$B$9,MATCH(B910,BP!$A$5:$A$9,1))-INDEX(BP!$A$5:$A$9,MATCH(B910,BP!$A$5:$A$9,1)))*(B910-INDEX(BP!$A$5:$A$9,MATCH(B910,BP!$A$5:$A$9,1)))+INDEX(BP!$C$5:$C$9,MATCH(B910,BP!$A$5:$A$9,1)),0))</f>
        <v>18</v>
      </c>
      <c r="D910" s="12" t="str">
        <f aca="false">IF(NOT(ISNUMBER(C910)),"",INDEX(BP!$F$5:$F$9,MATCH(C910,BP!$E$5:$E$9,1)))</f>
        <v>ดีมาก</v>
      </c>
      <c r="E910" s="12" t="n">
        <f aca="false">YEAR(A910)</f>
        <v>2023</v>
      </c>
      <c r="F910" s="12" t="n">
        <f aca="false">MONTH(A910)</f>
        <v>6</v>
      </c>
      <c r="G910" s="12" t="n">
        <v>17.3</v>
      </c>
      <c r="H910" s="12" t="n">
        <v>38.9</v>
      </c>
      <c r="I910" s="12" t="n">
        <v>227</v>
      </c>
      <c r="J910" s="12" t="n">
        <v>11.3</v>
      </c>
      <c r="K910" s="12" t="n">
        <v>14</v>
      </c>
      <c r="L910" s="12" t="s">
        <v>36</v>
      </c>
    </row>
    <row r="911" customFormat="false" ht="15" hidden="false" customHeight="false" outlineLevel="0" collapsed="false">
      <c r="A911" s="11" t="n">
        <v>45106</v>
      </c>
      <c r="B911" s="12" t="n">
        <v>11.3</v>
      </c>
      <c r="C911" s="12" t="n">
        <f aca="false">IF(NOT(ISNUMBER(B911)),"",ROUND((INDEX(BP!$D$5:$D$9,MATCH(B911,BP!$A$5:$A$9,1))-INDEX(BP!$C$5:$C$9,MATCH(B911,BP!$A$5:$A$9,1)))/(INDEX(BP!$B$5:$B$9,MATCH(B911,BP!$A$5:$A$9,1))-INDEX(BP!$A$5:$A$9,MATCH(B911,BP!$A$5:$A$9,1)))*(B911-INDEX(BP!$A$5:$A$9,MATCH(B911,BP!$A$5:$A$9,1)))+INDEX(BP!$C$5:$C$9,MATCH(B911,BP!$A$5:$A$9,1)),0))</f>
        <v>19</v>
      </c>
      <c r="D911" s="12" t="str">
        <f aca="false">IF(NOT(ISNUMBER(C911)),"",INDEX(BP!$F$5:$F$9,MATCH(C911,BP!$E$5:$E$9,1)))</f>
        <v>ดีมาก</v>
      </c>
      <c r="E911" s="12" t="n">
        <f aca="false">YEAR(A911)</f>
        <v>2023</v>
      </c>
      <c r="F911" s="12" t="n">
        <f aca="false">MONTH(A911)</f>
        <v>6</v>
      </c>
      <c r="G911" s="12" t="n">
        <v>17.6</v>
      </c>
      <c r="H911" s="12" t="n">
        <v>36.7</v>
      </c>
      <c r="I911" s="12" t="n">
        <v>229</v>
      </c>
      <c r="J911" s="12" t="n">
        <v>6.3</v>
      </c>
      <c r="K911" s="12" t="n">
        <v>0</v>
      </c>
      <c r="L911" s="12" t="s">
        <v>36</v>
      </c>
    </row>
    <row r="912" customFormat="false" ht="15" hidden="false" customHeight="false" outlineLevel="0" collapsed="false">
      <c r="A912" s="11" t="n">
        <v>45107</v>
      </c>
      <c r="B912" s="12" t="n">
        <v>13.7</v>
      </c>
      <c r="C912" s="12" t="n">
        <f aca="false">IF(NOT(ISNUMBER(B912)),"",ROUND((INDEX(BP!$D$5:$D$9,MATCH(B912,BP!$A$5:$A$9,1))-INDEX(BP!$C$5:$C$9,MATCH(B912,BP!$A$5:$A$9,1)))/(INDEX(BP!$B$5:$B$9,MATCH(B912,BP!$A$5:$A$9,1))-INDEX(BP!$A$5:$A$9,MATCH(B912,BP!$A$5:$A$9,1)))*(B912-INDEX(BP!$A$5:$A$9,MATCH(B912,BP!$A$5:$A$9,1)))+INDEX(BP!$C$5:$C$9,MATCH(B912,BP!$A$5:$A$9,1)),0))</f>
        <v>23</v>
      </c>
      <c r="D912" s="12" t="str">
        <f aca="false">IF(NOT(ISNUMBER(C912)),"",INDEX(BP!$F$5:$F$9,MATCH(C912,BP!$E$5:$E$9,1)))</f>
        <v>ดีมาก</v>
      </c>
      <c r="E912" s="12" t="n">
        <f aca="false">YEAR(A912)</f>
        <v>2023</v>
      </c>
      <c r="F912" s="12" t="n">
        <f aca="false">MONTH(A912)</f>
        <v>6</v>
      </c>
      <c r="G912" s="12" t="n">
        <v>17.4</v>
      </c>
      <c r="H912" s="12" t="n">
        <v>37.8</v>
      </c>
      <c r="I912" s="12" t="n">
        <v>227</v>
      </c>
      <c r="J912" s="12" t="n">
        <v>8.8</v>
      </c>
      <c r="K912" s="12" t="n">
        <v>22</v>
      </c>
      <c r="L912" s="12" t="s">
        <v>36</v>
      </c>
    </row>
    <row r="913" customFormat="false" ht="15" hidden="false" customHeight="false" outlineLevel="0" collapsed="false">
      <c r="A913" s="11" t="n">
        <v>45108</v>
      </c>
      <c r="B913" s="12" t="n">
        <v>11.6</v>
      </c>
      <c r="C913" s="12" t="n">
        <f aca="false">IF(NOT(ISNUMBER(B913)),"",ROUND((INDEX(BP!$D$5:$D$9,MATCH(B913,BP!$A$5:$A$9,1))-INDEX(BP!$C$5:$C$9,MATCH(B913,BP!$A$5:$A$9,1)))/(INDEX(BP!$B$5:$B$9,MATCH(B913,BP!$A$5:$A$9,1))-INDEX(BP!$A$5:$A$9,MATCH(B913,BP!$A$5:$A$9,1)))*(B913-INDEX(BP!$A$5:$A$9,MATCH(B913,BP!$A$5:$A$9,1)))+INDEX(BP!$C$5:$C$9,MATCH(B913,BP!$A$5:$A$9,1)),0))</f>
        <v>19</v>
      </c>
      <c r="D913" s="12" t="str">
        <f aca="false">IF(NOT(ISNUMBER(C913)),"",INDEX(BP!$F$5:$F$9,MATCH(C913,BP!$E$5:$E$9,1)))</f>
        <v>ดีมาก</v>
      </c>
      <c r="E913" s="12" t="n">
        <f aca="false">YEAR(A913)</f>
        <v>2023</v>
      </c>
      <c r="F913" s="12" t="n">
        <f aca="false">MONTH(A913)</f>
        <v>7</v>
      </c>
      <c r="G913" s="12" t="n">
        <v>21.2</v>
      </c>
      <c r="H913" s="12" t="n">
        <v>42.5</v>
      </c>
      <c r="I913" s="12" t="n">
        <v>228</v>
      </c>
      <c r="J913" s="12" t="n">
        <v>23.9</v>
      </c>
      <c r="K913" s="12" t="n">
        <v>16.2</v>
      </c>
      <c r="L913" s="12" t="s">
        <v>35</v>
      </c>
    </row>
    <row r="914" customFormat="false" ht="15" hidden="false" customHeight="false" outlineLevel="0" collapsed="false">
      <c r="A914" s="11" t="n">
        <v>45109</v>
      </c>
      <c r="B914" s="12" t="n">
        <v>12.6</v>
      </c>
      <c r="C914" s="12" t="n">
        <f aca="false">IF(NOT(ISNUMBER(B914)),"",ROUND((INDEX(BP!$D$5:$D$9,MATCH(B914,BP!$A$5:$A$9,1))-INDEX(BP!$C$5:$C$9,MATCH(B914,BP!$A$5:$A$9,1)))/(INDEX(BP!$B$5:$B$9,MATCH(B914,BP!$A$5:$A$9,1))-INDEX(BP!$A$5:$A$9,MATCH(B914,BP!$A$5:$A$9,1)))*(B914-INDEX(BP!$A$5:$A$9,MATCH(B914,BP!$A$5:$A$9,1)))+INDEX(BP!$C$5:$C$9,MATCH(B914,BP!$A$5:$A$9,1)),0))</f>
        <v>21</v>
      </c>
      <c r="D914" s="12" t="str">
        <f aca="false">IF(NOT(ISNUMBER(C914)),"",INDEX(BP!$F$5:$F$9,MATCH(C914,BP!$E$5:$E$9,1)))</f>
        <v>ดีมาก</v>
      </c>
      <c r="E914" s="12" t="n">
        <f aca="false">YEAR(A914)</f>
        <v>2023</v>
      </c>
      <c r="F914" s="12" t="n">
        <f aca="false">MONTH(A914)</f>
        <v>7</v>
      </c>
      <c r="G914" s="12" t="n">
        <v>17.3</v>
      </c>
      <c r="H914" s="12" t="n">
        <v>36.4</v>
      </c>
      <c r="I914" s="12" t="n">
        <v>243</v>
      </c>
      <c r="J914" s="12" t="n">
        <v>0</v>
      </c>
      <c r="K914" s="12" t="n">
        <v>0</v>
      </c>
      <c r="L914" s="12" t="s">
        <v>35</v>
      </c>
    </row>
    <row r="915" customFormat="false" ht="15" hidden="false" customHeight="false" outlineLevel="0" collapsed="false">
      <c r="A915" s="11" t="n">
        <v>45110</v>
      </c>
      <c r="B915" s="12" t="n">
        <v>18.5</v>
      </c>
      <c r="C915" s="12" t="n">
        <f aca="false">IF(NOT(ISNUMBER(B915)),"",ROUND((INDEX(BP!$D$5:$D$9,MATCH(B915,BP!$A$5:$A$9,1))-INDEX(BP!$C$5:$C$9,MATCH(B915,BP!$A$5:$A$9,1)))/(INDEX(BP!$B$5:$B$9,MATCH(B915,BP!$A$5:$A$9,1))-INDEX(BP!$A$5:$A$9,MATCH(B915,BP!$A$5:$A$9,1)))*(B915-INDEX(BP!$A$5:$A$9,MATCH(B915,BP!$A$5:$A$9,1)))+INDEX(BP!$C$5:$C$9,MATCH(B915,BP!$A$5:$A$9,1)),0))</f>
        <v>34</v>
      </c>
      <c r="D915" s="12" t="str">
        <f aca="false">IF(NOT(ISNUMBER(C915)),"",INDEX(BP!$F$5:$F$9,MATCH(C915,BP!$E$5:$E$9,1)))</f>
        <v>ดี</v>
      </c>
      <c r="E915" s="12" t="n">
        <f aca="false">YEAR(A915)</f>
        <v>2023</v>
      </c>
      <c r="F915" s="12" t="n">
        <f aca="false">MONTH(A915)</f>
        <v>7</v>
      </c>
      <c r="G915" s="12" t="n">
        <v>9.8</v>
      </c>
      <c r="H915" s="12" t="n">
        <v>28.8</v>
      </c>
      <c r="I915" s="12" t="n">
        <v>73</v>
      </c>
      <c r="J915" s="12" t="n">
        <v>1.4</v>
      </c>
      <c r="K915" s="12" t="n">
        <v>0</v>
      </c>
      <c r="L915" s="12" t="s">
        <v>36</v>
      </c>
    </row>
    <row r="916" customFormat="false" ht="15" hidden="false" customHeight="false" outlineLevel="0" collapsed="false">
      <c r="A916" s="11" t="n">
        <v>45111</v>
      </c>
      <c r="B916" s="12" t="n">
        <v>16.1</v>
      </c>
      <c r="C916" s="12" t="n">
        <f aca="false">IF(NOT(ISNUMBER(B916)),"",ROUND((INDEX(BP!$D$5:$D$9,MATCH(B916,BP!$A$5:$A$9,1))-INDEX(BP!$C$5:$C$9,MATCH(B916,BP!$A$5:$A$9,1)))/(INDEX(BP!$B$5:$B$9,MATCH(B916,BP!$A$5:$A$9,1))-INDEX(BP!$A$5:$A$9,MATCH(B916,BP!$A$5:$A$9,1)))*(B916-INDEX(BP!$A$5:$A$9,MATCH(B916,BP!$A$5:$A$9,1)))+INDEX(BP!$C$5:$C$9,MATCH(B916,BP!$A$5:$A$9,1)),0))</f>
        <v>28</v>
      </c>
      <c r="D916" s="12" t="str">
        <f aca="false">IF(NOT(ISNUMBER(C916)),"",INDEX(BP!$F$5:$F$9,MATCH(C916,BP!$E$5:$E$9,1)))</f>
        <v>ดี</v>
      </c>
      <c r="E916" s="12" t="n">
        <f aca="false">YEAR(A916)</f>
        <v>2023</v>
      </c>
      <c r="F916" s="12" t="n">
        <f aca="false">MONTH(A916)</f>
        <v>7</v>
      </c>
      <c r="G916" s="12" t="n">
        <v>11.7</v>
      </c>
      <c r="H916" s="12" t="n">
        <v>25.9</v>
      </c>
      <c r="I916" s="12" t="n">
        <v>87</v>
      </c>
      <c r="J916" s="12" t="n">
        <v>2</v>
      </c>
      <c r="K916" s="12" t="n">
        <v>0</v>
      </c>
      <c r="L916" s="12" t="s">
        <v>36</v>
      </c>
    </row>
    <row r="917" customFormat="false" ht="15" hidden="false" customHeight="false" outlineLevel="0" collapsed="false">
      <c r="A917" s="11" t="n">
        <v>45112</v>
      </c>
      <c r="B917" s="12" t="n">
        <v>18.6</v>
      </c>
      <c r="C917" s="12" t="n">
        <f aca="false">IF(NOT(ISNUMBER(B917)),"",ROUND((INDEX(BP!$D$5:$D$9,MATCH(B917,BP!$A$5:$A$9,1))-INDEX(BP!$C$5:$C$9,MATCH(B917,BP!$A$5:$A$9,1)))/(INDEX(BP!$B$5:$B$9,MATCH(B917,BP!$A$5:$A$9,1))-INDEX(BP!$A$5:$A$9,MATCH(B917,BP!$A$5:$A$9,1)))*(B917-INDEX(BP!$A$5:$A$9,MATCH(B917,BP!$A$5:$A$9,1)))+INDEX(BP!$C$5:$C$9,MATCH(B917,BP!$A$5:$A$9,1)),0))</f>
        <v>34</v>
      </c>
      <c r="D917" s="12" t="str">
        <f aca="false">IF(NOT(ISNUMBER(C917)),"",INDEX(BP!$F$5:$F$9,MATCH(C917,BP!$E$5:$E$9,1)))</f>
        <v>ดี</v>
      </c>
      <c r="E917" s="12" t="n">
        <f aca="false">YEAR(A917)</f>
        <v>2023</v>
      </c>
      <c r="F917" s="12" t="n">
        <f aca="false">MONTH(A917)</f>
        <v>7</v>
      </c>
      <c r="G917" s="12" t="n">
        <v>10.9</v>
      </c>
      <c r="H917" s="12" t="n">
        <v>27.7</v>
      </c>
      <c r="I917" s="12" t="n">
        <v>330</v>
      </c>
      <c r="J917" s="12" t="n">
        <v>5.8</v>
      </c>
      <c r="K917" s="12" t="n">
        <v>0</v>
      </c>
      <c r="L917" s="12" t="s">
        <v>36</v>
      </c>
    </row>
    <row r="918" customFormat="false" ht="15" hidden="false" customHeight="false" outlineLevel="0" collapsed="false">
      <c r="A918" s="11" t="n">
        <v>45113</v>
      </c>
      <c r="B918" s="12" t="n">
        <v>21.8</v>
      </c>
      <c r="C918" s="12" t="n">
        <f aca="false">IF(NOT(ISNUMBER(B918)),"",ROUND((INDEX(BP!$D$5:$D$9,MATCH(B918,BP!$A$5:$A$9,1))-INDEX(BP!$C$5:$C$9,MATCH(B918,BP!$A$5:$A$9,1)))/(INDEX(BP!$B$5:$B$9,MATCH(B918,BP!$A$5:$A$9,1))-INDEX(BP!$A$5:$A$9,MATCH(B918,BP!$A$5:$A$9,1)))*(B918-INDEX(BP!$A$5:$A$9,MATCH(B918,BP!$A$5:$A$9,1)))+INDEX(BP!$C$5:$C$9,MATCH(B918,BP!$A$5:$A$9,1)),0))</f>
        <v>42</v>
      </c>
      <c r="D918" s="12" t="str">
        <f aca="false">IF(NOT(ISNUMBER(C918)),"",INDEX(BP!$F$5:$F$9,MATCH(C918,BP!$E$5:$E$9,1)))</f>
        <v>ดี</v>
      </c>
      <c r="E918" s="12" t="n">
        <f aca="false">YEAR(A918)</f>
        <v>2023</v>
      </c>
      <c r="F918" s="12" t="n">
        <f aca="false">MONTH(A918)</f>
        <v>7</v>
      </c>
      <c r="G918" s="12" t="n">
        <v>8.7</v>
      </c>
      <c r="H918" s="12" t="n">
        <v>29.2</v>
      </c>
      <c r="I918" s="12" t="n">
        <v>262</v>
      </c>
      <c r="J918" s="12" t="n">
        <v>0.8</v>
      </c>
      <c r="K918" s="12" t="n">
        <v>0</v>
      </c>
      <c r="L918" s="12" t="s">
        <v>36</v>
      </c>
    </row>
    <row r="919" customFormat="false" ht="15" hidden="false" customHeight="false" outlineLevel="0" collapsed="false">
      <c r="A919" s="11" t="n">
        <v>45114</v>
      </c>
      <c r="B919" s="12" t="n">
        <v>15.2</v>
      </c>
      <c r="C919" s="12" t="n">
        <f aca="false">IF(NOT(ISNUMBER(B919)),"",ROUND((INDEX(BP!$D$5:$D$9,MATCH(B919,BP!$A$5:$A$9,1))-INDEX(BP!$C$5:$C$9,MATCH(B919,BP!$A$5:$A$9,1)))/(INDEX(BP!$B$5:$B$9,MATCH(B919,BP!$A$5:$A$9,1))-INDEX(BP!$A$5:$A$9,MATCH(B919,BP!$A$5:$A$9,1)))*(B919-INDEX(BP!$A$5:$A$9,MATCH(B919,BP!$A$5:$A$9,1)))+INDEX(BP!$C$5:$C$9,MATCH(B919,BP!$A$5:$A$9,1)),0))</f>
        <v>26</v>
      </c>
      <c r="D919" s="12" t="str">
        <f aca="false">IF(NOT(ISNUMBER(C919)),"",INDEX(BP!$F$5:$F$9,MATCH(C919,BP!$E$5:$E$9,1)))</f>
        <v>ดี</v>
      </c>
      <c r="E919" s="12" t="n">
        <f aca="false">YEAR(A919)</f>
        <v>2023</v>
      </c>
      <c r="F919" s="12" t="n">
        <f aca="false">MONTH(A919)</f>
        <v>7</v>
      </c>
      <c r="G919" s="12" t="n">
        <v>10.6</v>
      </c>
      <c r="H919" s="12" t="n">
        <v>27</v>
      </c>
      <c r="I919" s="12" t="n">
        <v>225</v>
      </c>
      <c r="J919" s="12" t="n">
        <v>3.9</v>
      </c>
      <c r="K919" s="12" t="n">
        <v>0</v>
      </c>
      <c r="L919" s="12" t="s">
        <v>36</v>
      </c>
    </row>
    <row r="920" customFormat="false" ht="15" hidden="false" customHeight="false" outlineLevel="0" collapsed="false">
      <c r="A920" s="11" t="n">
        <v>45115</v>
      </c>
      <c r="B920" s="12" t="n">
        <v>12.5</v>
      </c>
      <c r="C920" s="12" t="n">
        <f aca="false">IF(NOT(ISNUMBER(B920)),"",ROUND((INDEX(BP!$D$5:$D$9,MATCH(B920,BP!$A$5:$A$9,1))-INDEX(BP!$C$5:$C$9,MATCH(B920,BP!$A$5:$A$9,1)))/(INDEX(BP!$B$5:$B$9,MATCH(B920,BP!$A$5:$A$9,1))-INDEX(BP!$A$5:$A$9,MATCH(B920,BP!$A$5:$A$9,1)))*(B920-INDEX(BP!$A$5:$A$9,MATCH(B920,BP!$A$5:$A$9,1)))+INDEX(BP!$C$5:$C$9,MATCH(B920,BP!$A$5:$A$9,1)),0))</f>
        <v>21</v>
      </c>
      <c r="D920" s="12" t="str">
        <f aca="false">IF(NOT(ISNUMBER(C920)),"",INDEX(BP!$F$5:$F$9,MATCH(C920,BP!$E$5:$E$9,1)))</f>
        <v>ดีมาก</v>
      </c>
      <c r="E920" s="12" t="n">
        <f aca="false">YEAR(A920)</f>
        <v>2023</v>
      </c>
      <c r="F920" s="12" t="n">
        <f aca="false">MONTH(A920)</f>
        <v>7</v>
      </c>
      <c r="G920" s="12" t="n">
        <v>14.9</v>
      </c>
      <c r="H920" s="12" t="n">
        <v>35.6</v>
      </c>
      <c r="I920" s="12" t="n">
        <v>244</v>
      </c>
      <c r="J920" s="12" t="n">
        <v>11.6</v>
      </c>
      <c r="K920" s="12" t="n">
        <v>4.8</v>
      </c>
      <c r="L920" s="12" t="s">
        <v>35</v>
      </c>
    </row>
    <row r="921" customFormat="false" ht="15" hidden="false" customHeight="false" outlineLevel="0" collapsed="false">
      <c r="A921" s="11" t="n">
        <v>45116</v>
      </c>
      <c r="B921" s="12" t="n">
        <v>11</v>
      </c>
      <c r="C921" s="12" t="n">
        <f aca="false">IF(NOT(ISNUMBER(B921)),"",ROUND((INDEX(BP!$D$5:$D$9,MATCH(B921,BP!$A$5:$A$9,1))-INDEX(BP!$C$5:$C$9,MATCH(B921,BP!$A$5:$A$9,1)))/(INDEX(BP!$B$5:$B$9,MATCH(B921,BP!$A$5:$A$9,1))-INDEX(BP!$A$5:$A$9,MATCH(B921,BP!$A$5:$A$9,1)))*(B921-INDEX(BP!$A$5:$A$9,MATCH(B921,BP!$A$5:$A$9,1)))+INDEX(BP!$C$5:$C$9,MATCH(B921,BP!$A$5:$A$9,1)),0))</f>
        <v>18</v>
      </c>
      <c r="D921" s="12" t="str">
        <f aca="false">IF(NOT(ISNUMBER(C921)),"",INDEX(BP!$F$5:$F$9,MATCH(C921,BP!$E$5:$E$9,1)))</f>
        <v>ดีมาก</v>
      </c>
      <c r="E921" s="12" t="n">
        <f aca="false">YEAR(A921)</f>
        <v>2023</v>
      </c>
      <c r="F921" s="12" t="n">
        <f aca="false">MONTH(A921)</f>
        <v>7</v>
      </c>
      <c r="G921" s="12" t="n">
        <v>13.9</v>
      </c>
      <c r="H921" s="12" t="n">
        <v>31.7</v>
      </c>
      <c r="I921" s="12" t="n">
        <v>227</v>
      </c>
      <c r="J921" s="12" t="n">
        <v>13.9</v>
      </c>
      <c r="K921" s="12" t="n">
        <v>0.6</v>
      </c>
      <c r="L921" s="12" t="s">
        <v>35</v>
      </c>
    </row>
    <row r="922" customFormat="false" ht="15" hidden="false" customHeight="false" outlineLevel="0" collapsed="false">
      <c r="A922" s="11" t="n">
        <v>45117</v>
      </c>
      <c r="B922" s="12" t="n">
        <v>10.8</v>
      </c>
      <c r="C922" s="12" t="n">
        <f aca="false">IF(NOT(ISNUMBER(B922)),"",ROUND((INDEX(BP!$D$5:$D$9,MATCH(B922,BP!$A$5:$A$9,1))-INDEX(BP!$C$5:$C$9,MATCH(B922,BP!$A$5:$A$9,1)))/(INDEX(BP!$B$5:$B$9,MATCH(B922,BP!$A$5:$A$9,1))-INDEX(BP!$A$5:$A$9,MATCH(B922,BP!$A$5:$A$9,1)))*(B922-INDEX(BP!$A$5:$A$9,MATCH(B922,BP!$A$5:$A$9,1)))+INDEX(BP!$C$5:$C$9,MATCH(B922,BP!$A$5:$A$9,1)),0))</f>
        <v>18</v>
      </c>
      <c r="D922" s="12" t="str">
        <f aca="false">IF(NOT(ISNUMBER(C922)),"",INDEX(BP!$F$5:$F$9,MATCH(C922,BP!$E$5:$E$9,1)))</f>
        <v>ดีมาก</v>
      </c>
      <c r="E922" s="12" t="n">
        <f aca="false">YEAR(A922)</f>
        <v>2023</v>
      </c>
      <c r="F922" s="12" t="n">
        <f aca="false">MONTH(A922)</f>
        <v>7</v>
      </c>
      <c r="G922" s="12" t="n">
        <v>7.4</v>
      </c>
      <c r="H922" s="12" t="n">
        <v>23.8</v>
      </c>
      <c r="I922" s="12" t="n">
        <v>197</v>
      </c>
      <c r="J922" s="12" t="n">
        <v>20.6</v>
      </c>
      <c r="K922" s="12" t="n">
        <v>11</v>
      </c>
      <c r="L922" s="12" t="s">
        <v>36</v>
      </c>
    </row>
    <row r="923" customFormat="false" ht="15" hidden="false" customHeight="false" outlineLevel="0" collapsed="false">
      <c r="A923" s="11" t="n">
        <v>45118</v>
      </c>
      <c r="B923" s="12" t="n">
        <v>10.4</v>
      </c>
      <c r="C923" s="12" t="n">
        <f aca="false">IF(NOT(ISNUMBER(B923)),"",ROUND((INDEX(BP!$D$5:$D$9,MATCH(B923,BP!$A$5:$A$9,1))-INDEX(BP!$C$5:$C$9,MATCH(B923,BP!$A$5:$A$9,1)))/(INDEX(BP!$B$5:$B$9,MATCH(B923,BP!$A$5:$A$9,1))-INDEX(BP!$A$5:$A$9,MATCH(B923,BP!$A$5:$A$9,1)))*(B923-INDEX(BP!$A$5:$A$9,MATCH(B923,BP!$A$5:$A$9,1)))+INDEX(BP!$C$5:$C$9,MATCH(B923,BP!$A$5:$A$9,1)),0))</f>
        <v>17</v>
      </c>
      <c r="D923" s="12" t="str">
        <f aca="false">IF(NOT(ISNUMBER(C923)),"",INDEX(BP!$F$5:$F$9,MATCH(C923,BP!$E$5:$E$9,1)))</f>
        <v>ดีมาก</v>
      </c>
      <c r="E923" s="12" t="n">
        <f aca="false">YEAR(A923)</f>
        <v>2023</v>
      </c>
      <c r="F923" s="12" t="n">
        <f aca="false">MONTH(A923)</f>
        <v>7</v>
      </c>
      <c r="G923" s="12" t="n">
        <v>12.4</v>
      </c>
      <c r="H923" s="12" t="n">
        <v>35.3</v>
      </c>
      <c r="I923" s="12" t="n">
        <v>219</v>
      </c>
      <c r="J923" s="12" t="n">
        <v>2.1</v>
      </c>
      <c r="K923" s="12" t="n">
        <v>0</v>
      </c>
      <c r="L923" s="12" t="s">
        <v>36</v>
      </c>
    </row>
    <row r="924" customFormat="false" ht="15" hidden="false" customHeight="false" outlineLevel="0" collapsed="false">
      <c r="A924" s="11" t="n">
        <v>45119</v>
      </c>
      <c r="B924" s="12" t="n">
        <v>13.5</v>
      </c>
      <c r="C924" s="12" t="n">
        <f aca="false">IF(NOT(ISNUMBER(B924)),"",ROUND((INDEX(BP!$D$5:$D$9,MATCH(B924,BP!$A$5:$A$9,1))-INDEX(BP!$C$5:$C$9,MATCH(B924,BP!$A$5:$A$9,1)))/(INDEX(BP!$B$5:$B$9,MATCH(B924,BP!$A$5:$A$9,1))-INDEX(BP!$A$5:$A$9,MATCH(B924,BP!$A$5:$A$9,1)))*(B924-INDEX(BP!$A$5:$A$9,MATCH(B924,BP!$A$5:$A$9,1)))+INDEX(BP!$C$5:$C$9,MATCH(B924,BP!$A$5:$A$9,1)),0))</f>
        <v>23</v>
      </c>
      <c r="D924" s="12" t="str">
        <f aca="false">IF(NOT(ISNUMBER(C924)),"",INDEX(BP!$F$5:$F$9,MATCH(C924,BP!$E$5:$E$9,1)))</f>
        <v>ดีมาก</v>
      </c>
      <c r="E924" s="12" t="n">
        <f aca="false">YEAR(A924)</f>
        <v>2023</v>
      </c>
      <c r="F924" s="12" t="n">
        <f aca="false">MONTH(A924)</f>
        <v>7</v>
      </c>
      <c r="G924" s="12" t="n">
        <v>11.8</v>
      </c>
      <c r="H924" s="12" t="n">
        <v>22</v>
      </c>
      <c r="I924" s="12" t="n">
        <v>225</v>
      </c>
      <c r="J924" s="12" t="n">
        <v>0.6</v>
      </c>
      <c r="K924" s="12" t="n">
        <v>0.4</v>
      </c>
      <c r="L924" s="12" t="s">
        <v>36</v>
      </c>
    </row>
    <row r="925" customFormat="false" ht="15" hidden="false" customHeight="false" outlineLevel="0" collapsed="false">
      <c r="A925" s="11" t="n">
        <v>45120</v>
      </c>
      <c r="B925" s="12" t="n">
        <v>15.1</v>
      </c>
      <c r="C925" s="12" t="n">
        <f aca="false">IF(NOT(ISNUMBER(B925)),"",ROUND((INDEX(BP!$D$5:$D$9,MATCH(B925,BP!$A$5:$A$9,1))-INDEX(BP!$C$5:$C$9,MATCH(B925,BP!$A$5:$A$9,1)))/(INDEX(BP!$B$5:$B$9,MATCH(B925,BP!$A$5:$A$9,1))-INDEX(BP!$A$5:$A$9,MATCH(B925,BP!$A$5:$A$9,1)))*(B925-INDEX(BP!$A$5:$A$9,MATCH(B925,BP!$A$5:$A$9,1)))+INDEX(BP!$C$5:$C$9,MATCH(B925,BP!$A$5:$A$9,1)),0))</f>
        <v>26</v>
      </c>
      <c r="D925" s="12" t="str">
        <f aca="false">IF(NOT(ISNUMBER(C925)),"",INDEX(BP!$F$5:$F$9,MATCH(C925,BP!$E$5:$E$9,1)))</f>
        <v>ดี</v>
      </c>
      <c r="E925" s="12" t="n">
        <f aca="false">YEAR(A925)</f>
        <v>2023</v>
      </c>
      <c r="F925" s="12" t="n">
        <f aca="false">MONTH(A925)</f>
        <v>7</v>
      </c>
      <c r="G925" s="12" t="n">
        <v>16.1</v>
      </c>
      <c r="H925" s="12" t="n">
        <v>33.8</v>
      </c>
      <c r="I925" s="12" t="n">
        <v>238</v>
      </c>
      <c r="J925" s="12" t="n">
        <v>1</v>
      </c>
      <c r="K925" s="12" t="n">
        <v>0</v>
      </c>
      <c r="L925" s="12" t="s">
        <v>36</v>
      </c>
    </row>
    <row r="926" customFormat="false" ht="15" hidden="false" customHeight="false" outlineLevel="0" collapsed="false">
      <c r="A926" s="11" t="n">
        <v>45121</v>
      </c>
      <c r="B926" s="12" t="n">
        <v>17.1</v>
      </c>
      <c r="C926" s="12" t="n">
        <f aca="false">IF(NOT(ISNUMBER(B926)),"",ROUND((INDEX(BP!$D$5:$D$9,MATCH(B926,BP!$A$5:$A$9,1))-INDEX(BP!$C$5:$C$9,MATCH(B926,BP!$A$5:$A$9,1)))/(INDEX(BP!$B$5:$B$9,MATCH(B926,BP!$A$5:$A$9,1))-INDEX(BP!$A$5:$A$9,MATCH(B926,BP!$A$5:$A$9,1)))*(B926-INDEX(BP!$A$5:$A$9,MATCH(B926,BP!$A$5:$A$9,1)))+INDEX(BP!$C$5:$C$9,MATCH(B926,BP!$A$5:$A$9,1)),0))</f>
        <v>31</v>
      </c>
      <c r="D926" s="12" t="str">
        <f aca="false">IF(NOT(ISNUMBER(C926)),"",INDEX(BP!$F$5:$F$9,MATCH(C926,BP!$E$5:$E$9,1)))</f>
        <v>ดี</v>
      </c>
      <c r="E926" s="12" t="n">
        <f aca="false">YEAR(A926)</f>
        <v>2023</v>
      </c>
      <c r="F926" s="12" t="n">
        <f aca="false">MONTH(A926)</f>
        <v>7</v>
      </c>
      <c r="G926" s="12" t="n">
        <v>23.3</v>
      </c>
      <c r="H926" s="12" t="n">
        <v>49</v>
      </c>
      <c r="I926" s="12" t="n">
        <v>247</v>
      </c>
      <c r="J926" s="12" t="n">
        <v>0</v>
      </c>
      <c r="K926" s="12" t="n">
        <v>0</v>
      </c>
      <c r="L926" s="12" t="s">
        <v>36</v>
      </c>
    </row>
    <row r="927" customFormat="false" ht="15" hidden="false" customHeight="false" outlineLevel="0" collapsed="false">
      <c r="A927" s="11" t="n">
        <v>45122</v>
      </c>
      <c r="B927" s="12" t="n">
        <v>18.4</v>
      </c>
      <c r="C927" s="12" t="n">
        <f aca="false">IF(NOT(ISNUMBER(B927)),"",ROUND((INDEX(BP!$D$5:$D$9,MATCH(B927,BP!$A$5:$A$9,1))-INDEX(BP!$C$5:$C$9,MATCH(B927,BP!$A$5:$A$9,1)))/(INDEX(BP!$B$5:$B$9,MATCH(B927,BP!$A$5:$A$9,1))-INDEX(BP!$A$5:$A$9,MATCH(B927,BP!$A$5:$A$9,1)))*(B927-INDEX(BP!$A$5:$A$9,MATCH(B927,BP!$A$5:$A$9,1)))+INDEX(BP!$C$5:$C$9,MATCH(B927,BP!$A$5:$A$9,1)),0))</f>
        <v>34</v>
      </c>
      <c r="D927" s="12" t="str">
        <f aca="false">IF(NOT(ISNUMBER(C927)),"",INDEX(BP!$F$5:$F$9,MATCH(C927,BP!$E$5:$E$9,1)))</f>
        <v>ดี</v>
      </c>
      <c r="E927" s="12" t="n">
        <f aca="false">YEAR(A927)</f>
        <v>2023</v>
      </c>
      <c r="F927" s="12" t="n">
        <f aca="false">MONTH(A927)</f>
        <v>7</v>
      </c>
      <c r="G927" s="12" t="n">
        <v>20.6</v>
      </c>
      <c r="H927" s="12" t="n">
        <v>47.5</v>
      </c>
      <c r="I927" s="12" t="n">
        <v>251</v>
      </c>
      <c r="J927" s="12" t="n">
        <v>1.3</v>
      </c>
      <c r="K927" s="12" t="n">
        <v>0</v>
      </c>
      <c r="L927" s="12" t="s">
        <v>35</v>
      </c>
    </row>
    <row r="928" customFormat="false" ht="15" hidden="false" customHeight="false" outlineLevel="0" collapsed="false">
      <c r="A928" s="11" t="n">
        <v>45123</v>
      </c>
      <c r="B928" s="12" t="n">
        <v>15.7</v>
      </c>
      <c r="C928" s="12" t="n">
        <f aca="false">IF(NOT(ISNUMBER(B928)),"",ROUND((INDEX(BP!$D$5:$D$9,MATCH(B928,BP!$A$5:$A$9,1))-INDEX(BP!$C$5:$C$9,MATCH(B928,BP!$A$5:$A$9,1)))/(INDEX(BP!$B$5:$B$9,MATCH(B928,BP!$A$5:$A$9,1))-INDEX(BP!$A$5:$A$9,MATCH(B928,BP!$A$5:$A$9,1)))*(B928-INDEX(BP!$A$5:$A$9,MATCH(B928,BP!$A$5:$A$9,1)))+INDEX(BP!$C$5:$C$9,MATCH(B928,BP!$A$5:$A$9,1)),0))</f>
        <v>27</v>
      </c>
      <c r="D928" s="12" t="str">
        <f aca="false">IF(NOT(ISNUMBER(C928)),"",INDEX(BP!$F$5:$F$9,MATCH(C928,BP!$E$5:$E$9,1)))</f>
        <v>ดี</v>
      </c>
      <c r="E928" s="12" t="n">
        <f aca="false">YEAR(A928)</f>
        <v>2023</v>
      </c>
      <c r="F928" s="12" t="n">
        <f aca="false">MONTH(A928)</f>
        <v>7</v>
      </c>
      <c r="G928" s="12" t="n">
        <v>24.6</v>
      </c>
      <c r="H928" s="12" t="n">
        <v>53.3</v>
      </c>
      <c r="I928" s="12" t="n">
        <v>252</v>
      </c>
      <c r="J928" s="12" t="n">
        <v>0.1</v>
      </c>
      <c r="K928" s="12" t="n">
        <v>0</v>
      </c>
      <c r="L928" s="12" t="s">
        <v>35</v>
      </c>
    </row>
    <row r="929" customFormat="false" ht="15" hidden="false" customHeight="false" outlineLevel="0" collapsed="false">
      <c r="A929" s="11" t="n">
        <v>45124</v>
      </c>
      <c r="B929" s="12" t="n">
        <v>13.9</v>
      </c>
      <c r="C929" s="12" t="n">
        <f aca="false">IF(NOT(ISNUMBER(B929)),"",ROUND((INDEX(BP!$D$5:$D$9,MATCH(B929,BP!$A$5:$A$9,1))-INDEX(BP!$C$5:$C$9,MATCH(B929,BP!$A$5:$A$9,1)))/(INDEX(BP!$B$5:$B$9,MATCH(B929,BP!$A$5:$A$9,1))-INDEX(BP!$A$5:$A$9,MATCH(B929,BP!$A$5:$A$9,1)))*(B929-INDEX(BP!$A$5:$A$9,MATCH(B929,BP!$A$5:$A$9,1)))+INDEX(BP!$C$5:$C$9,MATCH(B929,BP!$A$5:$A$9,1)),0))</f>
        <v>23</v>
      </c>
      <c r="D929" s="12" t="str">
        <f aca="false">IF(NOT(ISNUMBER(C929)),"",INDEX(BP!$F$5:$F$9,MATCH(C929,BP!$E$5:$E$9,1)))</f>
        <v>ดีมาก</v>
      </c>
      <c r="E929" s="12" t="n">
        <f aca="false">YEAR(A929)</f>
        <v>2023</v>
      </c>
      <c r="F929" s="12" t="n">
        <f aca="false">MONTH(A929)</f>
        <v>7</v>
      </c>
      <c r="G929" s="12" t="n">
        <v>27.2</v>
      </c>
      <c r="H929" s="12" t="n">
        <v>59</v>
      </c>
      <c r="I929" s="12" t="n">
        <v>257</v>
      </c>
      <c r="J929" s="12" t="n">
        <v>0</v>
      </c>
      <c r="K929" s="12" t="n">
        <v>0</v>
      </c>
      <c r="L929" s="12" t="s">
        <v>36</v>
      </c>
    </row>
    <row r="930" customFormat="false" ht="15" hidden="false" customHeight="false" outlineLevel="0" collapsed="false">
      <c r="A930" s="11" t="n">
        <v>45125</v>
      </c>
      <c r="B930" s="12" t="n">
        <v>11.5</v>
      </c>
      <c r="C930" s="12" t="n">
        <f aca="false">IF(NOT(ISNUMBER(B930)),"",ROUND((INDEX(BP!$D$5:$D$9,MATCH(B930,BP!$A$5:$A$9,1))-INDEX(BP!$C$5:$C$9,MATCH(B930,BP!$A$5:$A$9,1)))/(INDEX(BP!$B$5:$B$9,MATCH(B930,BP!$A$5:$A$9,1))-INDEX(BP!$A$5:$A$9,MATCH(B930,BP!$A$5:$A$9,1)))*(B930-INDEX(BP!$A$5:$A$9,MATCH(B930,BP!$A$5:$A$9,1)))+INDEX(BP!$C$5:$C$9,MATCH(B930,BP!$A$5:$A$9,1)),0))</f>
        <v>19</v>
      </c>
      <c r="D930" s="12" t="str">
        <f aca="false">IF(NOT(ISNUMBER(C930)),"",INDEX(BP!$F$5:$F$9,MATCH(C930,BP!$E$5:$E$9,1)))</f>
        <v>ดีมาก</v>
      </c>
      <c r="E930" s="12" t="n">
        <f aca="false">YEAR(A930)</f>
        <v>2023</v>
      </c>
      <c r="F930" s="12" t="n">
        <f aca="false">MONTH(A930)</f>
        <v>7</v>
      </c>
      <c r="G930" s="12" t="n">
        <v>25.3</v>
      </c>
      <c r="H930" s="12" t="n">
        <v>60.1</v>
      </c>
      <c r="I930" s="12" t="n">
        <v>249</v>
      </c>
      <c r="J930" s="12" t="n">
        <v>0.7</v>
      </c>
      <c r="K930" s="12" t="n">
        <v>8.4</v>
      </c>
      <c r="L930" s="12" t="s">
        <v>36</v>
      </c>
    </row>
    <row r="931" customFormat="false" ht="15" hidden="false" customHeight="false" outlineLevel="0" collapsed="false">
      <c r="A931" s="11" t="n">
        <v>45126</v>
      </c>
      <c r="B931" s="12" t="n">
        <v>10</v>
      </c>
      <c r="C931" s="12" t="n">
        <f aca="false">IF(NOT(ISNUMBER(B931)),"",ROUND((INDEX(BP!$D$5:$D$9,MATCH(B931,BP!$A$5:$A$9,1))-INDEX(BP!$C$5:$C$9,MATCH(B931,BP!$A$5:$A$9,1)))/(INDEX(BP!$B$5:$B$9,MATCH(B931,BP!$A$5:$A$9,1))-INDEX(BP!$A$5:$A$9,MATCH(B931,BP!$A$5:$A$9,1)))*(B931-INDEX(BP!$A$5:$A$9,MATCH(B931,BP!$A$5:$A$9,1)))+INDEX(BP!$C$5:$C$9,MATCH(B931,BP!$A$5:$A$9,1)),0))</f>
        <v>17</v>
      </c>
      <c r="D931" s="12" t="str">
        <f aca="false">IF(NOT(ISNUMBER(C931)),"",INDEX(BP!$F$5:$F$9,MATCH(C931,BP!$E$5:$E$9,1)))</f>
        <v>ดีมาก</v>
      </c>
      <c r="E931" s="12" t="n">
        <f aca="false">YEAR(A931)</f>
        <v>2023</v>
      </c>
      <c r="F931" s="12" t="n">
        <f aca="false">MONTH(A931)</f>
        <v>7</v>
      </c>
      <c r="G931" s="12" t="n">
        <v>29.3</v>
      </c>
      <c r="H931" s="12" t="n">
        <v>63</v>
      </c>
      <c r="I931" s="12" t="n">
        <v>241</v>
      </c>
      <c r="J931" s="12" t="n">
        <v>3.2</v>
      </c>
      <c r="K931" s="12" t="n">
        <v>26.9</v>
      </c>
      <c r="L931" s="12" t="s">
        <v>36</v>
      </c>
    </row>
    <row r="932" customFormat="false" ht="15" hidden="false" customHeight="false" outlineLevel="0" collapsed="false">
      <c r="A932" s="11" t="n">
        <v>45127</v>
      </c>
      <c r="B932" s="12" t="n">
        <v>12.6</v>
      </c>
      <c r="C932" s="12" t="n">
        <f aca="false">IF(NOT(ISNUMBER(B932)),"",ROUND((INDEX(BP!$D$5:$D$9,MATCH(B932,BP!$A$5:$A$9,1))-INDEX(BP!$C$5:$C$9,MATCH(B932,BP!$A$5:$A$9,1)))/(INDEX(BP!$B$5:$B$9,MATCH(B932,BP!$A$5:$A$9,1))-INDEX(BP!$A$5:$A$9,MATCH(B932,BP!$A$5:$A$9,1)))*(B932-INDEX(BP!$A$5:$A$9,MATCH(B932,BP!$A$5:$A$9,1)))+INDEX(BP!$C$5:$C$9,MATCH(B932,BP!$A$5:$A$9,1)),0))</f>
        <v>21</v>
      </c>
      <c r="D932" s="12" t="str">
        <f aca="false">IF(NOT(ISNUMBER(C932)),"",INDEX(BP!$F$5:$F$9,MATCH(C932,BP!$E$5:$E$9,1)))</f>
        <v>ดีมาก</v>
      </c>
      <c r="E932" s="12" t="n">
        <f aca="false">YEAR(A932)</f>
        <v>2023</v>
      </c>
      <c r="F932" s="12" t="n">
        <f aca="false">MONTH(A932)</f>
        <v>7</v>
      </c>
      <c r="G932" s="12" t="n">
        <v>25</v>
      </c>
      <c r="H932" s="12" t="n">
        <v>59.4</v>
      </c>
      <c r="I932" s="12" t="n">
        <v>242</v>
      </c>
      <c r="J932" s="12" t="n">
        <v>1.3</v>
      </c>
      <c r="K932" s="12" t="n">
        <v>0</v>
      </c>
      <c r="L932" s="12" t="s">
        <v>36</v>
      </c>
    </row>
    <row r="933" customFormat="false" ht="15" hidden="false" customHeight="false" outlineLevel="0" collapsed="false">
      <c r="A933" s="11" t="n">
        <v>45128</v>
      </c>
      <c r="B933" s="12" t="n">
        <v>14.1</v>
      </c>
      <c r="C933" s="12" t="n">
        <f aca="false">IF(NOT(ISNUMBER(B933)),"",ROUND((INDEX(BP!$D$5:$D$9,MATCH(B933,BP!$A$5:$A$9,1))-INDEX(BP!$C$5:$C$9,MATCH(B933,BP!$A$5:$A$9,1)))/(INDEX(BP!$B$5:$B$9,MATCH(B933,BP!$A$5:$A$9,1))-INDEX(BP!$A$5:$A$9,MATCH(B933,BP!$A$5:$A$9,1)))*(B933-INDEX(BP!$A$5:$A$9,MATCH(B933,BP!$A$5:$A$9,1)))+INDEX(BP!$C$5:$C$9,MATCH(B933,BP!$A$5:$A$9,1)),0))</f>
        <v>24</v>
      </c>
      <c r="D933" s="12" t="str">
        <f aca="false">IF(NOT(ISNUMBER(C933)),"",INDEX(BP!$F$5:$F$9,MATCH(C933,BP!$E$5:$E$9,1)))</f>
        <v>ดีมาก</v>
      </c>
      <c r="E933" s="12" t="n">
        <f aca="false">YEAR(A933)</f>
        <v>2023</v>
      </c>
      <c r="F933" s="12" t="n">
        <f aca="false">MONTH(A933)</f>
        <v>7</v>
      </c>
      <c r="G933" s="12" t="n">
        <v>16.2</v>
      </c>
      <c r="H933" s="12" t="n">
        <v>38.9</v>
      </c>
      <c r="I933" s="12" t="n">
        <v>237</v>
      </c>
      <c r="J933" s="12" t="n">
        <v>1.5</v>
      </c>
      <c r="K933" s="12" t="n">
        <v>0.2</v>
      </c>
      <c r="L933" s="12" t="s">
        <v>36</v>
      </c>
    </row>
    <row r="934" customFormat="false" ht="15" hidden="false" customHeight="false" outlineLevel="0" collapsed="false">
      <c r="A934" s="11" t="n">
        <v>45129</v>
      </c>
      <c r="B934" s="12" t="n">
        <v>17.6</v>
      </c>
      <c r="C934" s="12" t="n">
        <f aca="false">IF(NOT(ISNUMBER(B934)),"",ROUND((INDEX(BP!$D$5:$D$9,MATCH(B934,BP!$A$5:$A$9,1))-INDEX(BP!$C$5:$C$9,MATCH(B934,BP!$A$5:$A$9,1)))/(INDEX(BP!$B$5:$B$9,MATCH(B934,BP!$A$5:$A$9,1))-INDEX(BP!$A$5:$A$9,MATCH(B934,BP!$A$5:$A$9,1)))*(B934-INDEX(BP!$A$5:$A$9,MATCH(B934,BP!$A$5:$A$9,1)))+INDEX(BP!$C$5:$C$9,MATCH(B934,BP!$A$5:$A$9,1)),0))</f>
        <v>32</v>
      </c>
      <c r="D934" s="12" t="str">
        <f aca="false">IF(NOT(ISNUMBER(C934)),"",INDEX(BP!$F$5:$F$9,MATCH(C934,BP!$E$5:$E$9,1)))</f>
        <v>ดี</v>
      </c>
      <c r="E934" s="12" t="n">
        <f aca="false">YEAR(A934)</f>
        <v>2023</v>
      </c>
      <c r="F934" s="12" t="n">
        <f aca="false">MONTH(A934)</f>
        <v>7</v>
      </c>
      <c r="G934" s="12" t="n">
        <v>16.6</v>
      </c>
      <c r="H934" s="12" t="n">
        <v>40.3</v>
      </c>
      <c r="I934" s="12" t="n">
        <v>246</v>
      </c>
      <c r="J934" s="12" t="n">
        <v>4.2</v>
      </c>
      <c r="K934" s="12" t="n">
        <v>0</v>
      </c>
      <c r="L934" s="12" t="s">
        <v>35</v>
      </c>
    </row>
    <row r="935" customFormat="false" ht="15" hidden="false" customHeight="false" outlineLevel="0" collapsed="false">
      <c r="A935" s="11" t="n">
        <v>45130</v>
      </c>
      <c r="B935" s="12" t="n">
        <v>16.1</v>
      </c>
      <c r="C935" s="12" t="n">
        <f aca="false">IF(NOT(ISNUMBER(B935)),"",ROUND((INDEX(BP!$D$5:$D$9,MATCH(B935,BP!$A$5:$A$9,1))-INDEX(BP!$C$5:$C$9,MATCH(B935,BP!$A$5:$A$9,1)))/(INDEX(BP!$B$5:$B$9,MATCH(B935,BP!$A$5:$A$9,1))-INDEX(BP!$A$5:$A$9,MATCH(B935,BP!$A$5:$A$9,1)))*(B935-INDEX(BP!$A$5:$A$9,MATCH(B935,BP!$A$5:$A$9,1)))+INDEX(BP!$C$5:$C$9,MATCH(B935,BP!$A$5:$A$9,1)),0))</f>
        <v>28</v>
      </c>
      <c r="D935" s="12" t="str">
        <f aca="false">IF(NOT(ISNUMBER(C935)),"",INDEX(BP!$F$5:$F$9,MATCH(C935,BP!$E$5:$E$9,1)))</f>
        <v>ดี</v>
      </c>
      <c r="E935" s="12" t="n">
        <f aca="false">YEAR(A935)</f>
        <v>2023</v>
      </c>
      <c r="F935" s="12" t="n">
        <f aca="false">MONTH(A935)</f>
        <v>7</v>
      </c>
      <c r="G935" s="12" t="n">
        <v>18.2</v>
      </c>
      <c r="H935" s="12" t="n">
        <v>39.6</v>
      </c>
      <c r="I935" s="12" t="n">
        <v>242</v>
      </c>
      <c r="J935" s="12" t="n">
        <v>0.5</v>
      </c>
      <c r="K935" s="12" t="n">
        <v>0</v>
      </c>
      <c r="L935" s="12" t="s">
        <v>35</v>
      </c>
    </row>
    <row r="936" customFormat="false" ht="15" hidden="false" customHeight="false" outlineLevel="0" collapsed="false">
      <c r="A936" s="11" t="n">
        <v>45131</v>
      </c>
      <c r="B936" s="12" t="n">
        <v>24</v>
      </c>
      <c r="C936" s="12" t="n">
        <f aca="false">IF(NOT(ISNUMBER(B936)),"",ROUND((INDEX(BP!$D$5:$D$9,MATCH(B936,BP!$A$5:$A$9,1))-INDEX(BP!$C$5:$C$9,MATCH(B936,BP!$A$5:$A$9,1)))/(INDEX(BP!$B$5:$B$9,MATCH(B936,BP!$A$5:$A$9,1))-INDEX(BP!$A$5:$A$9,MATCH(B936,BP!$A$5:$A$9,1)))*(B936-INDEX(BP!$A$5:$A$9,MATCH(B936,BP!$A$5:$A$9,1)))+INDEX(BP!$C$5:$C$9,MATCH(B936,BP!$A$5:$A$9,1)),0))</f>
        <v>48</v>
      </c>
      <c r="D936" s="12" t="str">
        <f aca="false">IF(NOT(ISNUMBER(C936)),"",INDEX(BP!$F$5:$F$9,MATCH(C936,BP!$E$5:$E$9,1)))</f>
        <v>ดี</v>
      </c>
      <c r="E936" s="12" t="n">
        <f aca="false">YEAR(A936)</f>
        <v>2023</v>
      </c>
      <c r="F936" s="12" t="n">
        <f aca="false">MONTH(A936)</f>
        <v>7</v>
      </c>
      <c r="G936" s="12" t="n">
        <v>17</v>
      </c>
      <c r="H936" s="12" t="n">
        <v>39.6</v>
      </c>
      <c r="I936" s="12" t="n">
        <v>250</v>
      </c>
      <c r="J936" s="12" t="n">
        <v>0</v>
      </c>
      <c r="K936" s="12" t="n">
        <v>0</v>
      </c>
      <c r="L936" s="12" t="s">
        <v>36</v>
      </c>
    </row>
    <row r="937" customFormat="false" ht="15" hidden="false" customHeight="false" outlineLevel="0" collapsed="false">
      <c r="A937" s="11" t="n">
        <v>45132</v>
      </c>
      <c r="B937" s="12" t="n">
        <v>20.9</v>
      </c>
      <c r="C937" s="12" t="n">
        <f aca="false">IF(NOT(ISNUMBER(B937)),"",ROUND((INDEX(BP!$D$5:$D$9,MATCH(B937,BP!$A$5:$A$9,1))-INDEX(BP!$C$5:$C$9,MATCH(B937,BP!$A$5:$A$9,1)))/(INDEX(BP!$B$5:$B$9,MATCH(B937,BP!$A$5:$A$9,1))-INDEX(BP!$A$5:$A$9,MATCH(B937,BP!$A$5:$A$9,1)))*(B937-INDEX(BP!$A$5:$A$9,MATCH(B937,BP!$A$5:$A$9,1)))+INDEX(BP!$C$5:$C$9,MATCH(B937,BP!$A$5:$A$9,1)),0))</f>
        <v>40</v>
      </c>
      <c r="D937" s="12" t="str">
        <f aca="false">IF(NOT(ISNUMBER(C937)),"",INDEX(BP!$F$5:$F$9,MATCH(C937,BP!$E$5:$E$9,1)))</f>
        <v>ดี</v>
      </c>
      <c r="E937" s="12" t="n">
        <f aca="false">YEAR(A937)</f>
        <v>2023</v>
      </c>
      <c r="F937" s="12" t="n">
        <f aca="false">MONTH(A937)</f>
        <v>7</v>
      </c>
      <c r="G937" s="12" t="n">
        <v>13</v>
      </c>
      <c r="H937" s="12" t="n">
        <v>37.8</v>
      </c>
      <c r="I937" s="12" t="n">
        <v>242</v>
      </c>
      <c r="J937" s="12" t="n">
        <v>3.9</v>
      </c>
      <c r="K937" s="12" t="n">
        <v>0</v>
      </c>
      <c r="L937" s="12" t="s">
        <v>36</v>
      </c>
    </row>
    <row r="938" customFormat="false" ht="15" hidden="false" customHeight="false" outlineLevel="0" collapsed="false">
      <c r="A938" s="11" t="n">
        <v>45133</v>
      </c>
      <c r="B938" s="12" t="n">
        <v>19.2</v>
      </c>
      <c r="C938" s="12" t="n">
        <f aca="false">IF(NOT(ISNUMBER(B938)),"",ROUND((INDEX(BP!$D$5:$D$9,MATCH(B938,BP!$A$5:$A$9,1))-INDEX(BP!$C$5:$C$9,MATCH(B938,BP!$A$5:$A$9,1)))/(INDEX(BP!$B$5:$B$9,MATCH(B938,BP!$A$5:$A$9,1))-INDEX(BP!$A$5:$A$9,MATCH(B938,BP!$A$5:$A$9,1)))*(B938-INDEX(BP!$A$5:$A$9,MATCH(B938,BP!$A$5:$A$9,1)))+INDEX(BP!$C$5:$C$9,MATCH(B938,BP!$A$5:$A$9,1)),0))</f>
        <v>36</v>
      </c>
      <c r="D938" s="12" t="str">
        <f aca="false">IF(NOT(ISNUMBER(C938)),"",INDEX(BP!$F$5:$F$9,MATCH(C938,BP!$E$5:$E$9,1)))</f>
        <v>ดี</v>
      </c>
      <c r="E938" s="12" t="n">
        <f aca="false">YEAR(A938)</f>
        <v>2023</v>
      </c>
      <c r="F938" s="12" t="n">
        <f aca="false">MONTH(A938)</f>
        <v>7</v>
      </c>
      <c r="G938" s="12" t="n">
        <v>13</v>
      </c>
      <c r="H938" s="12" t="n">
        <v>37.8</v>
      </c>
      <c r="I938" s="12" t="n">
        <v>260</v>
      </c>
      <c r="J938" s="12" t="n">
        <v>12.8</v>
      </c>
      <c r="K938" s="12" t="n">
        <v>12.8</v>
      </c>
      <c r="L938" s="12" t="s">
        <v>36</v>
      </c>
    </row>
    <row r="939" customFormat="false" ht="15" hidden="false" customHeight="false" outlineLevel="0" collapsed="false">
      <c r="A939" s="11" t="n">
        <v>45134</v>
      </c>
      <c r="B939" s="12" t="n">
        <v>17.1</v>
      </c>
      <c r="C939" s="12" t="n">
        <f aca="false">IF(NOT(ISNUMBER(B939)),"",ROUND((INDEX(BP!$D$5:$D$9,MATCH(B939,BP!$A$5:$A$9,1))-INDEX(BP!$C$5:$C$9,MATCH(B939,BP!$A$5:$A$9,1)))/(INDEX(BP!$B$5:$B$9,MATCH(B939,BP!$A$5:$A$9,1))-INDEX(BP!$A$5:$A$9,MATCH(B939,BP!$A$5:$A$9,1)))*(B939-INDEX(BP!$A$5:$A$9,MATCH(B939,BP!$A$5:$A$9,1)))+INDEX(BP!$C$5:$C$9,MATCH(B939,BP!$A$5:$A$9,1)),0))</f>
        <v>31</v>
      </c>
      <c r="D939" s="12" t="str">
        <f aca="false">IF(NOT(ISNUMBER(C939)),"",INDEX(BP!$F$5:$F$9,MATCH(C939,BP!$E$5:$E$9,1)))</f>
        <v>ดี</v>
      </c>
      <c r="E939" s="12" t="n">
        <f aca="false">YEAR(A939)</f>
        <v>2023</v>
      </c>
      <c r="F939" s="12" t="n">
        <f aca="false">MONTH(A939)</f>
        <v>7</v>
      </c>
      <c r="G939" s="12" t="n">
        <v>20.2</v>
      </c>
      <c r="H939" s="12" t="n">
        <v>44.6</v>
      </c>
      <c r="I939" s="12" t="n">
        <v>250</v>
      </c>
      <c r="J939" s="12" t="n">
        <v>0.3</v>
      </c>
      <c r="K939" s="12" t="n">
        <v>0</v>
      </c>
      <c r="L939" s="12" t="s">
        <v>36</v>
      </c>
    </row>
    <row r="940" customFormat="false" ht="15" hidden="false" customHeight="false" outlineLevel="0" collapsed="false">
      <c r="A940" s="11" t="n">
        <v>45135</v>
      </c>
      <c r="B940" s="12" t="n">
        <v>15.4</v>
      </c>
      <c r="C940" s="12" t="n">
        <f aca="false">IF(NOT(ISNUMBER(B940)),"",ROUND((INDEX(BP!$D$5:$D$9,MATCH(B940,BP!$A$5:$A$9,1))-INDEX(BP!$C$5:$C$9,MATCH(B940,BP!$A$5:$A$9,1)))/(INDEX(BP!$B$5:$B$9,MATCH(B940,BP!$A$5:$A$9,1))-INDEX(BP!$A$5:$A$9,MATCH(B940,BP!$A$5:$A$9,1)))*(B940-INDEX(BP!$A$5:$A$9,MATCH(B940,BP!$A$5:$A$9,1)))+INDEX(BP!$C$5:$C$9,MATCH(B940,BP!$A$5:$A$9,1)),0))</f>
        <v>27</v>
      </c>
      <c r="D940" s="12" t="str">
        <f aca="false">IF(NOT(ISNUMBER(C940)),"",INDEX(BP!$F$5:$F$9,MATCH(C940,BP!$E$5:$E$9,1)))</f>
        <v>ดี</v>
      </c>
      <c r="E940" s="12" t="n">
        <f aca="false">YEAR(A940)</f>
        <v>2023</v>
      </c>
      <c r="F940" s="12" t="n">
        <f aca="false">MONTH(A940)</f>
        <v>7</v>
      </c>
      <c r="G940" s="12" t="n">
        <v>21.9</v>
      </c>
      <c r="H940" s="12" t="n">
        <v>49.7</v>
      </c>
      <c r="I940" s="12" t="n">
        <v>250</v>
      </c>
      <c r="J940" s="12" t="n">
        <v>0</v>
      </c>
      <c r="K940" s="12" t="n">
        <v>0</v>
      </c>
      <c r="L940" s="12" t="s">
        <v>34</v>
      </c>
    </row>
    <row r="941" customFormat="false" ht="15" hidden="false" customHeight="false" outlineLevel="0" collapsed="false">
      <c r="A941" s="11" t="n">
        <v>45136</v>
      </c>
      <c r="B941" s="12" t="n">
        <v>15.2</v>
      </c>
      <c r="C941" s="12" t="n">
        <f aca="false">IF(NOT(ISNUMBER(B941)),"",ROUND((INDEX(BP!$D$5:$D$9,MATCH(B941,BP!$A$5:$A$9,1))-INDEX(BP!$C$5:$C$9,MATCH(B941,BP!$A$5:$A$9,1)))/(INDEX(BP!$B$5:$B$9,MATCH(B941,BP!$A$5:$A$9,1))-INDEX(BP!$A$5:$A$9,MATCH(B941,BP!$A$5:$A$9,1)))*(B941-INDEX(BP!$A$5:$A$9,MATCH(B941,BP!$A$5:$A$9,1)))+INDEX(BP!$C$5:$C$9,MATCH(B941,BP!$A$5:$A$9,1)),0))</f>
        <v>26</v>
      </c>
      <c r="D941" s="12" t="str">
        <f aca="false">IF(NOT(ISNUMBER(C941)),"",INDEX(BP!$F$5:$F$9,MATCH(C941,BP!$E$5:$E$9,1)))</f>
        <v>ดี</v>
      </c>
      <c r="E941" s="12" t="n">
        <f aca="false">YEAR(A941)</f>
        <v>2023</v>
      </c>
      <c r="F941" s="12" t="n">
        <f aca="false">MONTH(A941)</f>
        <v>7</v>
      </c>
      <c r="G941" s="12" t="n">
        <v>26.5</v>
      </c>
      <c r="H941" s="12" t="n">
        <v>56.5</v>
      </c>
      <c r="I941" s="12" t="n">
        <v>246</v>
      </c>
      <c r="J941" s="12" t="n">
        <v>0</v>
      </c>
      <c r="K941" s="12" t="n">
        <v>0</v>
      </c>
      <c r="L941" s="12" t="s">
        <v>35</v>
      </c>
    </row>
    <row r="942" customFormat="false" ht="15" hidden="false" customHeight="false" outlineLevel="0" collapsed="false">
      <c r="A942" s="11" t="n">
        <v>45137</v>
      </c>
      <c r="B942" s="12" t="n">
        <v>17.7</v>
      </c>
      <c r="C942" s="12" t="n">
        <f aca="false">IF(NOT(ISNUMBER(B942)),"",ROUND((INDEX(BP!$D$5:$D$9,MATCH(B942,BP!$A$5:$A$9,1))-INDEX(BP!$C$5:$C$9,MATCH(B942,BP!$A$5:$A$9,1)))/(INDEX(BP!$B$5:$B$9,MATCH(B942,BP!$A$5:$A$9,1))-INDEX(BP!$A$5:$A$9,MATCH(B942,BP!$A$5:$A$9,1)))*(B942-INDEX(BP!$A$5:$A$9,MATCH(B942,BP!$A$5:$A$9,1)))+INDEX(BP!$C$5:$C$9,MATCH(B942,BP!$A$5:$A$9,1)),0))</f>
        <v>32</v>
      </c>
      <c r="D942" s="12" t="str">
        <f aca="false">IF(NOT(ISNUMBER(C942)),"",INDEX(BP!$F$5:$F$9,MATCH(C942,BP!$E$5:$E$9,1)))</f>
        <v>ดี</v>
      </c>
      <c r="E942" s="12" t="n">
        <f aca="false">YEAR(A942)</f>
        <v>2023</v>
      </c>
      <c r="F942" s="12" t="n">
        <f aca="false">MONTH(A942)</f>
        <v>7</v>
      </c>
      <c r="G942" s="12" t="n">
        <v>19</v>
      </c>
      <c r="H942" s="12" t="n">
        <v>41.8</v>
      </c>
      <c r="I942" s="12" t="n">
        <v>228</v>
      </c>
      <c r="J942" s="12" t="n">
        <v>1</v>
      </c>
      <c r="K942" s="12" t="n">
        <v>15.2</v>
      </c>
      <c r="L942" s="12" t="s">
        <v>35</v>
      </c>
    </row>
    <row r="943" customFormat="false" ht="15" hidden="false" customHeight="false" outlineLevel="0" collapsed="false">
      <c r="A943" s="11" t="n">
        <v>45138</v>
      </c>
      <c r="B943" s="12" t="n">
        <v>15.9</v>
      </c>
      <c r="C943" s="12" t="n">
        <f aca="false">IF(NOT(ISNUMBER(B943)),"",ROUND((INDEX(BP!$D$5:$D$9,MATCH(B943,BP!$A$5:$A$9,1))-INDEX(BP!$C$5:$C$9,MATCH(B943,BP!$A$5:$A$9,1)))/(INDEX(BP!$B$5:$B$9,MATCH(B943,BP!$A$5:$A$9,1))-INDEX(BP!$A$5:$A$9,MATCH(B943,BP!$A$5:$A$9,1)))*(B943-INDEX(BP!$A$5:$A$9,MATCH(B943,BP!$A$5:$A$9,1)))+INDEX(BP!$C$5:$C$9,MATCH(B943,BP!$A$5:$A$9,1)),0))</f>
        <v>28</v>
      </c>
      <c r="D943" s="12" t="str">
        <f aca="false">IF(NOT(ISNUMBER(C943)),"",INDEX(BP!$F$5:$F$9,MATCH(C943,BP!$E$5:$E$9,1)))</f>
        <v>ดี</v>
      </c>
      <c r="E943" s="12" t="n">
        <f aca="false">YEAR(A943)</f>
        <v>2023</v>
      </c>
      <c r="F943" s="12" t="n">
        <f aca="false">MONTH(A943)</f>
        <v>7</v>
      </c>
      <c r="G943" s="12" t="n">
        <v>13.3</v>
      </c>
      <c r="H943" s="12" t="n">
        <v>36.4</v>
      </c>
      <c r="I943" s="12" t="n">
        <v>232</v>
      </c>
      <c r="J943" s="12" t="n">
        <v>20.8</v>
      </c>
      <c r="K943" s="12" t="n">
        <v>13.4</v>
      </c>
      <c r="L943" s="12" t="s">
        <v>34</v>
      </c>
    </row>
    <row r="944" customFormat="false" ht="15" hidden="false" customHeight="false" outlineLevel="0" collapsed="false">
      <c r="A944" s="11" t="n">
        <v>45139</v>
      </c>
      <c r="B944" s="12" t="n">
        <v>14.3</v>
      </c>
      <c r="C944" s="12" t="n">
        <f aca="false">IF(NOT(ISNUMBER(B944)),"",ROUND((INDEX(BP!$D$5:$D$9,MATCH(B944,BP!$A$5:$A$9,1))-INDEX(BP!$C$5:$C$9,MATCH(B944,BP!$A$5:$A$9,1)))/(INDEX(BP!$B$5:$B$9,MATCH(B944,BP!$A$5:$A$9,1))-INDEX(BP!$A$5:$A$9,MATCH(B944,BP!$A$5:$A$9,1)))*(B944-INDEX(BP!$A$5:$A$9,MATCH(B944,BP!$A$5:$A$9,1)))+INDEX(BP!$C$5:$C$9,MATCH(B944,BP!$A$5:$A$9,1)),0))</f>
        <v>24</v>
      </c>
      <c r="D944" s="12" t="str">
        <f aca="false">IF(NOT(ISNUMBER(C944)),"",INDEX(BP!$F$5:$F$9,MATCH(C944,BP!$E$5:$E$9,1)))</f>
        <v>ดีมาก</v>
      </c>
      <c r="E944" s="12" t="n">
        <f aca="false">YEAR(A944)</f>
        <v>2023</v>
      </c>
      <c r="F944" s="12" t="n">
        <f aca="false">MONTH(A944)</f>
        <v>8</v>
      </c>
      <c r="G944" s="12" t="n">
        <v>21.2</v>
      </c>
      <c r="H944" s="12" t="n">
        <v>44.6</v>
      </c>
      <c r="I944" s="12" t="n">
        <v>230</v>
      </c>
      <c r="J944" s="12" t="n">
        <v>1.3</v>
      </c>
      <c r="K944" s="12" t="n">
        <v>16</v>
      </c>
      <c r="L944" s="12" t="s">
        <v>34</v>
      </c>
    </row>
    <row r="945" customFormat="false" ht="15" hidden="false" customHeight="false" outlineLevel="0" collapsed="false">
      <c r="A945" s="11" t="n">
        <v>45140</v>
      </c>
      <c r="B945" s="12" t="n">
        <v>15.9</v>
      </c>
      <c r="C945" s="12" t="n">
        <f aca="false">IF(NOT(ISNUMBER(B945)),"",ROUND((INDEX(BP!$D$5:$D$9,MATCH(B945,BP!$A$5:$A$9,1))-INDEX(BP!$C$5:$C$9,MATCH(B945,BP!$A$5:$A$9,1)))/(INDEX(BP!$B$5:$B$9,MATCH(B945,BP!$A$5:$A$9,1))-INDEX(BP!$A$5:$A$9,MATCH(B945,BP!$A$5:$A$9,1)))*(B945-INDEX(BP!$A$5:$A$9,MATCH(B945,BP!$A$5:$A$9,1)))+INDEX(BP!$C$5:$C$9,MATCH(B945,BP!$A$5:$A$9,1)),0))</f>
        <v>28</v>
      </c>
      <c r="D945" s="12" t="str">
        <f aca="false">IF(NOT(ISNUMBER(C945)),"",INDEX(BP!$F$5:$F$9,MATCH(C945,BP!$E$5:$E$9,1)))</f>
        <v>ดี</v>
      </c>
      <c r="E945" s="12" t="n">
        <f aca="false">YEAR(A945)</f>
        <v>2023</v>
      </c>
      <c r="F945" s="12" t="n">
        <f aca="false">MONTH(A945)</f>
        <v>8</v>
      </c>
      <c r="G945" s="12" t="n">
        <v>15.6</v>
      </c>
      <c r="H945" s="12" t="n">
        <v>39.2</v>
      </c>
      <c r="I945" s="12" t="n">
        <v>229</v>
      </c>
      <c r="J945" s="12" t="n">
        <v>0.1</v>
      </c>
      <c r="K945" s="12" t="n">
        <v>0.4</v>
      </c>
      <c r="L945" s="12" t="s">
        <v>34</v>
      </c>
    </row>
    <row r="946" customFormat="false" ht="15" hidden="false" customHeight="false" outlineLevel="0" collapsed="false">
      <c r="A946" s="11" t="n">
        <v>45141</v>
      </c>
      <c r="B946" s="12" t="n">
        <v>22.2</v>
      </c>
      <c r="C946" s="12" t="n">
        <f aca="false">IF(NOT(ISNUMBER(B946)),"",ROUND((INDEX(BP!$D$5:$D$9,MATCH(B946,BP!$A$5:$A$9,1))-INDEX(BP!$C$5:$C$9,MATCH(B946,BP!$A$5:$A$9,1)))/(INDEX(BP!$B$5:$B$9,MATCH(B946,BP!$A$5:$A$9,1))-INDEX(BP!$A$5:$A$9,MATCH(B946,BP!$A$5:$A$9,1)))*(B946-INDEX(BP!$A$5:$A$9,MATCH(B946,BP!$A$5:$A$9,1)))+INDEX(BP!$C$5:$C$9,MATCH(B946,BP!$A$5:$A$9,1)),0))</f>
        <v>43</v>
      </c>
      <c r="D946" s="12" t="str">
        <f aca="false">IF(NOT(ISNUMBER(C946)),"",INDEX(BP!$F$5:$F$9,MATCH(C946,BP!$E$5:$E$9,1)))</f>
        <v>ดี</v>
      </c>
      <c r="E946" s="12" t="n">
        <f aca="false">YEAR(A946)</f>
        <v>2023</v>
      </c>
      <c r="F946" s="12" t="n">
        <f aca="false">MONTH(A946)</f>
        <v>8</v>
      </c>
      <c r="G946" s="12" t="n">
        <v>20.2</v>
      </c>
      <c r="H946" s="12" t="n">
        <v>43.9</v>
      </c>
      <c r="I946" s="12" t="n">
        <v>232</v>
      </c>
      <c r="J946" s="12" t="n">
        <v>0.7</v>
      </c>
      <c r="K946" s="12" t="n">
        <v>0</v>
      </c>
      <c r="L946" s="12" t="s">
        <v>36</v>
      </c>
    </row>
    <row r="947" customFormat="false" ht="15" hidden="false" customHeight="false" outlineLevel="0" collapsed="false">
      <c r="A947" s="11" t="n">
        <v>45142</v>
      </c>
      <c r="B947" s="12" t="n">
        <v>20.1</v>
      </c>
      <c r="C947" s="12" t="n">
        <f aca="false">IF(NOT(ISNUMBER(B947)),"",ROUND((INDEX(BP!$D$5:$D$9,MATCH(B947,BP!$A$5:$A$9,1))-INDEX(BP!$C$5:$C$9,MATCH(B947,BP!$A$5:$A$9,1)))/(INDEX(BP!$B$5:$B$9,MATCH(B947,BP!$A$5:$A$9,1))-INDEX(BP!$A$5:$A$9,MATCH(B947,BP!$A$5:$A$9,1)))*(B947-INDEX(BP!$A$5:$A$9,MATCH(B947,BP!$A$5:$A$9,1)))+INDEX(BP!$C$5:$C$9,MATCH(B947,BP!$A$5:$A$9,1)),0))</f>
        <v>38</v>
      </c>
      <c r="D947" s="12" t="str">
        <f aca="false">IF(NOT(ISNUMBER(C947)),"",INDEX(BP!$F$5:$F$9,MATCH(C947,BP!$E$5:$E$9,1)))</f>
        <v>ดี</v>
      </c>
      <c r="E947" s="12" t="n">
        <f aca="false">YEAR(A947)</f>
        <v>2023</v>
      </c>
      <c r="F947" s="12" t="n">
        <f aca="false">MONTH(A947)</f>
        <v>8</v>
      </c>
      <c r="G947" s="12" t="n">
        <v>15</v>
      </c>
      <c r="H947" s="12" t="n">
        <v>33.1</v>
      </c>
      <c r="I947" s="12" t="n">
        <v>220</v>
      </c>
      <c r="J947" s="12" t="n">
        <v>1.5</v>
      </c>
      <c r="K947" s="12" t="n">
        <v>0</v>
      </c>
      <c r="L947" s="12" t="s">
        <v>36</v>
      </c>
    </row>
    <row r="948" customFormat="false" ht="15" hidden="false" customHeight="false" outlineLevel="0" collapsed="false">
      <c r="A948" s="11" t="n">
        <v>45143</v>
      </c>
      <c r="B948" s="12" t="n">
        <v>23.5</v>
      </c>
      <c r="C948" s="12" t="n">
        <f aca="false">IF(NOT(ISNUMBER(B948)),"",ROUND((INDEX(BP!$D$5:$D$9,MATCH(B948,BP!$A$5:$A$9,1))-INDEX(BP!$C$5:$C$9,MATCH(B948,BP!$A$5:$A$9,1)))/(INDEX(BP!$B$5:$B$9,MATCH(B948,BP!$A$5:$A$9,1))-INDEX(BP!$A$5:$A$9,MATCH(B948,BP!$A$5:$A$9,1)))*(B948-INDEX(BP!$A$5:$A$9,MATCH(B948,BP!$A$5:$A$9,1)))+INDEX(BP!$C$5:$C$9,MATCH(B948,BP!$A$5:$A$9,1)),0))</f>
        <v>46</v>
      </c>
      <c r="D948" s="12" t="str">
        <f aca="false">IF(NOT(ISNUMBER(C948)),"",INDEX(BP!$F$5:$F$9,MATCH(C948,BP!$E$5:$E$9,1)))</f>
        <v>ดี</v>
      </c>
      <c r="E948" s="12" t="n">
        <f aca="false">YEAR(A948)</f>
        <v>2023</v>
      </c>
      <c r="F948" s="12" t="n">
        <f aca="false">MONTH(A948)</f>
        <v>8</v>
      </c>
      <c r="G948" s="12" t="n">
        <v>12.7</v>
      </c>
      <c r="H948" s="12" t="n">
        <v>28.4</v>
      </c>
      <c r="I948" s="12" t="n">
        <v>228</v>
      </c>
      <c r="J948" s="12" t="n">
        <v>0.4</v>
      </c>
      <c r="K948" s="12" t="n">
        <v>0.2</v>
      </c>
      <c r="L948" s="12" t="s">
        <v>35</v>
      </c>
    </row>
    <row r="949" customFormat="false" ht="15" hidden="false" customHeight="false" outlineLevel="0" collapsed="false">
      <c r="A949" s="11" t="n">
        <v>45144</v>
      </c>
      <c r="B949" s="12" t="n">
        <v>17.6</v>
      </c>
      <c r="C949" s="12" t="n">
        <f aca="false">IF(NOT(ISNUMBER(B949)),"",ROUND((INDEX(BP!$D$5:$D$9,MATCH(B949,BP!$A$5:$A$9,1))-INDEX(BP!$C$5:$C$9,MATCH(B949,BP!$A$5:$A$9,1)))/(INDEX(BP!$B$5:$B$9,MATCH(B949,BP!$A$5:$A$9,1))-INDEX(BP!$A$5:$A$9,MATCH(B949,BP!$A$5:$A$9,1)))*(B949-INDEX(BP!$A$5:$A$9,MATCH(B949,BP!$A$5:$A$9,1)))+INDEX(BP!$C$5:$C$9,MATCH(B949,BP!$A$5:$A$9,1)),0))</f>
        <v>32</v>
      </c>
      <c r="D949" s="12" t="str">
        <f aca="false">IF(NOT(ISNUMBER(C949)),"",INDEX(BP!$F$5:$F$9,MATCH(C949,BP!$E$5:$E$9,1)))</f>
        <v>ดี</v>
      </c>
      <c r="E949" s="12" t="n">
        <f aca="false">YEAR(A949)</f>
        <v>2023</v>
      </c>
      <c r="F949" s="12" t="n">
        <f aca="false">MONTH(A949)</f>
        <v>8</v>
      </c>
      <c r="G949" s="12" t="n">
        <v>16.2</v>
      </c>
      <c r="H949" s="12" t="n">
        <v>36.7</v>
      </c>
      <c r="I949" s="12" t="n">
        <v>236</v>
      </c>
      <c r="J949" s="12" t="n">
        <v>5</v>
      </c>
      <c r="K949" s="12" t="n">
        <v>0</v>
      </c>
      <c r="L949" s="12" t="s">
        <v>35</v>
      </c>
    </row>
    <row r="950" customFormat="false" ht="15" hidden="false" customHeight="false" outlineLevel="0" collapsed="false">
      <c r="A950" s="11" t="n">
        <v>45145</v>
      </c>
      <c r="B950" s="12" t="n">
        <v>16</v>
      </c>
      <c r="C950" s="12" t="n">
        <f aca="false">IF(NOT(ISNUMBER(B950)),"",ROUND((INDEX(BP!$D$5:$D$9,MATCH(B950,BP!$A$5:$A$9,1))-INDEX(BP!$C$5:$C$9,MATCH(B950,BP!$A$5:$A$9,1)))/(INDEX(BP!$B$5:$B$9,MATCH(B950,BP!$A$5:$A$9,1))-INDEX(BP!$A$5:$A$9,MATCH(B950,BP!$A$5:$A$9,1)))*(B950-INDEX(BP!$A$5:$A$9,MATCH(B950,BP!$A$5:$A$9,1)))+INDEX(BP!$C$5:$C$9,MATCH(B950,BP!$A$5:$A$9,1)),0))</f>
        <v>28</v>
      </c>
      <c r="D950" s="12" t="str">
        <f aca="false">IF(NOT(ISNUMBER(C950)),"",INDEX(BP!$F$5:$F$9,MATCH(C950,BP!$E$5:$E$9,1)))</f>
        <v>ดี</v>
      </c>
      <c r="E950" s="12" t="n">
        <f aca="false">YEAR(A950)</f>
        <v>2023</v>
      </c>
      <c r="F950" s="12" t="n">
        <f aca="false">MONTH(A950)</f>
        <v>8</v>
      </c>
      <c r="G950" s="12" t="n">
        <v>13.9</v>
      </c>
      <c r="H950" s="12" t="n">
        <v>35.6</v>
      </c>
      <c r="I950" s="12" t="n">
        <v>236</v>
      </c>
      <c r="J950" s="12" t="n">
        <v>8.1</v>
      </c>
      <c r="K950" s="12" t="n">
        <v>0</v>
      </c>
      <c r="L950" s="12" t="s">
        <v>36</v>
      </c>
    </row>
    <row r="951" customFormat="false" ht="15" hidden="false" customHeight="false" outlineLevel="0" collapsed="false">
      <c r="A951" s="11" t="n">
        <v>45146</v>
      </c>
      <c r="B951" s="12" t="n">
        <v>14.4</v>
      </c>
      <c r="C951" s="12" t="n">
        <f aca="false">IF(NOT(ISNUMBER(B951)),"",ROUND((INDEX(BP!$D$5:$D$9,MATCH(B951,BP!$A$5:$A$9,1))-INDEX(BP!$C$5:$C$9,MATCH(B951,BP!$A$5:$A$9,1)))/(INDEX(BP!$B$5:$B$9,MATCH(B951,BP!$A$5:$A$9,1))-INDEX(BP!$A$5:$A$9,MATCH(B951,BP!$A$5:$A$9,1)))*(B951-INDEX(BP!$A$5:$A$9,MATCH(B951,BP!$A$5:$A$9,1)))+INDEX(BP!$C$5:$C$9,MATCH(B951,BP!$A$5:$A$9,1)),0))</f>
        <v>24</v>
      </c>
      <c r="D951" s="12" t="str">
        <f aca="false">IF(NOT(ISNUMBER(C951)),"",INDEX(BP!$F$5:$F$9,MATCH(C951,BP!$E$5:$E$9,1)))</f>
        <v>ดีมาก</v>
      </c>
      <c r="E951" s="12" t="n">
        <f aca="false">YEAR(A951)</f>
        <v>2023</v>
      </c>
      <c r="F951" s="12" t="n">
        <f aca="false">MONTH(A951)</f>
        <v>8</v>
      </c>
      <c r="G951" s="12" t="n">
        <v>18</v>
      </c>
      <c r="H951" s="12" t="n">
        <v>44.3</v>
      </c>
      <c r="I951" s="12" t="n">
        <v>231</v>
      </c>
      <c r="J951" s="12" t="n">
        <v>5.8</v>
      </c>
      <c r="K951" s="12" t="n">
        <v>0</v>
      </c>
      <c r="L951" s="12" t="s">
        <v>36</v>
      </c>
    </row>
    <row r="952" customFormat="false" ht="15" hidden="false" customHeight="false" outlineLevel="0" collapsed="false">
      <c r="A952" s="11" t="n">
        <v>45147</v>
      </c>
      <c r="B952" s="12" t="n">
        <v>17.1</v>
      </c>
      <c r="C952" s="12" t="n">
        <f aca="false">IF(NOT(ISNUMBER(B952)),"",ROUND((INDEX(BP!$D$5:$D$9,MATCH(B952,BP!$A$5:$A$9,1))-INDEX(BP!$C$5:$C$9,MATCH(B952,BP!$A$5:$A$9,1)))/(INDEX(BP!$B$5:$B$9,MATCH(B952,BP!$A$5:$A$9,1))-INDEX(BP!$A$5:$A$9,MATCH(B952,BP!$A$5:$A$9,1)))*(B952-INDEX(BP!$A$5:$A$9,MATCH(B952,BP!$A$5:$A$9,1)))+INDEX(BP!$C$5:$C$9,MATCH(B952,BP!$A$5:$A$9,1)),0))</f>
        <v>31</v>
      </c>
      <c r="D952" s="12" t="str">
        <f aca="false">IF(NOT(ISNUMBER(C952)),"",INDEX(BP!$F$5:$F$9,MATCH(C952,BP!$E$5:$E$9,1)))</f>
        <v>ดี</v>
      </c>
      <c r="E952" s="12" t="n">
        <f aca="false">YEAR(A952)</f>
        <v>2023</v>
      </c>
      <c r="F952" s="12" t="n">
        <f aca="false">MONTH(A952)</f>
        <v>8</v>
      </c>
      <c r="G952" s="12" t="n">
        <v>12.3</v>
      </c>
      <c r="H952" s="12" t="n">
        <v>31</v>
      </c>
      <c r="I952" s="12" t="n">
        <v>239</v>
      </c>
      <c r="J952" s="12" t="n">
        <v>4.5</v>
      </c>
      <c r="K952" s="12" t="n">
        <v>9.6</v>
      </c>
      <c r="L952" s="12" t="s">
        <v>36</v>
      </c>
    </row>
    <row r="953" customFormat="false" ht="15" hidden="false" customHeight="false" outlineLevel="0" collapsed="false">
      <c r="A953" s="11" t="n">
        <v>45148</v>
      </c>
      <c r="B953" s="12" t="n">
        <v>13.2</v>
      </c>
      <c r="C953" s="12" t="n">
        <f aca="false">IF(NOT(ISNUMBER(B953)),"",ROUND((INDEX(BP!$D$5:$D$9,MATCH(B953,BP!$A$5:$A$9,1))-INDEX(BP!$C$5:$C$9,MATCH(B953,BP!$A$5:$A$9,1)))/(INDEX(BP!$B$5:$B$9,MATCH(B953,BP!$A$5:$A$9,1))-INDEX(BP!$A$5:$A$9,MATCH(B953,BP!$A$5:$A$9,1)))*(B953-INDEX(BP!$A$5:$A$9,MATCH(B953,BP!$A$5:$A$9,1)))+INDEX(BP!$C$5:$C$9,MATCH(B953,BP!$A$5:$A$9,1)),0))</f>
        <v>22</v>
      </c>
      <c r="D953" s="12" t="str">
        <f aca="false">IF(NOT(ISNUMBER(C953)),"",INDEX(BP!$F$5:$F$9,MATCH(C953,BP!$E$5:$E$9,1)))</f>
        <v>ดีมาก</v>
      </c>
      <c r="E953" s="12" t="n">
        <f aca="false">YEAR(A953)</f>
        <v>2023</v>
      </c>
      <c r="F953" s="12" t="n">
        <f aca="false">MONTH(A953)</f>
        <v>8</v>
      </c>
      <c r="G953" s="12" t="n">
        <v>22</v>
      </c>
      <c r="H953" s="12" t="n">
        <v>45.7</v>
      </c>
      <c r="I953" s="12" t="n">
        <v>236</v>
      </c>
      <c r="J953" s="12" t="n">
        <v>3.9</v>
      </c>
      <c r="K953" s="12" t="n">
        <v>0</v>
      </c>
      <c r="L953" s="12" t="s">
        <v>36</v>
      </c>
    </row>
    <row r="954" customFormat="false" ht="15" hidden="false" customHeight="false" outlineLevel="0" collapsed="false">
      <c r="A954" s="11" t="n">
        <v>45149</v>
      </c>
      <c r="B954" s="12" t="n">
        <v>12.1</v>
      </c>
      <c r="C954" s="12" t="n">
        <f aca="false">IF(NOT(ISNUMBER(B954)),"",ROUND((INDEX(BP!$D$5:$D$9,MATCH(B954,BP!$A$5:$A$9,1))-INDEX(BP!$C$5:$C$9,MATCH(B954,BP!$A$5:$A$9,1)))/(INDEX(BP!$B$5:$B$9,MATCH(B954,BP!$A$5:$A$9,1))-INDEX(BP!$A$5:$A$9,MATCH(B954,BP!$A$5:$A$9,1)))*(B954-INDEX(BP!$A$5:$A$9,MATCH(B954,BP!$A$5:$A$9,1)))+INDEX(BP!$C$5:$C$9,MATCH(B954,BP!$A$5:$A$9,1)),0))</f>
        <v>20</v>
      </c>
      <c r="D954" s="12" t="str">
        <f aca="false">IF(NOT(ISNUMBER(C954)),"",INDEX(BP!$F$5:$F$9,MATCH(C954,BP!$E$5:$E$9,1)))</f>
        <v>ดีมาก</v>
      </c>
      <c r="E954" s="12" t="n">
        <f aca="false">YEAR(A954)</f>
        <v>2023</v>
      </c>
      <c r="F954" s="12" t="n">
        <f aca="false">MONTH(A954)</f>
        <v>8</v>
      </c>
      <c r="G954" s="12" t="n">
        <v>20.9</v>
      </c>
      <c r="H954" s="12" t="n">
        <v>43.2</v>
      </c>
      <c r="I954" s="12" t="n">
        <v>238</v>
      </c>
      <c r="J954" s="12" t="n">
        <v>2.4</v>
      </c>
      <c r="K954" s="12" t="n">
        <v>0</v>
      </c>
      <c r="L954" s="12" t="s">
        <v>36</v>
      </c>
    </row>
    <row r="955" customFormat="false" ht="15" hidden="false" customHeight="false" outlineLevel="0" collapsed="false">
      <c r="A955" s="11" t="n">
        <v>45150</v>
      </c>
      <c r="B955" s="12" t="n">
        <v>12.4</v>
      </c>
      <c r="C955" s="12" t="n">
        <f aca="false">IF(NOT(ISNUMBER(B955)),"",ROUND((INDEX(BP!$D$5:$D$9,MATCH(B955,BP!$A$5:$A$9,1))-INDEX(BP!$C$5:$C$9,MATCH(B955,BP!$A$5:$A$9,1)))/(INDEX(BP!$B$5:$B$9,MATCH(B955,BP!$A$5:$A$9,1))-INDEX(BP!$A$5:$A$9,MATCH(B955,BP!$A$5:$A$9,1)))*(B955-INDEX(BP!$A$5:$A$9,MATCH(B955,BP!$A$5:$A$9,1)))+INDEX(BP!$C$5:$C$9,MATCH(B955,BP!$A$5:$A$9,1)),0))</f>
        <v>21</v>
      </c>
      <c r="D955" s="12" t="str">
        <f aca="false">IF(NOT(ISNUMBER(C955)),"",INDEX(BP!$F$5:$F$9,MATCH(C955,BP!$E$5:$E$9,1)))</f>
        <v>ดีมาก</v>
      </c>
      <c r="E955" s="12" t="n">
        <f aca="false">YEAR(A955)</f>
        <v>2023</v>
      </c>
      <c r="F955" s="12" t="n">
        <f aca="false">MONTH(A955)</f>
        <v>8</v>
      </c>
      <c r="G955" s="12" t="n">
        <v>21.3</v>
      </c>
      <c r="H955" s="12" t="n">
        <v>43.6</v>
      </c>
      <c r="I955" s="12" t="n">
        <v>248</v>
      </c>
      <c r="J955" s="12" t="n">
        <v>4.2</v>
      </c>
      <c r="K955" s="12" t="n">
        <v>0</v>
      </c>
      <c r="L955" s="12" t="s">
        <v>34</v>
      </c>
    </row>
    <row r="956" customFormat="false" ht="15" hidden="false" customHeight="false" outlineLevel="0" collapsed="false">
      <c r="A956" s="11" t="n">
        <v>45151</v>
      </c>
      <c r="B956" s="12" t="n">
        <v>10.4</v>
      </c>
      <c r="C956" s="12" t="n">
        <f aca="false">IF(NOT(ISNUMBER(B956)),"",ROUND((INDEX(BP!$D$5:$D$9,MATCH(B956,BP!$A$5:$A$9,1))-INDEX(BP!$C$5:$C$9,MATCH(B956,BP!$A$5:$A$9,1)))/(INDEX(BP!$B$5:$B$9,MATCH(B956,BP!$A$5:$A$9,1))-INDEX(BP!$A$5:$A$9,MATCH(B956,BP!$A$5:$A$9,1)))*(B956-INDEX(BP!$A$5:$A$9,MATCH(B956,BP!$A$5:$A$9,1)))+INDEX(BP!$C$5:$C$9,MATCH(B956,BP!$A$5:$A$9,1)),0))</f>
        <v>17</v>
      </c>
      <c r="D956" s="12" t="str">
        <f aca="false">IF(NOT(ISNUMBER(C956)),"",INDEX(BP!$F$5:$F$9,MATCH(C956,BP!$E$5:$E$9,1)))</f>
        <v>ดีมาก</v>
      </c>
      <c r="E956" s="12" t="n">
        <f aca="false">YEAR(A956)</f>
        <v>2023</v>
      </c>
      <c r="F956" s="12" t="n">
        <f aca="false">MONTH(A956)</f>
        <v>8</v>
      </c>
      <c r="G956" s="12" t="n">
        <v>21.5</v>
      </c>
      <c r="H956" s="12" t="n">
        <v>44.6</v>
      </c>
      <c r="I956" s="12" t="n">
        <v>245</v>
      </c>
      <c r="J956" s="12" t="n">
        <v>2.3</v>
      </c>
      <c r="K956" s="12" t="n">
        <v>22.8</v>
      </c>
      <c r="L956" s="12" t="s">
        <v>35</v>
      </c>
    </row>
    <row r="957" customFormat="false" ht="15" hidden="false" customHeight="false" outlineLevel="0" collapsed="false">
      <c r="A957" s="11" t="n">
        <v>45152</v>
      </c>
      <c r="B957" s="12" t="n">
        <v>9.7</v>
      </c>
      <c r="C957" s="12" t="n">
        <f aca="false">IF(NOT(ISNUMBER(B957)),"",ROUND((INDEX(BP!$D$5:$D$9,MATCH(B957,BP!$A$5:$A$9,1))-INDEX(BP!$C$5:$C$9,MATCH(B957,BP!$A$5:$A$9,1)))/(INDEX(BP!$B$5:$B$9,MATCH(B957,BP!$A$5:$A$9,1))-INDEX(BP!$A$5:$A$9,MATCH(B957,BP!$A$5:$A$9,1)))*(B957-INDEX(BP!$A$5:$A$9,MATCH(B957,BP!$A$5:$A$9,1)))+INDEX(BP!$C$5:$C$9,MATCH(B957,BP!$A$5:$A$9,1)),0))</f>
        <v>16</v>
      </c>
      <c r="D957" s="12" t="str">
        <f aca="false">IF(NOT(ISNUMBER(C957)),"",INDEX(BP!$F$5:$F$9,MATCH(C957,BP!$E$5:$E$9,1)))</f>
        <v>ดีมาก</v>
      </c>
      <c r="E957" s="12" t="n">
        <f aca="false">YEAR(A957)</f>
        <v>2023</v>
      </c>
      <c r="F957" s="12" t="n">
        <f aca="false">MONTH(A957)</f>
        <v>8</v>
      </c>
      <c r="G957" s="12" t="n">
        <v>26.2</v>
      </c>
      <c r="H957" s="12" t="n">
        <v>53.6</v>
      </c>
      <c r="I957" s="12" t="n">
        <v>243</v>
      </c>
      <c r="J957" s="12" t="n">
        <v>3.3</v>
      </c>
      <c r="K957" s="12" t="n">
        <v>5.4</v>
      </c>
      <c r="L957" s="12" t="s">
        <v>34</v>
      </c>
    </row>
    <row r="958" customFormat="false" ht="15" hidden="false" customHeight="false" outlineLevel="0" collapsed="false">
      <c r="A958" s="11" t="n">
        <v>45153</v>
      </c>
      <c r="B958" s="12" t="n">
        <v>10.7</v>
      </c>
      <c r="C958" s="12" t="n">
        <f aca="false">IF(NOT(ISNUMBER(B958)),"",ROUND((INDEX(BP!$D$5:$D$9,MATCH(B958,BP!$A$5:$A$9,1))-INDEX(BP!$C$5:$C$9,MATCH(B958,BP!$A$5:$A$9,1)))/(INDEX(BP!$B$5:$B$9,MATCH(B958,BP!$A$5:$A$9,1))-INDEX(BP!$A$5:$A$9,MATCH(B958,BP!$A$5:$A$9,1)))*(B958-INDEX(BP!$A$5:$A$9,MATCH(B958,BP!$A$5:$A$9,1)))+INDEX(BP!$C$5:$C$9,MATCH(B958,BP!$A$5:$A$9,1)),0))</f>
        <v>18</v>
      </c>
      <c r="D958" s="12" t="str">
        <f aca="false">IF(NOT(ISNUMBER(C958)),"",INDEX(BP!$F$5:$F$9,MATCH(C958,BP!$E$5:$E$9,1)))</f>
        <v>ดีมาก</v>
      </c>
      <c r="E958" s="12" t="n">
        <f aca="false">YEAR(A958)</f>
        <v>2023</v>
      </c>
      <c r="F958" s="12" t="n">
        <f aca="false">MONTH(A958)</f>
        <v>8</v>
      </c>
      <c r="G958" s="12" t="n">
        <v>18.9</v>
      </c>
      <c r="H958" s="12" t="n">
        <v>43.2</v>
      </c>
      <c r="I958" s="12" t="n">
        <v>243</v>
      </c>
      <c r="J958" s="12" t="n">
        <v>3.1</v>
      </c>
      <c r="K958" s="12" t="n">
        <v>2.2</v>
      </c>
      <c r="L958" s="12" t="s">
        <v>36</v>
      </c>
    </row>
    <row r="959" customFormat="false" ht="15" hidden="false" customHeight="false" outlineLevel="0" collapsed="false">
      <c r="A959" s="11" t="n">
        <v>45154</v>
      </c>
      <c r="B959" s="12" t="n">
        <v>10.2</v>
      </c>
      <c r="C959" s="12" t="n">
        <f aca="false">IF(NOT(ISNUMBER(B959)),"",ROUND((INDEX(BP!$D$5:$D$9,MATCH(B959,BP!$A$5:$A$9,1))-INDEX(BP!$C$5:$C$9,MATCH(B959,BP!$A$5:$A$9,1)))/(INDEX(BP!$B$5:$B$9,MATCH(B959,BP!$A$5:$A$9,1))-INDEX(BP!$A$5:$A$9,MATCH(B959,BP!$A$5:$A$9,1)))*(B959-INDEX(BP!$A$5:$A$9,MATCH(B959,BP!$A$5:$A$9,1)))+INDEX(BP!$C$5:$C$9,MATCH(B959,BP!$A$5:$A$9,1)),0))</f>
        <v>17</v>
      </c>
      <c r="D959" s="12" t="str">
        <f aca="false">IF(NOT(ISNUMBER(C959)),"",INDEX(BP!$F$5:$F$9,MATCH(C959,BP!$E$5:$E$9,1)))</f>
        <v>ดีมาก</v>
      </c>
      <c r="E959" s="12" t="n">
        <f aca="false">YEAR(A959)</f>
        <v>2023</v>
      </c>
      <c r="F959" s="12" t="n">
        <f aca="false">MONTH(A959)</f>
        <v>8</v>
      </c>
      <c r="G959" s="12" t="n">
        <v>20.7</v>
      </c>
      <c r="H959" s="12" t="n">
        <v>44.3</v>
      </c>
      <c r="I959" s="12" t="n">
        <v>247</v>
      </c>
      <c r="J959" s="12" t="n">
        <v>3.7</v>
      </c>
      <c r="K959" s="12" t="n">
        <v>7.4</v>
      </c>
      <c r="L959" s="12" t="s">
        <v>36</v>
      </c>
    </row>
    <row r="960" customFormat="false" ht="15" hidden="false" customHeight="false" outlineLevel="0" collapsed="false">
      <c r="A960" s="11" t="n">
        <v>45155</v>
      </c>
      <c r="B960" s="12" t="n">
        <v>12</v>
      </c>
      <c r="C960" s="12" t="n">
        <f aca="false">IF(NOT(ISNUMBER(B960)),"",ROUND((INDEX(BP!$D$5:$D$9,MATCH(B960,BP!$A$5:$A$9,1))-INDEX(BP!$C$5:$C$9,MATCH(B960,BP!$A$5:$A$9,1)))/(INDEX(BP!$B$5:$B$9,MATCH(B960,BP!$A$5:$A$9,1))-INDEX(BP!$A$5:$A$9,MATCH(B960,BP!$A$5:$A$9,1)))*(B960-INDEX(BP!$A$5:$A$9,MATCH(B960,BP!$A$5:$A$9,1)))+INDEX(BP!$C$5:$C$9,MATCH(B960,BP!$A$5:$A$9,1)),0))</f>
        <v>20</v>
      </c>
      <c r="D960" s="12" t="str">
        <f aca="false">IF(NOT(ISNUMBER(C960)),"",INDEX(BP!$F$5:$F$9,MATCH(C960,BP!$E$5:$E$9,1)))</f>
        <v>ดีมาก</v>
      </c>
      <c r="E960" s="12" t="n">
        <f aca="false">YEAR(A960)</f>
        <v>2023</v>
      </c>
      <c r="F960" s="12" t="n">
        <f aca="false">MONTH(A960)</f>
        <v>8</v>
      </c>
      <c r="G960" s="12" t="n">
        <v>16.9</v>
      </c>
      <c r="H960" s="12" t="n">
        <v>39.6</v>
      </c>
      <c r="I960" s="12" t="n">
        <v>238</v>
      </c>
      <c r="J960" s="12" t="n">
        <v>0.6</v>
      </c>
      <c r="K960" s="12" t="n">
        <v>0</v>
      </c>
      <c r="L960" s="12" t="s">
        <v>36</v>
      </c>
    </row>
    <row r="961" customFormat="false" ht="15" hidden="false" customHeight="false" outlineLevel="0" collapsed="false">
      <c r="A961" s="11" t="n">
        <v>45156</v>
      </c>
      <c r="B961" s="12" t="n">
        <v>12.7</v>
      </c>
      <c r="C961" s="12" t="n">
        <f aca="false">IF(NOT(ISNUMBER(B961)),"",ROUND((INDEX(BP!$D$5:$D$9,MATCH(B961,BP!$A$5:$A$9,1))-INDEX(BP!$C$5:$C$9,MATCH(B961,BP!$A$5:$A$9,1)))/(INDEX(BP!$B$5:$B$9,MATCH(B961,BP!$A$5:$A$9,1))-INDEX(BP!$A$5:$A$9,MATCH(B961,BP!$A$5:$A$9,1)))*(B961-INDEX(BP!$A$5:$A$9,MATCH(B961,BP!$A$5:$A$9,1)))+INDEX(BP!$C$5:$C$9,MATCH(B961,BP!$A$5:$A$9,1)),0))</f>
        <v>21</v>
      </c>
      <c r="D961" s="12" t="str">
        <f aca="false">IF(NOT(ISNUMBER(C961)),"",INDEX(BP!$F$5:$F$9,MATCH(C961,BP!$E$5:$E$9,1)))</f>
        <v>ดีมาก</v>
      </c>
      <c r="E961" s="12" t="n">
        <f aca="false">YEAR(A961)</f>
        <v>2023</v>
      </c>
      <c r="F961" s="12" t="n">
        <f aca="false">MONTH(A961)</f>
        <v>8</v>
      </c>
      <c r="G961" s="12" t="n">
        <v>17.3</v>
      </c>
      <c r="H961" s="12" t="n">
        <v>38.2</v>
      </c>
      <c r="I961" s="12" t="n">
        <v>246</v>
      </c>
      <c r="J961" s="12" t="n">
        <v>0</v>
      </c>
      <c r="K961" s="12" t="n">
        <v>0</v>
      </c>
      <c r="L961" s="12" t="s">
        <v>36</v>
      </c>
    </row>
    <row r="962" customFormat="false" ht="15" hidden="false" customHeight="false" outlineLevel="0" collapsed="false">
      <c r="A962" s="11" t="n">
        <v>45157</v>
      </c>
      <c r="B962" s="12" t="n">
        <v>15.7</v>
      </c>
      <c r="C962" s="12" t="n">
        <f aca="false">IF(NOT(ISNUMBER(B962)),"",ROUND((INDEX(BP!$D$5:$D$9,MATCH(B962,BP!$A$5:$A$9,1))-INDEX(BP!$C$5:$C$9,MATCH(B962,BP!$A$5:$A$9,1)))/(INDEX(BP!$B$5:$B$9,MATCH(B962,BP!$A$5:$A$9,1))-INDEX(BP!$A$5:$A$9,MATCH(B962,BP!$A$5:$A$9,1)))*(B962-INDEX(BP!$A$5:$A$9,MATCH(B962,BP!$A$5:$A$9,1)))+INDEX(BP!$C$5:$C$9,MATCH(B962,BP!$A$5:$A$9,1)),0))</f>
        <v>27</v>
      </c>
      <c r="D962" s="12" t="str">
        <f aca="false">IF(NOT(ISNUMBER(C962)),"",INDEX(BP!$F$5:$F$9,MATCH(C962,BP!$E$5:$E$9,1)))</f>
        <v>ดี</v>
      </c>
      <c r="E962" s="12" t="n">
        <f aca="false">YEAR(A962)</f>
        <v>2023</v>
      </c>
      <c r="F962" s="12" t="n">
        <f aca="false">MONTH(A962)</f>
        <v>8</v>
      </c>
      <c r="G962" s="12" t="n">
        <v>15.3</v>
      </c>
      <c r="H962" s="12" t="n">
        <v>35.6</v>
      </c>
      <c r="I962" s="12" t="n">
        <v>250</v>
      </c>
      <c r="J962" s="12" t="n">
        <v>3.6</v>
      </c>
      <c r="K962" s="12" t="n">
        <v>0</v>
      </c>
      <c r="L962" s="12" t="s">
        <v>35</v>
      </c>
    </row>
    <row r="963" customFormat="false" ht="15" hidden="false" customHeight="false" outlineLevel="0" collapsed="false">
      <c r="A963" s="11" t="n">
        <v>45158</v>
      </c>
      <c r="B963" s="12" t="n">
        <v>15.4</v>
      </c>
      <c r="C963" s="12" t="n">
        <f aca="false">IF(NOT(ISNUMBER(B963)),"",ROUND((INDEX(BP!$D$5:$D$9,MATCH(B963,BP!$A$5:$A$9,1))-INDEX(BP!$C$5:$C$9,MATCH(B963,BP!$A$5:$A$9,1)))/(INDEX(BP!$B$5:$B$9,MATCH(B963,BP!$A$5:$A$9,1))-INDEX(BP!$A$5:$A$9,MATCH(B963,BP!$A$5:$A$9,1)))*(B963-INDEX(BP!$A$5:$A$9,MATCH(B963,BP!$A$5:$A$9,1)))+INDEX(BP!$C$5:$C$9,MATCH(B963,BP!$A$5:$A$9,1)),0))</f>
        <v>27</v>
      </c>
      <c r="D963" s="12" t="str">
        <f aca="false">IF(NOT(ISNUMBER(C963)),"",INDEX(BP!$F$5:$F$9,MATCH(C963,BP!$E$5:$E$9,1)))</f>
        <v>ดี</v>
      </c>
      <c r="E963" s="12" t="n">
        <f aca="false">YEAR(A963)</f>
        <v>2023</v>
      </c>
      <c r="F963" s="12" t="n">
        <f aca="false">MONTH(A963)</f>
        <v>8</v>
      </c>
      <c r="G963" s="12" t="n">
        <v>19.2</v>
      </c>
      <c r="H963" s="12" t="n">
        <v>40.7</v>
      </c>
      <c r="I963" s="12" t="n">
        <v>248</v>
      </c>
      <c r="J963" s="12" t="n">
        <v>1.8</v>
      </c>
      <c r="K963" s="12" t="n">
        <v>0</v>
      </c>
      <c r="L963" s="12" t="s">
        <v>35</v>
      </c>
    </row>
    <row r="964" customFormat="false" ht="15" hidden="false" customHeight="false" outlineLevel="0" collapsed="false">
      <c r="A964" s="11" t="n">
        <v>45159</v>
      </c>
      <c r="B964" s="12" t="n">
        <v>16.2</v>
      </c>
      <c r="C964" s="12" t="n">
        <f aca="false">IF(NOT(ISNUMBER(B964)),"",ROUND((INDEX(BP!$D$5:$D$9,MATCH(B964,BP!$A$5:$A$9,1))-INDEX(BP!$C$5:$C$9,MATCH(B964,BP!$A$5:$A$9,1)))/(INDEX(BP!$B$5:$B$9,MATCH(B964,BP!$A$5:$A$9,1))-INDEX(BP!$A$5:$A$9,MATCH(B964,BP!$A$5:$A$9,1)))*(B964-INDEX(BP!$A$5:$A$9,MATCH(B964,BP!$A$5:$A$9,1)))+INDEX(BP!$C$5:$C$9,MATCH(B964,BP!$A$5:$A$9,1)),0))</f>
        <v>29</v>
      </c>
      <c r="D964" s="12" t="str">
        <f aca="false">IF(NOT(ISNUMBER(C964)),"",INDEX(BP!$F$5:$F$9,MATCH(C964,BP!$E$5:$E$9,1)))</f>
        <v>ดี</v>
      </c>
      <c r="E964" s="12" t="n">
        <f aca="false">YEAR(A964)</f>
        <v>2023</v>
      </c>
      <c r="F964" s="12" t="n">
        <f aca="false">MONTH(A964)</f>
        <v>8</v>
      </c>
      <c r="G964" s="12" t="n">
        <v>19.2</v>
      </c>
      <c r="H964" s="12" t="n">
        <v>40.7</v>
      </c>
      <c r="I964" s="12" t="n">
        <v>223</v>
      </c>
      <c r="J964" s="12" t="n">
        <v>0.7</v>
      </c>
      <c r="K964" s="12" t="n">
        <v>0</v>
      </c>
      <c r="L964" s="12" t="s">
        <v>36</v>
      </c>
    </row>
    <row r="965" customFormat="false" ht="15" hidden="false" customHeight="false" outlineLevel="0" collapsed="false">
      <c r="A965" s="11" t="n">
        <v>45160</v>
      </c>
      <c r="B965" s="12" t="n">
        <v>16.9</v>
      </c>
      <c r="C965" s="12" t="n">
        <f aca="false">IF(NOT(ISNUMBER(B965)),"",ROUND((INDEX(BP!$D$5:$D$9,MATCH(B965,BP!$A$5:$A$9,1))-INDEX(BP!$C$5:$C$9,MATCH(B965,BP!$A$5:$A$9,1)))/(INDEX(BP!$B$5:$B$9,MATCH(B965,BP!$A$5:$A$9,1))-INDEX(BP!$A$5:$A$9,MATCH(B965,BP!$A$5:$A$9,1)))*(B965-INDEX(BP!$A$5:$A$9,MATCH(B965,BP!$A$5:$A$9,1)))+INDEX(BP!$C$5:$C$9,MATCH(B965,BP!$A$5:$A$9,1)),0))</f>
        <v>30</v>
      </c>
      <c r="D965" s="12" t="str">
        <f aca="false">IF(NOT(ISNUMBER(C965)),"",INDEX(BP!$F$5:$F$9,MATCH(C965,BP!$E$5:$E$9,1)))</f>
        <v>ดี</v>
      </c>
      <c r="E965" s="12" t="n">
        <f aca="false">YEAR(A965)</f>
        <v>2023</v>
      </c>
      <c r="F965" s="12" t="n">
        <f aca="false">MONTH(A965)</f>
        <v>8</v>
      </c>
      <c r="G965" s="12" t="n">
        <v>10.3</v>
      </c>
      <c r="H965" s="12" t="n">
        <v>25.6</v>
      </c>
      <c r="I965" s="12" t="n">
        <v>230</v>
      </c>
      <c r="J965" s="12" t="n">
        <v>5.8</v>
      </c>
      <c r="K965" s="12" t="n">
        <v>1.8</v>
      </c>
      <c r="L965" s="12" t="s">
        <v>36</v>
      </c>
    </row>
    <row r="966" customFormat="false" ht="15" hidden="false" customHeight="false" outlineLevel="0" collapsed="false">
      <c r="A966" s="11" t="n">
        <v>45161</v>
      </c>
      <c r="B966" s="12" t="n">
        <v>17.2</v>
      </c>
      <c r="C966" s="12" t="n">
        <f aca="false">IF(NOT(ISNUMBER(B966)),"",ROUND((INDEX(BP!$D$5:$D$9,MATCH(B966,BP!$A$5:$A$9,1))-INDEX(BP!$C$5:$C$9,MATCH(B966,BP!$A$5:$A$9,1)))/(INDEX(BP!$B$5:$B$9,MATCH(B966,BP!$A$5:$A$9,1))-INDEX(BP!$A$5:$A$9,MATCH(B966,BP!$A$5:$A$9,1)))*(B966-INDEX(BP!$A$5:$A$9,MATCH(B966,BP!$A$5:$A$9,1)))+INDEX(BP!$C$5:$C$9,MATCH(B966,BP!$A$5:$A$9,1)),0))</f>
        <v>31</v>
      </c>
      <c r="D966" s="12" t="str">
        <f aca="false">IF(NOT(ISNUMBER(C966)),"",INDEX(BP!$F$5:$F$9,MATCH(C966,BP!$E$5:$E$9,1)))</f>
        <v>ดี</v>
      </c>
      <c r="E966" s="12" t="n">
        <f aca="false">YEAR(A966)</f>
        <v>2023</v>
      </c>
      <c r="F966" s="12" t="n">
        <f aca="false">MONTH(A966)</f>
        <v>8</v>
      </c>
      <c r="G966" s="12" t="n">
        <v>18.1</v>
      </c>
      <c r="H966" s="12" t="n">
        <v>40</v>
      </c>
      <c r="I966" s="12" t="n">
        <v>221</v>
      </c>
      <c r="J966" s="12" t="n">
        <v>7.4</v>
      </c>
      <c r="K966" s="12" t="n">
        <v>0</v>
      </c>
      <c r="L966" s="12" t="s">
        <v>36</v>
      </c>
    </row>
    <row r="967" customFormat="false" ht="15" hidden="false" customHeight="false" outlineLevel="0" collapsed="false">
      <c r="A967" s="11" t="n">
        <v>45162</v>
      </c>
      <c r="B967" s="12" t="n">
        <v>18.1</v>
      </c>
      <c r="C967" s="12" t="n">
        <f aca="false">IF(NOT(ISNUMBER(B967)),"",ROUND((INDEX(BP!$D$5:$D$9,MATCH(B967,BP!$A$5:$A$9,1))-INDEX(BP!$C$5:$C$9,MATCH(B967,BP!$A$5:$A$9,1)))/(INDEX(BP!$B$5:$B$9,MATCH(B967,BP!$A$5:$A$9,1))-INDEX(BP!$A$5:$A$9,MATCH(B967,BP!$A$5:$A$9,1)))*(B967-INDEX(BP!$A$5:$A$9,MATCH(B967,BP!$A$5:$A$9,1)))+INDEX(BP!$C$5:$C$9,MATCH(B967,BP!$A$5:$A$9,1)),0))</f>
        <v>33</v>
      </c>
      <c r="D967" s="12" t="str">
        <f aca="false">IF(NOT(ISNUMBER(C967)),"",INDEX(BP!$F$5:$F$9,MATCH(C967,BP!$E$5:$E$9,1)))</f>
        <v>ดี</v>
      </c>
      <c r="E967" s="12" t="n">
        <f aca="false">YEAR(A967)</f>
        <v>2023</v>
      </c>
      <c r="F967" s="12" t="n">
        <f aca="false">MONTH(A967)</f>
        <v>8</v>
      </c>
      <c r="G967" s="12" t="n">
        <v>13.8</v>
      </c>
      <c r="H967" s="12" t="n">
        <v>31.3</v>
      </c>
      <c r="I967" s="12" t="n">
        <v>222</v>
      </c>
      <c r="J967" s="12" t="n">
        <v>2.5</v>
      </c>
      <c r="K967" s="12" t="n">
        <v>0</v>
      </c>
      <c r="L967" s="12" t="s">
        <v>36</v>
      </c>
    </row>
    <row r="968" customFormat="false" ht="15" hidden="false" customHeight="false" outlineLevel="0" collapsed="false">
      <c r="A968" s="11" t="n">
        <v>45163</v>
      </c>
      <c r="B968" s="12" t="n">
        <v>14.9</v>
      </c>
      <c r="C968" s="12" t="n">
        <f aca="false">IF(NOT(ISNUMBER(B968)),"",ROUND((INDEX(BP!$D$5:$D$9,MATCH(B968,BP!$A$5:$A$9,1))-INDEX(BP!$C$5:$C$9,MATCH(B968,BP!$A$5:$A$9,1)))/(INDEX(BP!$B$5:$B$9,MATCH(B968,BP!$A$5:$A$9,1))-INDEX(BP!$A$5:$A$9,MATCH(B968,BP!$A$5:$A$9,1)))*(B968-INDEX(BP!$A$5:$A$9,MATCH(B968,BP!$A$5:$A$9,1)))+INDEX(BP!$C$5:$C$9,MATCH(B968,BP!$A$5:$A$9,1)),0))</f>
        <v>25</v>
      </c>
      <c r="D968" s="12" t="str">
        <f aca="false">IF(NOT(ISNUMBER(C968)),"",INDEX(BP!$F$5:$F$9,MATCH(C968,BP!$E$5:$E$9,1)))</f>
        <v>ดีมาก</v>
      </c>
      <c r="E968" s="12" t="n">
        <f aca="false">YEAR(A968)</f>
        <v>2023</v>
      </c>
      <c r="F968" s="12" t="n">
        <f aca="false">MONTH(A968)</f>
        <v>8</v>
      </c>
      <c r="G968" s="12" t="n">
        <v>13.3</v>
      </c>
      <c r="H968" s="12" t="n">
        <v>31</v>
      </c>
      <c r="I968" s="12" t="n">
        <v>219</v>
      </c>
      <c r="J968" s="12" t="n">
        <v>16</v>
      </c>
      <c r="K968" s="12" t="n">
        <v>9.8</v>
      </c>
      <c r="L968" s="12" t="s">
        <v>36</v>
      </c>
    </row>
    <row r="969" customFormat="false" ht="15" hidden="false" customHeight="false" outlineLevel="0" collapsed="false">
      <c r="A969" s="11" t="n">
        <v>45164</v>
      </c>
      <c r="B969" s="12" t="n">
        <v>11.2</v>
      </c>
      <c r="C969" s="12" t="n">
        <f aca="false">IF(NOT(ISNUMBER(B969)),"",ROUND((INDEX(BP!$D$5:$D$9,MATCH(B969,BP!$A$5:$A$9,1))-INDEX(BP!$C$5:$C$9,MATCH(B969,BP!$A$5:$A$9,1)))/(INDEX(BP!$B$5:$B$9,MATCH(B969,BP!$A$5:$A$9,1))-INDEX(BP!$A$5:$A$9,MATCH(B969,BP!$A$5:$A$9,1)))*(B969-INDEX(BP!$A$5:$A$9,MATCH(B969,BP!$A$5:$A$9,1)))+INDEX(BP!$C$5:$C$9,MATCH(B969,BP!$A$5:$A$9,1)),0))</f>
        <v>19</v>
      </c>
      <c r="D969" s="12" t="str">
        <f aca="false">IF(NOT(ISNUMBER(C969)),"",INDEX(BP!$F$5:$F$9,MATCH(C969,BP!$E$5:$E$9,1)))</f>
        <v>ดีมาก</v>
      </c>
      <c r="E969" s="12" t="n">
        <f aca="false">YEAR(A969)</f>
        <v>2023</v>
      </c>
      <c r="F969" s="12" t="n">
        <f aca="false">MONTH(A969)</f>
        <v>8</v>
      </c>
      <c r="G969" s="12" t="n">
        <v>21.9</v>
      </c>
      <c r="H969" s="12" t="n">
        <v>47.2</v>
      </c>
      <c r="I969" s="12" t="n">
        <v>227</v>
      </c>
      <c r="J969" s="12" t="n">
        <v>2.6</v>
      </c>
      <c r="K969" s="12" t="n">
        <v>0</v>
      </c>
      <c r="L969" s="12" t="s">
        <v>35</v>
      </c>
    </row>
    <row r="970" customFormat="false" ht="15" hidden="false" customHeight="false" outlineLevel="0" collapsed="false">
      <c r="A970" s="11" t="n">
        <v>45165</v>
      </c>
      <c r="B970" s="12" t="n">
        <v>13</v>
      </c>
      <c r="C970" s="12" t="n">
        <f aca="false">IF(NOT(ISNUMBER(B970)),"",ROUND((INDEX(BP!$D$5:$D$9,MATCH(B970,BP!$A$5:$A$9,1))-INDEX(BP!$C$5:$C$9,MATCH(B970,BP!$A$5:$A$9,1)))/(INDEX(BP!$B$5:$B$9,MATCH(B970,BP!$A$5:$A$9,1))-INDEX(BP!$A$5:$A$9,MATCH(B970,BP!$A$5:$A$9,1)))*(B970-INDEX(BP!$A$5:$A$9,MATCH(B970,BP!$A$5:$A$9,1)))+INDEX(BP!$C$5:$C$9,MATCH(B970,BP!$A$5:$A$9,1)),0))</f>
        <v>22</v>
      </c>
      <c r="D970" s="12" t="str">
        <f aca="false">IF(NOT(ISNUMBER(C970)),"",INDEX(BP!$F$5:$F$9,MATCH(C970,BP!$E$5:$E$9,1)))</f>
        <v>ดีมาก</v>
      </c>
      <c r="E970" s="12" t="n">
        <f aca="false">YEAR(A970)</f>
        <v>2023</v>
      </c>
      <c r="F970" s="12" t="n">
        <f aca="false">MONTH(A970)</f>
        <v>8</v>
      </c>
      <c r="G970" s="12" t="n">
        <v>14.4</v>
      </c>
      <c r="H970" s="12" t="n">
        <v>32.4</v>
      </c>
      <c r="I970" s="12" t="n">
        <v>233</v>
      </c>
      <c r="J970" s="12" t="n">
        <v>1.8</v>
      </c>
      <c r="K970" s="12" t="n">
        <v>0</v>
      </c>
      <c r="L970" s="12" t="s">
        <v>35</v>
      </c>
    </row>
    <row r="971" customFormat="false" ht="15" hidden="false" customHeight="false" outlineLevel="0" collapsed="false">
      <c r="A971" s="11" t="n">
        <v>45166</v>
      </c>
      <c r="B971" s="12" t="n">
        <v>13.9</v>
      </c>
      <c r="C971" s="12" t="n">
        <f aca="false">IF(NOT(ISNUMBER(B971)),"",ROUND((INDEX(BP!$D$5:$D$9,MATCH(B971,BP!$A$5:$A$9,1))-INDEX(BP!$C$5:$C$9,MATCH(B971,BP!$A$5:$A$9,1)))/(INDEX(BP!$B$5:$B$9,MATCH(B971,BP!$A$5:$A$9,1))-INDEX(BP!$A$5:$A$9,MATCH(B971,BP!$A$5:$A$9,1)))*(B971-INDEX(BP!$A$5:$A$9,MATCH(B971,BP!$A$5:$A$9,1)))+INDEX(BP!$C$5:$C$9,MATCH(B971,BP!$A$5:$A$9,1)),0))</f>
        <v>23</v>
      </c>
      <c r="D971" s="12" t="str">
        <f aca="false">IF(NOT(ISNUMBER(C971)),"",INDEX(BP!$F$5:$F$9,MATCH(C971,BP!$E$5:$E$9,1)))</f>
        <v>ดีมาก</v>
      </c>
      <c r="E971" s="12" t="n">
        <f aca="false">YEAR(A971)</f>
        <v>2023</v>
      </c>
      <c r="F971" s="12" t="n">
        <f aca="false">MONTH(A971)</f>
        <v>8</v>
      </c>
      <c r="G971" s="12" t="n">
        <v>23.5</v>
      </c>
      <c r="H971" s="12" t="n">
        <v>46.4</v>
      </c>
      <c r="I971" s="12" t="n">
        <v>245</v>
      </c>
      <c r="J971" s="12" t="n">
        <v>0.7</v>
      </c>
      <c r="K971" s="12" t="n">
        <v>0</v>
      </c>
      <c r="L971" s="12" t="s">
        <v>36</v>
      </c>
    </row>
    <row r="972" customFormat="false" ht="15" hidden="false" customHeight="false" outlineLevel="0" collapsed="false">
      <c r="A972" s="11" t="n">
        <v>45167</v>
      </c>
      <c r="B972" s="12" t="n">
        <v>12.9</v>
      </c>
      <c r="C972" s="12" t="n">
        <f aca="false">IF(NOT(ISNUMBER(B972)),"",ROUND((INDEX(BP!$D$5:$D$9,MATCH(B972,BP!$A$5:$A$9,1))-INDEX(BP!$C$5:$C$9,MATCH(B972,BP!$A$5:$A$9,1)))/(INDEX(BP!$B$5:$B$9,MATCH(B972,BP!$A$5:$A$9,1))-INDEX(BP!$A$5:$A$9,MATCH(B972,BP!$A$5:$A$9,1)))*(B972-INDEX(BP!$A$5:$A$9,MATCH(B972,BP!$A$5:$A$9,1)))+INDEX(BP!$C$5:$C$9,MATCH(B972,BP!$A$5:$A$9,1)),0))</f>
        <v>22</v>
      </c>
      <c r="D972" s="12" t="str">
        <f aca="false">IF(NOT(ISNUMBER(C972)),"",INDEX(BP!$F$5:$F$9,MATCH(C972,BP!$E$5:$E$9,1)))</f>
        <v>ดีมาก</v>
      </c>
      <c r="E972" s="12" t="n">
        <f aca="false">YEAR(A972)</f>
        <v>2023</v>
      </c>
      <c r="F972" s="12" t="n">
        <f aca="false">MONTH(A972)</f>
        <v>8</v>
      </c>
      <c r="G972" s="12" t="n">
        <v>21.7</v>
      </c>
      <c r="H972" s="12" t="n">
        <v>53.6</v>
      </c>
      <c r="I972" s="12" t="n">
        <v>237</v>
      </c>
      <c r="J972" s="12" t="n">
        <v>1.7</v>
      </c>
      <c r="K972" s="12" t="n">
        <v>4.4</v>
      </c>
      <c r="L972" s="12" t="s">
        <v>36</v>
      </c>
    </row>
    <row r="973" customFormat="false" ht="15" hidden="false" customHeight="false" outlineLevel="0" collapsed="false">
      <c r="A973" s="11" t="n">
        <v>45168</v>
      </c>
      <c r="B973" s="12" t="n">
        <v>16.2</v>
      </c>
      <c r="C973" s="12" t="n">
        <f aca="false">IF(NOT(ISNUMBER(B973)),"",ROUND((INDEX(BP!$D$5:$D$9,MATCH(B973,BP!$A$5:$A$9,1))-INDEX(BP!$C$5:$C$9,MATCH(B973,BP!$A$5:$A$9,1)))/(INDEX(BP!$B$5:$B$9,MATCH(B973,BP!$A$5:$A$9,1))-INDEX(BP!$A$5:$A$9,MATCH(B973,BP!$A$5:$A$9,1)))*(B973-INDEX(BP!$A$5:$A$9,MATCH(B973,BP!$A$5:$A$9,1)))+INDEX(BP!$C$5:$C$9,MATCH(B973,BP!$A$5:$A$9,1)),0))</f>
        <v>29</v>
      </c>
      <c r="D973" s="12" t="str">
        <f aca="false">IF(NOT(ISNUMBER(C973)),"",INDEX(BP!$F$5:$F$9,MATCH(C973,BP!$E$5:$E$9,1)))</f>
        <v>ดี</v>
      </c>
      <c r="E973" s="12" t="n">
        <f aca="false">YEAR(A973)</f>
        <v>2023</v>
      </c>
      <c r="F973" s="12" t="n">
        <f aca="false">MONTH(A973)</f>
        <v>8</v>
      </c>
      <c r="G973" s="12" t="n">
        <v>20.5</v>
      </c>
      <c r="H973" s="12" t="n">
        <v>43.6</v>
      </c>
      <c r="I973" s="12" t="n">
        <v>236</v>
      </c>
      <c r="J973" s="12" t="n">
        <v>0</v>
      </c>
      <c r="K973" s="12" t="n">
        <v>1</v>
      </c>
      <c r="L973" s="12" t="s">
        <v>36</v>
      </c>
    </row>
    <row r="974" customFormat="false" ht="15" hidden="false" customHeight="false" outlineLevel="0" collapsed="false">
      <c r="A974" s="11" t="n">
        <v>45169</v>
      </c>
      <c r="B974" s="12" t="n">
        <v>13.2</v>
      </c>
      <c r="C974" s="12" t="n">
        <f aca="false">IF(NOT(ISNUMBER(B974)),"",ROUND((INDEX(BP!$D$5:$D$9,MATCH(B974,BP!$A$5:$A$9,1))-INDEX(BP!$C$5:$C$9,MATCH(B974,BP!$A$5:$A$9,1)))/(INDEX(BP!$B$5:$B$9,MATCH(B974,BP!$A$5:$A$9,1))-INDEX(BP!$A$5:$A$9,MATCH(B974,BP!$A$5:$A$9,1)))*(B974-INDEX(BP!$A$5:$A$9,MATCH(B974,BP!$A$5:$A$9,1)))+INDEX(BP!$C$5:$C$9,MATCH(B974,BP!$A$5:$A$9,1)),0))</f>
        <v>22</v>
      </c>
      <c r="D974" s="12" t="str">
        <f aca="false">IF(NOT(ISNUMBER(C974)),"",INDEX(BP!$F$5:$F$9,MATCH(C974,BP!$E$5:$E$9,1)))</f>
        <v>ดีมาก</v>
      </c>
      <c r="E974" s="12" t="n">
        <f aca="false">YEAR(A974)</f>
        <v>2023</v>
      </c>
      <c r="F974" s="12" t="n">
        <f aca="false">MONTH(A974)</f>
        <v>8</v>
      </c>
      <c r="G974" s="12" t="n">
        <v>19.4</v>
      </c>
      <c r="H974" s="12" t="n">
        <v>46.4</v>
      </c>
      <c r="I974" s="12" t="n">
        <v>243</v>
      </c>
      <c r="J974" s="12" t="n">
        <v>2.5</v>
      </c>
      <c r="K974" s="12" t="n">
        <v>2.6</v>
      </c>
      <c r="L974" s="12" t="s">
        <v>36</v>
      </c>
    </row>
    <row r="975" customFormat="false" ht="15" hidden="false" customHeight="false" outlineLevel="0" collapsed="false">
      <c r="A975" s="11" t="n">
        <v>45170</v>
      </c>
      <c r="B975" s="12" t="n">
        <v>10.4</v>
      </c>
      <c r="C975" s="12" t="n">
        <f aca="false">IF(NOT(ISNUMBER(B975)),"",ROUND((INDEX(BP!$D$5:$D$9,MATCH(B975,BP!$A$5:$A$9,1))-INDEX(BP!$C$5:$C$9,MATCH(B975,BP!$A$5:$A$9,1)))/(INDEX(BP!$B$5:$B$9,MATCH(B975,BP!$A$5:$A$9,1))-INDEX(BP!$A$5:$A$9,MATCH(B975,BP!$A$5:$A$9,1)))*(B975-INDEX(BP!$A$5:$A$9,MATCH(B975,BP!$A$5:$A$9,1)))+INDEX(BP!$C$5:$C$9,MATCH(B975,BP!$A$5:$A$9,1)),0))</f>
        <v>17</v>
      </c>
      <c r="D975" s="12" t="str">
        <f aca="false">IF(NOT(ISNUMBER(C975)),"",INDEX(BP!$F$5:$F$9,MATCH(C975,BP!$E$5:$E$9,1)))</f>
        <v>ดีมาก</v>
      </c>
      <c r="E975" s="12" t="n">
        <f aca="false">YEAR(A975)</f>
        <v>2023</v>
      </c>
      <c r="F975" s="12" t="n">
        <f aca="false">MONTH(A975)</f>
        <v>9</v>
      </c>
      <c r="G975" s="12" t="n">
        <v>16.3</v>
      </c>
      <c r="H975" s="12" t="n">
        <v>42.8</v>
      </c>
      <c r="I975" s="12" t="n">
        <v>234</v>
      </c>
      <c r="J975" s="12" t="n">
        <v>20.8</v>
      </c>
      <c r="K975" s="12" t="n">
        <v>21.4</v>
      </c>
      <c r="L975" s="12" t="s">
        <v>36</v>
      </c>
    </row>
    <row r="976" customFormat="false" ht="15" hidden="false" customHeight="false" outlineLevel="0" collapsed="false">
      <c r="A976" s="11" t="n">
        <v>45171</v>
      </c>
      <c r="B976" s="12" t="n">
        <v>10.4</v>
      </c>
      <c r="C976" s="12" t="n">
        <f aca="false">IF(NOT(ISNUMBER(B976)),"",ROUND((INDEX(BP!$D$5:$D$9,MATCH(B976,BP!$A$5:$A$9,1))-INDEX(BP!$C$5:$C$9,MATCH(B976,BP!$A$5:$A$9,1)))/(INDEX(BP!$B$5:$B$9,MATCH(B976,BP!$A$5:$A$9,1))-INDEX(BP!$A$5:$A$9,MATCH(B976,BP!$A$5:$A$9,1)))*(B976-INDEX(BP!$A$5:$A$9,MATCH(B976,BP!$A$5:$A$9,1)))+INDEX(BP!$C$5:$C$9,MATCH(B976,BP!$A$5:$A$9,1)),0))</f>
        <v>17</v>
      </c>
      <c r="D976" s="12" t="str">
        <f aca="false">IF(NOT(ISNUMBER(C976)),"",INDEX(BP!$F$5:$F$9,MATCH(C976,BP!$E$5:$E$9,1)))</f>
        <v>ดีมาก</v>
      </c>
      <c r="E976" s="12" t="n">
        <f aca="false">YEAR(A976)</f>
        <v>2023</v>
      </c>
      <c r="F976" s="12" t="n">
        <f aca="false">MONTH(A976)</f>
        <v>9</v>
      </c>
      <c r="G976" s="12" t="n">
        <v>23.4</v>
      </c>
      <c r="H976" s="12" t="n">
        <v>49</v>
      </c>
      <c r="I976" s="12" t="n">
        <v>246</v>
      </c>
      <c r="J976" s="12" t="n">
        <v>7</v>
      </c>
      <c r="K976" s="12" t="n">
        <v>12.8</v>
      </c>
      <c r="L976" s="12" t="s">
        <v>35</v>
      </c>
    </row>
    <row r="977" customFormat="false" ht="15" hidden="false" customHeight="false" outlineLevel="0" collapsed="false">
      <c r="A977" s="11" t="n">
        <v>45172</v>
      </c>
      <c r="B977" s="12" t="n">
        <v>11.6</v>
      </c>
      <c r="C977" s="12" t="n">
        <f aca="false">IF(NOT(ISNUMBER(B977)),"",ROUND((INDEX(BP!$D$5:$D$9,MATCH(B977,BP!$A$5:$A$9,1))-INDEX(BP!$C$5:$C$9,MATCH(B977,BP!$A$5:$A$9,1)))/(INDEX(BP!$B$5:$B$9,MATCH(B977,BP!$A$5:$A$9,1))-INDEX(BP!$A$5:$A$9,MATCH(B977,BP!$A$5:$A$9,1)))*(B977-INDEX(BP!$A$5:$A$9,MATCH(B977,BP!$A$5:$A$9,1)))+INDEX(BP!$C$5:$C$9,MATCH(B977,BP!$A$5:$A$9,1)),0))</f>
        <v>19</v>
      </c>
      <c r="D977" s="12" t="str">
        <f aca="false">IF(NOT(ISNUMBER(C977)),"",INDEX(BP!$F$5:$F$9,MATCH(C977,BP!$E$5:$E$9,1)))</f>
        <v>ดีมาก</v>
      </c>
      <c r="E977" s="12" t="n">
        <f aca="false">YEAR(A977)</f>
        <v>2023</v>
      </c>
      <c r="F977" s="12" t="n">
        <f aca="false">MONTH(A977)</f>
        <v>9</v>
      </c>
      <c r="G977" s="12" t="n">
        <v>15.5</v>
      </c>
      <c r="H977" s="12" t="n">
        <v>39.6</v>
      </c>
      <c r="I977" s="12" t="n">
        <v>240</v>
      </c>
      <c r="J977" s="12" t="n">
        <v>1.8</v>
      </c>
      <c r="K977" s="12" t="n">
        <v>1.4</v>
      </c>
      <c r="L977" s="12" t="s">
        <v>35</v>
      </c>
    </row>
    <row r="978" customFormat="false" ht="15" hidden="false" customHeight="false" outlineLevel="0" collapsed="false">
      <c r="A978" s="11" t="n">
        <v>45173</v>
      </c>
      <c r="B978" s="12" t="n">
        <v>12.3</v>
      </c>
      <c r="C978" s="12" t="n">
        <f aca="false">IF(NOT(ISNUMBER(B978)),"",ROUND((INDEX(BP!$D$5:$D$9,MATCH(B978,BP!$A$5:$A$9,1))-INDEX(BP!$C$5:$C$9,MATCH(B978,BP!$A$5:$A$9,1)))/(INDEX(BP!$B$5:$B$9,MATCH(B978,BP!$A$5:$A$9,1))-INDEX(BP!$A$5:$A$9,MATCH(B978,BP!$A$5:$A$9,1)))*(B978-INDEX(BP!$A$5:$A$9,MATCH(B978,BP!$A$5:$A$9,1)))+INDEX(BP!$C$5:$C$9,MATCH(B978,BP!$A$5:$A$9,1)),0))</f>
        <v>21</v>
      </c>
      <c r="D978" s="12" t="str">
        <f aca="false">IF(NOT(ISNUMBER(C978)),"",INDEX(BP!$F$5:$F$9,MATCH(C978,BP!$E$5:$E$9,1)))</f>
        <v>ดีมาก</v>
      </c>
      <c r="E978" s="12" t="n">
        <f aca="false">YEAR(A978)</f>
        <v>2023</v>
      </c>
      <c r="F978" s="12" t="n">
        <f aca="false">MONTH(A978)</f>
        <v>9</v>
      </c>
      <c r="G978" s="12" t="n">
        <v>16.7</v>
      </c>
      <c r="H978" s="12" t="n">
        <v>39.2</v>
      </c>
      <c r="I978" s="12" t="n">
        <v>231</v>
      </c>
      <c r="J978" s="12" t="n">
        <v>16.9</v>
      </c>
      <c r="K978" s="12" t="n">
        <v>12.2</v>
      </c>
      <c r="L978" s="12" t="s">
        <v>36</v>
      </c>
    </row>
    <row r="979" customFormat="false" ht="15" hidden="false" customHeight="false" outlineLevel="0" collapsed="false">
      <c r="A979" s="11" t="n">
        <v>45174</v>
      </c>
      <c r="B979" s="12" t="n">
        <v>11.4</v>
      </c>
      <c r="C979" s="12" t="n">
        <f aca="false">IF(NOT(ISNUMBER(B979)),"",ROUND((INDEX(BP!$D$5:$D$9,MATCH(B979,BP!$A$5:$A$9,1))-INDEX(BP!$C$5:$C$9,MATCH(B979,BP!$A$5:$A$9,1)))/(INDEX(BP!$B$5:$B$9,MATCH(B979,BP!$A$5:$A$9,1))-INDEX(BP!$A$5:$A$9,MATCH(B979,BP!$A$5:$A$9,1)))*(B979-INDEX(BP!$A$5:$A$9,MATCH(B979,BP!$A$5:$A$9,1)))+INDEX(BP!$C$5:$C$9,MATCH(B979,BP!$A$5:$A$9,1)),0))</f>
        <v>19</v>
      </c>
      <c r="D979" s="12" t="str">
        <f aca="false">IF(NOT(ISNUMBER(C979)),"",INDEX(BP!$F$5:$F$9,MATCH(C979,BP!$E$5:$E$9,1)))</f>
        <v>ดีมาก</v>
      </c>
      <c r="E979" s="12" t="n">
        <f aca="false">YEAR(A979)</f>
        <v>2023</v>
      </c>
      <c r="F979" s="12" t="n">
        <f aca="false">MONTH(A979)</f>
        <v>9</v>
      </c>
      <c r="G979" s="12" t="n">
        <v>15.3</v>
      </c>
      <c r="H979" s="12" t="n">
        <v>37.4</v>
      </c>
      <c r="I979" s="12" t="n">
        <v>232</v>
      </c>
      <c r="J979" s="12" t="n">
        <v>9.7</v>
      </c>
      <c r="K979" s="12" t="n">
        <v>5.2</v>
      </c>
      <c r="L979" s="12" t="s">
        <v>36</v>
      </c>
    </row>
    <row r="980" customFormat="false" ht="15" hidden="false" customHeight="false" outlineLevel="0" collapsed="false">
      <c r="A980" s="11" t="n">
        <v>45175</v>
      </c>
      <c r="B980" s="12" t="n">
        <v>10.6</v>
      </c>
      <c r="C980" s="12" t="n">
        <f aca="false">IF(NOT(ISNUMBER(B980)),"",ROUND((INDEX(BP!$D$5:$D$9,MATCH(B980,BP!$A$5:$A$9,1))-INDEX(BP!$C$5:$C$9,MATCH(B980,BP!$A$5:$A$9,1)))/(INDEX(BP!$B$5:$B$9,MATCH(B980,BP!$A$5:$A$9,1))-INDEX(BP!$A$5:$A$9,MATCH(B980,BP!$A$5:$A$9,1)))*(B980-INDEX(BP!$A$5:$A$9,MATCH(B980,BP!$A$5:$A$9,1)))+INDEX(BP!$C$5:$C$9,MATCH(B980,BP!$A$5:$A$9,1)),0))</f>
        <v>18</v>
      </c>
      <c r="D980" s="12" t="str">
        <f aca="false">IF(NOT(ISNUMBER(C980)),"",INDEX(BP!$F$5:$F$9,MATCH(C980,BP!$E$5:$E$9,1)))</f>
        <v>ดีมาก</v>
      </c>
      <c r="E980" s="12" t="n">
        <f aca="false">YEAR(A980)</f>
        <v>2023</v>
      </c>
      <c r="F980" s="12" t="n">
        <f aca="false">MONTH(A980)</f>
        <v>9</v>
      </c>
      <c r="G980" s="12" t="n">
        <v>10.6</v>
      </c>
      <c r="H980" s="12" t="n">
        <v>29.9</v>
      </c>
      <c r="I980" s="12" t="n">
        <v>232</v>
      </c>
      <c r="J980" s="12" t="n">
        <v>0</v>
      </c>
      <c r="K980" s="12" t="n">
        <v>0</v>
      </c>
      <c r="L980" s="12" t="s">
        <v>36</v>
      </c>
    </row>
    <row r="981" customFormat="false" ht="15" hidden="false" customHeight="false" outlineLevel="0" collapsed="false">
      <c r="A981" s="11" t="n">
        <v>45176</v>
      </c>
      <c r="B981" s="12" t="n">
        <v>17.6</v>
      </c>
      <c r="C981" s="12" t="n">
        <f aca="false">IF(NOT(ISNUMBER(B981)),"",ROUND((INDEX(BP!$D$5:$D$9,MATCH(B981,BP!$A$5:$A$9,1))-INDEX(BP!$C$5:$C$9,MATCH(B981,BP!$A$5:$A$9,1)))/(INDEX(BP!$B$5:$B$9,MATCH(B981,BP!$A$5:$A$9,1))-INDEX(BP!$A$5:$A$9,MATCH(B981,BP!$A$5:$A$9,1)))*(B981-INDEX(BP!$A$5:$A$9,MATCH(B981,BP!$A$5:$A$9,1)))+INDEX(BP!$C$5:$C$9,MATCH(B981,BP!$A$5:$A$9,1)),0))</f>
        <v>32</v>
      </c>
      <c r="D981" s="12" t="str">
        <f aca="false">IF(NOT(ISNUMBER(C981)),"",INDEX(BP!$F$5:$F$9,MATCH(C981,BP!$E$5:$E$9,1)))</f>
        <v>ดี</v>
      </c>
      <c r="E981" s="12" t="n">
        <f aca="false">YEAR(A981)</f>
        <v>2023</v>
      </c>
      <c r="F981" s="12" t="n">
        <f aca="false">MONTH(A981)</f>
        <v>9</v>
      </c>
      <c r="G981" s="12" t="n">
        <v>10.7</v>
      </c>
      <c r="H981" s="12" t="n">
        <v>24.5</v>
      </c>
      <c r="I981" s="12" t="n">
        <v>238</v>
      </c>
      <c r="J981" s="12" t="n">
        <v>1.2</v>
      </c>
      <c r="K981" s="12" t="n">
        <v>0</v>
      </c>
      <c r="L981" s="12" t="s">
        <v>36</v>
      </c>
    </row>
    <row r="982" customFormat="false" ht="15" hidden="false" customHeight="false" outlineLevel="0" collapsed="false">
      <c r="A982" s="11" t="n">
        <v>45177</v>
      </c>
      <c r="B982" s="12" t="n">
        <v>20.7</v>
      </c>
      <c r="C982" s="12" t="n">
        <f aca="false">IF(NOT(ISNUMBER(B982)),"",ROUND((INDEX(BP!$D$5:$D$9,MATCH(B982,BP!$A$5:$A$9,1))-INDEX(BP!$C$5:$C$9,MATCH(B982,BP!$A$5:$A$9,1)))/(INDEX(BP!$B$5:$B$9,MATCH(B982,BP!$A$5:$A$9,1))-INDEX(BP!$A$5:$A$9,MATCH(B982,BP!$A$5:$A$9,1)))*(B982-INDEX(BP!$A$5:$A$9,MATCH(B982,BP!$A$5:$A$9,1)))+INDEX(BP!$C$5:$C$9,MATCH(B982,BP!$A$5:$A$9,1)),0))</f>
        <v>40</v>
      </c>
      <c r="D982" s="12" t="str">
        <f aca="false">IF(NOT(ISNUMBER(C982)),"",INDEX(BP!$F$5:$F$9,MATCH(C982,BP!$E$5:$E$9,1)))</f>
        <v>ดี</v>
      </c>
      <c r="E982" s="12" t="n">
        <f aca="false">YEAR(A982)</f>
        <v>2023</v>
      </c>
      <c r="F982" s="12" t="n">
        <f aca="false">MONTH(A982)</f>
        <v>9</v>
      </c>
      <c r="G982" s="12" t="n">
        <v>10.5</v>
      </c>
      <c r="H982" s="12" t="n">
        <v>25.6</v>
      </c>
      <c r="I982" s="12" t="n">
        <v>258</v>
      </c>
      <c r="J982" s="12" t="n">
        <v>30.6</v>
      </c>
      <c r="K982" s="12" t="n">
        <v>20.2</v>
      </c>
      <c r="L982" s="12" t="s">
        <v>36</v>
      </c>
    </row>
    <row r="983" customFormat="false" ht="15" hidden="false" customHeight="false" outlineLevel="0" collapsed="false">
      <c r="A983" s="11" t="n">
        <v>45178</v>
      </c>
      <c r="B983" s="12" t="n">
        <v>13.7</v>
      </c>
      <c r="C983" s="12" t="n">
        <f aca="false">IF(NOT(ISNUMBER(B983)),"",ROUND((INDEX(BP!$D$5:$D$9,MATCH(B983,BP!$A$5:$A$9,1))-INDEX(BP!$C$5:$C$9,MATCH(B983,BP!$A$5:$A$9,1)))/(INDEX(BP!$B$5:$B$9,MATCH(B983,BP!$A$5:$A$9,1))-INDEX(BP!$A$5:$A$9,MATCH(B983,BP!$A$5:$A$9,1)))*(B983-INDEX(BP!$A$5:$A$9,MATCH(B983,BP!$A$5:$A$9,1)))+INDEX(BP!$C$5:$C$9,MATCH(B983,BP!$A$5:$A$9,1)),0))</f>
        <v>23</v>
      </c>
      <c r="D983" s="12" t="str">
        <f aca="false">IF(NOT(ISNUMBER(C983)),"",INDEX(BP!$F$5:$F$9,MATCH(C983,BP!$E$5:$E$9,1)))</f>
        <v>ดีมาก</v>
      </c>
      <c r="E983" s="12" t="n">
        <f aca="false">YEAR(A983)</f>
        <v>2023</v>
      </c>
      <c r="F983" s="12" t="n">
        <f aca="false">MONTH(A983)</f>
        <v>9</v>
      </c>
      <c r="G983" s="12" t="n">
        <v>15.8</v>
      </c>
      <c r="H983" s="12" t="n">
        <v>34.6</v>
      </c>
      <c r="I983" s="12" t="n">
        <v>229</v>
      </c>
      <c r="J983" s="12" t="n">
        <v>5.8</v>
      </c>
      <c r="K983" s="12" t="n">
        <v>2</v>
      </c>
      <c r="L983" s="12" t="s">
        <v>35</v>
      </c>
    </row>
    <row r="984" customFormat="false" ht="15" hidden="false" customHeight="false" outlineLevel="0" collapsed="false">
      <c r="A984" s="11" t="n">
        <v>45179</v>
      </c>
      <c r="B984" s="12" t="n">
        <v>11</v>
      </c>
      <c r="C984" s="12" t="n">
        <f aca="false">IF(NOT(ISNUMBER(B984)),"",ROUND((INDEX(BP!$D$5:$D$9,MATCH(B984,BP!$A$5:$A$9,1))-INDEX(BP!$C$5:$C$9,MATCH(B984,BP!$A$5:$A$9,1)))/(INDEX(BP!$B$5:$B$9,MATCH(B984,BP!$A$5:$A$9,1))-INDEX(BP!$A$5:$A$9,MATCH(B984,BP!$A$5:$A$9,1)))*(B984-INDEX(BP!$A$5:$A$9,MATCH(B984,BP!$A$5:$A$9,1)))+INDEX(BP!$C$5:$C$9,MATCH(B984,BP!$A$5:$A$9,1)),0))</f>
        <v>18</v>
      </c>
      <c r="D984" s="12" t="str">
        <f aca="false">IF(NOT(ISNUMBER(C984)),"",INDEX(BP!$F$5:$F$9,MATCH(C984,BP!$E$5:$E$9,1)))</f>
        <v>ดีมาก</v>
      </c>
      <c r="E984" s="12" t="n">
        <f aca="false">YEAR(A984)</f>
        <v>2023</v>
      </c>
      <c r="F984" s="12" t="n">
        <f aca="false">MONTH(A984)</f>
        <v>9</v>
      </c>
      <c r="G984" s="12" t="n">
        <v>17.6</v>
      </c>
      <c r="H984" s="12" t="n">
        <v>38.2</v>
      </c>
      <c r="I984" s="12" t="n">
        <v>217</v>
      </c>
      <c r="J984" s="12" t="n">
        <v>12.4</v>
      </c>
      <c r="K984" s="12" t="n">
        <v>5.4</v>
      </c>
      <c r="L984" s="12" t="s">
        <v>35</v>
      </c>
    </row>
    <row r="985" customFormat="false" ht="15" hidden="false" customHeight="false" outlineLevel="0" collapsed="false">
      <c r="A985" s="11" t="n">
        <v>45180</v>
      </c>
      <c r="B985" s="12" t="n">
        <v>15.2</v>
      </c>
      <c r="C985" s="12" t="n">
        <f aca="false">IF(NOT(ISNUMBER(B985)),"",ROUND((INDEX(BP!$D$5:$D$9,MATCH(B985,BP!$A$5:$A$9,1))-INDEX(BP!$C$5:$C$9,MATCH(B985,BP!$A$5:$A$9,1)))/(INDEX(BP!$B$5:$B$9,MATCH(B985,BP!$A$5:$A$9,1))-INDEX(BP!$A$5:$A$9,MATCH(B985,BP!$A$5:$A$9,1)))*(B985-INDEX(BP!$A$5:$A$9,MATCH(B985,BP!$A$5:$A$9,1)))+INDEX(BP!$C$5:$C$9,MATCH(B985,BP!$A$5:$A$9,1)),0))</f>
        <v>26</v>
      </c>
      <c r="D985" s="12" t="str">
        <f aca="false">IF(NOT(ISNUMBER(C985)),"",INDEX(BP!$F$5:$F$9,MATCH(C985,BP!$E$5:$E$9,1)))</f>
        <v>ดี</v>
      </c>
      <c r="E985" s="12" t="n">
        <f aca="false">YEAR(A985)</f>
        <v>2023</v>
      </c>
      <c r="F985" s="12" t="n">
        <f aca="false">MONTH(A985)</f>
        <v>9</v>
      </c>
      <c r="G985" s="12" t="n">
        <v>13.1</v>
      </c>
      <c r="H985" s="12" t="n">
        <v>28.8</v>
      </c>
      <c r="I985" s="12" t="n">
        <v>154</v>
      </c>
      <c r="J985" s="12" t="n">
        <v>0.1</v>
      </c>
      <c r="K985" s="12" t="n">
        <v>0</v>
      </c>
      <c r="L985" s="12" t="s">
        <v>36</v>
      </c>
    </row>
    <row r="986" customFormat="false" ht="15" hidden="false" customHeight="false" outlineLevel="0" collapsed="false">
      <c r="A986" s="11" t="n">
        <v>45181</v>
      </c>
      <c r="B986" s="12" t="n">
        <v>28.5</v>
      </c>
      <c r="C986" s="12" t="n">
        <f aca="false">IF(NOT(ISNUMBER(B986)),"",ROUND((INDEX(BP!$D$5:$D$9,MATCH(B986,BP!$A$5:$A$9,1))-INDEX(BP!$C$5:$C$9,MATCH(B986,BP!$A$5:$A$9,1)))/(INDEX(BP!$B$5:$B$9,MATCH(B986,BP!$A$5:$A$9,1))-INDEX(BP!$A$5:$A$9,MATCH(B986,BP!$A$5:$A$9,1)))*(B986-INDEX(BP!$A$5:$A$9,MATCH(B986,BP!$A$5:$A$9,1)))+INDEX(BP!$C$5:$C$9,MATCH(B986,BP!$A$5:$A$9,1)),0))</f>
        <v>64</v>
      </c>
      <c r="D986" s="12" t="str">
        <f aca="false">IF(NOT(ISNUMBER(C986)),"",INDEX(BP!$F$5:$F$9,MATCH(C986,BP!$E$5:$E$9,1)))</f>
        <v>ปานกลาง</v>
      </c>
      <c r="E986" s="12" t="n">
        <f aca="false">YEAR(A986)</f>
        <v>2023</v>
      </c>
      <c r="F986" s="12" t="n">
        <f aca="false">MONTH(A986)</f>
        <v>9</v>
      </c>
      <c r="G986" s="12" t="n">
        <v>13.6</v>
      </c>
      <c r="H986" s="12" t="n">
        <v>30.2</v>
      </c>
      <c r="I986" s="12" t="n">
        <v>194</v>
      </c>
      <c r="J986" s="12" t="n">
        <v>6.4</v>
      </c>
      <c r="K986" s="12" t="n">
        <v>0</v>
      </c>
      <c r="L986" s="12" t="s">
        <v>36</v>
      </c>
    </row>
    <row r="987" customFormat="false" ht="15" hidden="false" customHeight="false" outlineLevel="0" collapsed="false">
      <c r="A987" s="11" t="n">
        <v>45182</v>
      </c>
      <c r="B987" s="12" t="n">
        <v>26.9</v>
      </c>
      <c r="C987" s="12" t="n">
        <f aca="false">IF(NOT(ISNUMBER(B987)),"",ROUND((INDEX(BP!$D$5:$D$9,MATCH(B987,BP!$A$5:$A$9,1))-INDEX(BP!$C$5:$C$9,MATCH(B987,BP!$A$5:$A$9,1)))/(INDEX(BP!$B$5:$B$9,MATCH(B987,BP!$A$5:$A$9,1))-INDEX(BP!$A$5:$A$9,MATCH(B987,BP!$A$5:$A$9,1)))*(B987-INDEX(BP!$A$5:$A$9,MATCH(B987,BP!$A$5:$A$9,1)))+INDEX(BP!$C$5:$C$9,MATCH(B987,BP!$A$5:$A$9,1)),0))</f>
        <v>58</v>
      </c>
      <c r="D987" s="12" t="str">
        <f aca="false">IF(NOT(ISNUMBER(C987)),"",INDEX(BP!$F$5:$F$9,MATCH(C987,BP!$E$5:$E$9,1)))</f>
        <v>ปานกลาง</v>
      </c>
      <c r="E987" s="12" t="n">
        <f aca="false">YEAR(A987)</f>
        <v>2023</v>
      </c>
      <c r="F987" s="12" t="n">
        <f aca="false">MONTH(A987)</f>
        <v>9</v>
      </c>
      <c r="G987" s="12" t="n">
        <v>9.7</v>
      </c>
      <c r="H987" s="12" t="n">
        <v>23</v>
      </c>
      <c r="I987" s="12" t="n">
        <v>180</v>
      </c>
      <c r="J987" s="12" t="n">
        <v>0.1</v>
      </c>
      <c r="K987" s="12" t="n">
        <v>0</v>
      </c>
      <c r="L987" s="12" t="s">
        <v>36</v>
      </c>
    </row>
    <row r="988" customFormat="false" ht="15" hidden="false" customHeight="false" outlineLevel="0" collapsed="false">
      <c r="A988" s="11" t="n">
        <v>45183</v>
      </c>
      <c r="B988" s="12" t="n">
        <v>26</v>
      </c>
      <c r="C988" s="12" t="n">
        <f aca="false">IF(NOT(ISNUMBER(B988)),"",ROUND((INDEX(BP!$D$5:$D$9,MATCH(B988,BP!$A$5:$A$9,1))-INDEX(BP!$C$5:$C$9,MATCH(B988,BP!$A$5:$A$9,1)))/(INDEX(BP!$B$5:$B$9,MATCH(B988,BP!$A$5:$A$9,1))-INDEX(BP!$A$5:$A$9,MATCH(B988,BP!$A$5:$A$9,1)))*(B988-INDEX(BP!$A$5:$A$9,MATCH(B988,BP!$A$5:$A$9,1)))+INDEX(BP!$C$5:$C$9,MATCH(B988,BP!$A$5:$A$9,1)),0))</f>
        <v>55</v>
      </c>
      <c r="D988" s="12" t="str">
        <f aca="false">IF(NOT(ISNUMBER(C988)),"",INDEX(BP!$F$5:$F$9,MATCH(C988,BP!$E$5:$E$9,1)))</f>
        <v>ปานกลาง</v>
      </c>
      <c r="E988" s="12" t="n">
        <f aca="false">YEAR(A988)</f>
        <v>2023</v>
      </c>
      <c r="F988" s="12" t="n">
        <f aca="false">MONTH(A988)</f>
        <v>9</v>
      </c>
      <c r="G988" s="12" t="n">
        <v>11.8</v>
      </c>
      <c r="H988" s="12" t="n">
        <v>24.8</v>
      </c>
      <c r="I988" s="12" t="n">
        <v>229</v>
      </c>
      <c r="J988" s="12" t="n">
        <v>2.5</v>
      </c>
      <c r="K988" s="12" t="n">
        <v>0</v>
      </c>
      <c r="L988" s="12" t="s">
        <v>36</v>
      </c>
    </row>
    <row r="989" customFormat="false" ht="15" hidden="false" customHeight="false" outlineLevel="0" collapsed="false">
      <c r="A989" s="11" t="n">
        <v>45184</v>
      </c>
      <c r="B989" s="12" t="n">
        <v>21.4</v>
      </c>
      <c r="C989" s="12" t="n">
        <f aca="false">IF(NOT(ISNUMBER(B989)),"",ROUND((INDEX(BP!$D$5:$D$9,MATCH(B989,BP!$A$5:$A$9,1))-INDEX(BP!$C$5:$C$9,MATCH(B989,BP!$A$5:$A$9,1)))/(INDEX(BP!$B$5:$B$9,MATCH(B989,BP!$A$5:$A$9,1))-INDEX(BP!$A$5:$A$9,MATCH(B989,BP!$A$5:$A$9,1)))*(B989-INDEX(BP!$A$5:$A$9,MATCH(B989,BP!$A$5:$A$9,1)))+INDEX(BP!$C$5:$C$9,MATCH(B989,BP!$A$5:$A$9,1)),0))</f>
        <v>41</v>
      </c>
      <c r="D989" s="12" t="str">
        <f aca="false">IF(NOT(ISNUMBER(C989)),"",INDEX(BP!$F$5:$F$9,MATCH(C989,BP!$E$5:$E$9,1)))</f>
        <v>ดี</v>
      </c>
      <c r="E989" s="12" t="n">
        <f aca="false">YEAR(A989)</f>
        <v>2023</v>
      </c>
      <c r="F989" s="12" t="n">
        <f aca="false">MONTH(A989)</f>
        <v>9</v>
      </c>
      <c r="G989" s="12" t="n">
        <v>10.7</v>
      </c>
      <c r="H989" s="12" t="n">
        <v>22.3</v>
      </c>
      <c r="I989" s="12" t="n">
        <v>254</v>
      </c>
      <c r="J989" s="12" t="n">
        <v>2.9</v>
      </c>
      <c r="K989" s="12" t="n">
        <v>0</v>
      </c>
      <c r="L989" s="12" t="s">
        <v>36</v>
      </c>
    </row>
    <row r="990" customFormat="false" ht="15" hidden="false" customHeight="false" outlineLevel="0" collapsed="false">
      <c r="A990" s="11" t="n">
        <v>45185</v>
      </c>
      <c r="B990" s="12" t="n">
        <v>22.6</v>
      </c>
      <c r="C990" s="12" t="n">
        <f aca="false">IF(NOT(ISNUMBER(B990)),"",ROUND((INDEX(BP!$D$5:$D$9,MATCH(B990,BP!$A$5:$A$9,1))-INDEX(BP!$C$5:$C$9,MATCH(B990,BP!$A$5:$A$9,1)))/(INDEX(BP!$B$5:$B$9,MATCH(B990,BP!$A$5:$A$9,1))-INDEX(BP!$A$5:$A$9,MATCH(B990,BP!$A$5:$A$9,1)))*(B990-INDEX(BP!$A$5:$A$9,MATCH(B990,BP!$A$5:$A$9,1)))+INDEX(BP!$C$5:$C$9,MATCH(B990,BP!$A$5:$A$9,1)),0))</f>
        <v>44</v>
      </c>
      <c r="D990" s="12" t="str">
        <f aca="false">IF(NOT(ISNUMBER(C990)),"",INDEX(BP!$F$5:$F$9,MATCH(C990,BP!$E$5:$E$9,1)))</f>
        <v>ดี</v>
      </c>
      <c r="E990" s="12" t="n">
        <f aca="false">YEAR(A990)</f>
        <v>2023</v>
      </c>
      <c r="F990" s="12" t="n">
        <f aca="false">MONTH(A990)</f>
        <v>9</v>
      </c>
      <c r="G990" s="12" t="n">
        <v>16.1</v>
      </c>
      <c r="H990" s="12" t="n">
        <v>36</v>
      </c>
      <c r="I990" s="12" t="n">
        <v>224</v>
      </c>
      <c r="J990" s="12" t="n">
        <v>4.9</v>
      </c>
      <c r="K990" s="12" t="n">
        <v>0</v>
      </c>
      <c r="L990" s="12" t="s">
        <v>35</v>
      </c>
    </row>
    <row r="991" customFormat="false" ht="15" hidden="false" customHeight="false" outlineLevel="0" collapsed="false">
      <c r="A991" s="11" t="n">
        <v>45186</v>
      </c>
      <c r="B991" s="12" t="n">
        <v>18.2</v>
      </c>
      <c r="C991" s="12" t="n">
        <f aca="false">IF(NOT(ISNUMBER(B991)),"",ROUND((INDEX(BP!$D$5:$D$9,MATCH(B991,BP!$A$5:$A$9,1))-INDEX(BP!$C$5:$C$9,MATCH(B991,BP!$A$5:$A$9,1)))/(INDEX(BP!$B$5:$B$9,MATCH(B991,BP!$A$5:$A$9,1))-INDEX(BP!$A$5:$A$9,MATCH(B991,BP!$A$5:$A$9,1)))*(B991-INDEX(BP!$A$5:$A$9,MATCH(B991,BP!$A$5:$A$9,1)))+INDEX(BP!$C$5:$C$9,MATCH(B991,BP!$A$5:$A$9,1)),0))</f>
        <v>34</v>
      </c>
      <c r="D991" s="12" t="str">
        <f aca="false">IF(NOT(ISNUMBER(C991)),"",INDEX(BP!$F$5:$F$9,MATCH(C991,BP!$E$5:$E$9,1)))</f>
        <v>ดี</v>
      </c>
      <c r="E991" s="12" t="n">
        <f aca="false">YEAR(A991)</f>
        <v>2023</v>
      </c>
      <c r="F991" s="12" t="n">
        <f aca="false">MONTH(A991)</f>
        <v>9</v>
      </c>
      <c r="G991" s="12" t="n">
        <v>10.7</v>
      </c>
      <c r="H991" s="12" t="n">
        <v>27.4</v>
      </c>
      <c r="I991" s="12" t="n">
        <v>203</v>
      </c>
      <c r="J991" s="12" t="n">
        <v>9.2</v>
      </c>
      <c r="K991" s="12" t="n">
        <v>0</v>
      </c>
      <c r="L991" s="12" t="s">
        <v>35</v>
      </c>
    </row>
    <row r="992" customFormat="false" ht="15" hidden="false" customHeight="false" outlineLevel="0" collapsed="false">
      <c r="A992" s="11" t="n">
        <v>45187</v>
      </c>
      <c r="B992" s="12" t="n">
        <v>19.1</v>
      </c>
      <c r="C992" s="12" t="n">
        <f aca="false">IF(NOT(ISNUMBER(B992)),"",ROUND((INDEX(BP!$D$5:$D$9,MATCH(B992,BP!$A$5:$A$9,1))-INDEX(BP!$C$5:$C$9,MATCH(B992,BP!$A$5:$A$9,1)))/(INDEX(BP!$B$5:$B$9,MATCH(B992,BP!$A$5:$A$9,1))-INDEX(BP!$A$5:$A$9,MATCH(B992,BP!$A$5:$A$9,1)))*(B992-INDEX(BP!$A$5:$A$9,MATCH(B992,BP!$A$5:$A$9,1)))+INDEX(BP!$C$5:$C$9,MATCH(B992,BP!$A$5:$A$9,1)),0))</f>
        <v>36</v>
      </c>
      <c r="D992" s="12" t="str">
        <f aca="false">IF(NOT(ISNUMBER(C992)),"",INDEX(BP!$F$5:$F$9,MATCH(C992,BP!$E$5:$E$9,1)))</f>
        <v>ดี</v>
      </c>
      <c r="E992" s="12" t="n">
        <f aca="false">YEAR(A992)</f>
        <v>2023</v>
      </c>
      <c r="F992" s="12" t="n">
        <f aca="false">MONTH(A992)</f>
        <v>9</v>
      </c>
      <c r="G992" s="12" t="n">
        <v>10.2</v>
      </c>
      <c r="H992" s="12" t="n">
        <v>26.6</v>
      </c>
      <c r="I992" s="12" t="n">
        <v>184</v>
      </c>
      <c r="J992" s="12" t="n">
        <v>9.6</v>
      </c>
      <c r="K992" s="12" t="n">
        <v>7.8</v>
      </c>
      <c r="L992" s="12" t="s">
        <v>36</v>
      </c>
    </row>
    <row r="993" customFormat="false" ht="15" hidden="false" customHeight="false" outlineLevel="0" collapsed="false">
      <c r="A993" s="11" t="n">
        <v>45188</v>
      </c>
      <c r="B993" s="12" t="n">
        <v>14</v>
      </c>
      <c r="C993" s="12" t="n">
        <f aca="false">IF(NOT(ISNUMBER(B993)),"",ROUND((INDEX(BP!$D$5:$D$9,MATCH(B993,BP!$A$5:$A$9,1))-INDEX(BP!$C$5:$C$9,MATCH(B993,BP!$A$5:$A$9,1)))/(INDEX(BP!$B$5:$B$9,MATCH(B993,BP!$A$5:$A$9,1))-INDEX(BP!$A$5:$A$9,MATCH(B993,BP!$A$5:$A$9,1)))*(B993-INDEX(BP!$A$5:$A$9,MATCH(B993,BP!$A$5:$A$9,1)))+INDEX(BP!$C$5:$C$9,MATCH(B993,BP!$A$5:$A$9,1)),0))</f>
        <v>23</v>
      </c>
      <c r="D993" s="12" t="str">
        <f aca="false">IF(NOT(ISNUMBER(C993)),"",INDEX(BP!$F$5:$F$9,MATCH(C993,BP!$E$5:$E$9,1)))</f>
        <v>ดีมาก</v>
      </c>
      <c r="E993" s="12" t="n">
        <f aca="false">YEAR(A993)</f>
        <v>2023</v>
      </c>
      <c r="F993" s="12" t="n">
        <f aca="false">MONTH(A993)</f>
        <v>9</v>
      </c>
      <c r="G993" s="12" t="n">
        <v>13.2</v>
      </c>
      <c r="H993" s="12" t="n">
        <v>29.9</v>
      </c>
      <c r="I993" s="12" t="n">
        <v>20</v>
      </c>
      <c r="J993" s="12" t="n">
        <v>5.1</v>
      </c>
      <c r="K993" s="12" t="n">
        <v>0.6</v>
      </c>
      <c r="L993" s="12" t="s">
        <v>36</v>
      </c>
    </row>
    <row r="994" customFormat="false" ht="15" hidden="false" customHeight="false" outlineLevel="0" collapsed="false">
      <c r="A994" s="11" t="n">
        <v>45189</v>
      </c>
      <c r="B994" s="12" t="n">
        <v>11.7</v>
      </c>
      <c r="C994" s="12" t="n">
        <f aca="false">IF(NOT(ISNUMBER(B994)),"",ROUND((INDEX(BP!$D$5:$D$9,MATCH(B994,BP!$A$5:$A$9,1))-INDEX(BP!$C$5:$C$9,MATCH(B994,BP!$A$5:$A$9,1)))/(INDEX(BP!$B$5:$B$9,MATCH(B994,BP!$A$5:$A$9,1))-INDEX(BP!$A$5:$A$9,MATCH(B994,BP!$A$5:$A$9,1)))*(B994-INDEX(BP!$A$5:$A$9,MATCH(B994,BP!$A$5:$A$9,1)))+INDEX(BP!$C$5:$C$9,MATCH(B994,BP!$A$5:$A$9,1)),0))</f>
        <v>20</v>
      </c>
      <c r="D994" s="12" t="str">
        <f aca="false">IF(NOT(ISNUMBER(C994)),"",INDEX(BP!$F$5:$F$9,MATCH(C994,BP!$E$5:$E$9,1)))</f>
        <v>ดีมาก</v>
      </c>
      <c r="E994" s="12" t="n">
        <f aca="false">YEAR(A994)</f>
        <v>2023</v>
      </c>
      <c r="F994" s="12" t="n">
        <f aca="false">MONTH(A994)</f>
        <v>9</v>
      </c>
      <c r="G994" s="12" t="n">
        <v>14.2</v>
      </c>
      <c r="H994" s="12" t="n">
        <v>34.9</v>
      </c>
      <c r="I994" s="12" t="n">
        <v>354</v>
      </c>
      <c r="J994" s="12" t="n">
        <v>2.3</v>
      </c>
      <c r="K994" s="12" t="n">
        <v>0</v>
      </c>
      <c r="L994" s="12" t="s">
        <v>36</v>
      </c>
    </row>
    <row r="995" customFormat="false" ht="15" hidden="false" customHeight="false" outlineLevel="0" collapsed="false">
      <c r="A995" s="11" t="n">
        <v>45190</v>
      </c>
      <c r="B995" s="12" t="n">
        <v>14.6</v>
      </c>
      <c r="C995" s="12" t="n">
        <f aca="false">IF(NOT(ISNUMBER(B995)),"",ROUND((INDEX(BP!$D$5:$D$9,MATCH(B995,BP!$A$5:$A$9,1))-INDEX(BP!$C$5:$C$9,MATCH(B995,BP!$A$5:$A$9,1)))/(INDEX(BP!$B$5:$B$9,MATCH(B995,BP!$A$5:$A$9,1))-INDEX(BP!$A$5:$A$9,MATCH(B995,BP!$A$5:$A$9,1)))*(B995-INDEX(BP!$A$5:$A$9,MATCH(B995,BP!$A$5:$A$9,1)))+INDEX(BP!$C$5:$C$9,MATCH(B995,BP!$A$5:$A$9,1)),0))</f>
        <v>24</v>
      </c>
      <c r="D995" s="12" t="str">
        <f aca="false">IF(NOT(ISNUMBER(C995)),"",INDEX(BP!$F$5:$F$9,MATCH(C995,BP!$E$5:$E$9,1)))</f>
        <v>ดีมาก</v>
      </c>
      <c r="E995" s="12" t="n">
        <f aca="false">YEAR(A995)</f>
        <v>2023</v>
      </c>
      <c r="F995" s="12" t="n">
        <f aca="false">MONTH(A995)</f>
        <v>9</v>
      </c>
      <c r="G995" s="12" t="n">
        <v>12</v>
      </c>
      <c r="H995" s="12" t="n">
        <v>29.2</v>
      </c>
      <c r="I995" s="12" t="n">
        <v>251</v>
      </c>
      <c r="J995" s="12" t="n">
        <v>7.7</v>
      </c>
      <c r="K995" s="12" t="n">
        <v>75.4</v>
      </c>
      <c r="L995" s="12" t="s">
        <v>36</v>
      </c>
    </row>
    <row r="996" customFormat="false" ht="15" hidden="false" customHeight="false" outlineLevel="0" collapsed="false">
      <c r="A996" s="11" t="n">
        <v>45191</v>
      </c>
      <c r="B996" s="12" t="n">
        <v>11.7</v>
      </c>
      <c r="C996" s="12" t="n">
        <f aca="false">IF(NOT(ISNUMBER(B996)),"",ROUND((INDEX(BP!$D$5:$D$9,MATCH(B996,BP!$A$5:$A$9,1))-INDEX(BP!$C$5:$C$9,MATCH(B996,BP!$A$5:$A$9,1)))/(INDEX(BP!$B$5:$B$9,MATCH(B996,BP!$A$5:$A$9,1))-INDEX(BP!$A$5:$A$9,MATCH(B996,BP!$A$5:$A$9,1)))*(B996-INDEX(BP!$A$5:$A$9,MATCH(B996,BP!$A$5:$A$9,1)))+INDEX(BP!$C$5:$C$9,MATCH(B996,BP!$A$5:$A$9,1)),0))</f>
        <v>20</v>
      </c>
      <c r="D996" s="12" t="str">
        <f aca="false">IF(NOT(ISNUMBER(C996)),"",INDEX(BP!$F$5:$F$9,MATCH(C996,BP!$E$5:$E$9,1)))</f>
        <v>ดีมาก</v>
      </c>
      <c r="E996" s="12" t="n">
        <f aca="false">YEAR(A996)</f>
        <v>2023</v>
      </c>
      <c r="F996" s="12" t="n">
        <f aca="false">MONTH(A996)</f>
        <v>9</v>
      </c>
      <c r="G996" s="12" t="n">
        <v>11.7</v>
      </c>
      <c r="H996" s="12" t="n">
        <v>28.1</v>
      </c>
      <c r="I996" s="12" t="n">
        <v>232</v>
      </c>
      <c r="J996" s="12" t="n">
        <v>3.9</v>
      </c>
      <c r="K996" s="12" t="n">
        <v>0</v>
      </c>
      <c r="L996" s="12" t="s">
        <v>36</v>
      </c>
    </row>
    <row r="997" customFormat="false" ht="15" hidden="false" customHeight="false" outlineLevel="0" collapsed="false">
      <c r="A997" s="11" t="n">
        <v>45192</v>
      </c>
      <c r="B997" s="12" t="n">
        <v>11.4</v>
      </c>
      <c r="C997" s="12" t="n">
        <f aca="false">IF(NOT(ISNUMBER(B997)),"",ROUND((INDEX(BP!$D$5:$D$9,MATCH(B997,BP!$A$5:$A$9,1))-INDEX(BP!$C$5:$C$9,MATCH(B997,BP!$A$5:$A$9,1)))/(INDEX(BP!$B$5:$B$9,MATCH(B997,BP!$A$5:$A$9,1))-INDEX(BP!$A$5:$A$9,MATCH(B997,BP!$A$5:$A$9,1)))*(B997-INDEX(BP!$A$5:$A$9,MATCH(B997,BP!$A$5:$A$9,1)))+INDEX(BP!$C$5:$C$9,MATCH(B997,BP!$A$5:$A$9,1)),0))</f>
        <v>19</v>
      </c>
      <c r="D997" s="12" t="str">
        <f aca="false">IF(NOT(ISNUMBER(C997)),"",INDEX(BP!$F$5:$F$9,MATCH(C997,BP!$E$5:$E$9,1)))</f>
        <v>ดีมาก</v>
      </c>
      <c r="E997" s="12" t="n">
        <f aca="false">YEAR(A997)</f>
        <v>2023</v>
      </c>
      <c r="F997" s="12" t="n">
        <f aca="false">MONTH(A997)</f>
        <v>9</v>
      </c>
      <c r="G997" s="12" t="n">
        <v>17.6</v>
      </c>
      <c r="H997" s="12" t="n">
        <v>37.8</v>
      </c>
      <c r="I997" s="12" t="n">
        <v>236</v>
      </c>
      <c r="J997" s="12" t="n">
        <v>6.3</v>
      </c>
      <c r="K997" s="12" t="n">
        <v>23.2</v>
      </c>
      <c r="L997" s="12" t="s">
        <v>35</v>
      </c>
    </row>
    <row r="998" customFormat="false" ht="15" hidden="false" customHeight="false" outlineLevel="0" collapsed="false">
      <c r="A998" s="11" t="n">
        <v>45193</v>
      </c>
      <c r="B998" s="12" t="n">
        <v>10.8</v>
      </c>
      <c r="C998" s="12" t="n">
        <f aca="false">IF(NOT(ISNUMBER(B998)),"",ROUND((INDEX(BP!$D$5:$D$9,MATCH(B998,BP!$A$5:$A$9,1))-INDEX(BP!$C$5:$C$9,MATCH(B998,BP!$A$5:$A$9,1)))/(INDEX(BP!$B$5:$B$9,MATCH(B998,BP!$A$5:$A$9,1))-INDEX(BP!$A$5:$A$9,MATCH(B998,BP!$A$5:$A$9,1)))*(B998-INDEX(BP!$A$5:$A$9,MATCH(B998,BP!$A$5:$A$9,1)))+INDEX(BP!$C$5:$C$9,MATCH(B998,BP!$A$5:$A$9,1)),0))</f>
        <v>18</v>
      </c>
      <c r="D998" s="12" t="str">
        <f aca="false">IF(NOT(ISNUMBER(C998)),"",INDEX(BP!$F$5:$F$9,MATCH(C998,BP!$E$5:$E$9,1)))</f>
        <v>ดีมาก</v>
      </c>
      <c r="E998" s="12" t="n">
        <f aca="false">YEAR(A998)</f>
        <v>2023</v>
      </c>
      <c r="F998" s="12" t="n">
        <f aca="false">MONTH(A998)</f>
        <v>9</v>
      </c>
      <c r="G998" s="12" t="n">
        <v>15.7</v>
      </c>
      <c r="H998" s="12" t="n">
        <v>29.2</v>
      </c>
      <c r="I998" s="12" t="n">
        <v>224</v>
      </c>
      <c r="J998" s="12" t="n">
        <v>11</v>
      </c>
      <c r="K998" s="12" t="n">
        <v>13</v>
      </c>
      <c r="L998" s="12" t="s">
        <v>35</v>
      </c>
    </row>
    <row r="999" customFormat="false" ht="15" hidden="false" customHeight="false" outlineLevel="0" collapsed="false">
      <c r="A999" s="11" t="n">
        <v>45194</v>
      </c>
      <c r="B999" s="12" t="n">
        <v>10.6</v>
      </c>
      <c r="C999" s="12" t="n">
        <f aca="false">IF(NOT(ISNUMBER(B999)),"",ROUND((INDEX(BP!$D$5:$D$9,MATCH(B999,BP!$A$5:$A$9,1))-INDEX(BP!$C$5:$C$9,MATCH(B999,BP!$A$5:$A$9,1)))/(INDEX(BP!$B$5:$B$9,MATCH(B999,BP!$A$5:$A$9,1))-INDEX(BP!$A$5:$A$9,MATCH(B999,BP!$A$5:$A$9,1)))*(B999-INDEX(BP!$A$5:$A$9,MATCH(B999,BP!$A$5:$A$9,1)))+INDEX(BP!$C$5:$C$9,MATCH(B999,BP!$A$5:$A$9,1)),0))</f>
        <v>18</v>
      </c>
      <c r="D999" s="12" t="str">
        <f aca="false">IF(NOT(ISNUMBER(C999)),"",INDEX(BP!$F$5:$F$9,MATCH(C999,BP!$E$5:$E$9,1)))</f>
        <v>ดีมาก</v>
      </c>
      <c r="E999" s="12" t="n">
        <f aca="false">YEAR(A999)</f>
        <v>2023</v>
      </c>
      <c r="F999" s="12" t="n">
        <f aca="false">MONTH(A999)</f>
        <v>9</v>
      </c>
      <c r="G999" s="12" t="n">
        <v>22.5</v>
      </c>
      <c r="H999" s="12" t="n">
        <v>54.4</v>
      </c>
      <c r="I999" s="12" t="n">
        <v>236</v>
      </c>
      <c r="J999" s="12" t="n">
        <v>11.9</v>
      </c>
      <c r="K999" s="12" t="n">
        <v>18</v>
      </c>
      <c r="L999" s="12" t="s">
        <v>36</v>
      </c>
    </row>
    <row r="1000" customFormat="false" ht="15" hidden="false" customHeight="false" outlineLevel="0" collapsed="false">
      <c r="A1000" s="11" t="n">
        <v>45195</v>
      </c>
      <c r="B1000" s="12" t="n">
        <v>10.2</v>
      </c>
      <c r="C1000" s="12" t="n">
        <f aca="false">IF(NOT(ISNUMBER(B1000)),"",ROUND((INDEX(BP!$D$5:$D$9,MATCH(B1000,BP!$A$5:$A$9,1))-INDEX(BP!$C$5:$C$9,MATCH(B1000,BP!$A$5:$A$9,1)))/(INDEX(BP!$B$5:$B$9,MATCH(B1000,BP!$A$5:$A$9,1))-INDEX(BP!$A$5:$A$9,MATCH(B1000,BP!$A$5:$A$9,1)))*(B1000-INDEX(BP!$A$5:$A$9,MATCH(B1000,BP!$A$5:$A$9,1)))+INDEX(BP!$C$5:$C$9,MATCH(B1000,BP!$A$5:$A$9,1)),0))</f>
        <v>17</v>
      </c>
      <c r="D1000" s="12" t="str">
        <f aca="false">IF(NOT(ISNUMBER(C1000)),"",INDEX(BP!$F$5:$F$9,MATCH(C1000,BP!$E$5:$E$9,1)))</f>
        <v>ดีมาก</v>
      </c>
      <c r="E1000" s="12" t="n">
        <f aca="false">YEAR(A1000)</f>
        <v>2023</v>
      </c>
      <c r="F1000" s="12" t="n">
        <f aca="false">MONTH(A1000)</f>
        <v>9</v>
      </c>
      <c r="G1000" s="12" t="n">
        <v>18.4</v>
      </c>
      <c r="H1000" s="12" t="n">
        <v>42.8</v>
      </c>
      <c r="I1000" s="12" t="n">
        <v>228</v>
      </c>
      <c r="J1000" s="12" t="n">
        <v>22.3</v>
      </c>
      <c r="K1000" s="12" t="n">
        <v>18.6</v>
      </c>
      <c r="L1000" s="12" t="s">
        <v>36</v>
      </c>
    </row>
    <row r="1001" customFormat="false" ht="15" hidden="false" customHeight="false" outlineLevel="0" collapsed="false">
      <c r="A1001" s="11" t="n">
        <v>45196</v>
      </c>
      <c r="B1001" s="12" t="n">
        <v>15.5</v>
      </c>
      <c r="C1001" s="12" t="n">
        <f aca="false">IF(NOT(ISNUMBER(B1001)),"",ROUND((INDEX(BP!$D$5:$D$9,MATCH(B1001,BP!$A$5:$A$9,1))-INDEX(BP!$C$5:$C$9,MATCH(B1001,BP!$A$5:$A$9,1)))/(INDEX(BP!$B$5:$B$9,MATCH(B1001,BP!$A$5:$A$9,1))-INDEX(BP!$A$5:$A$9,MATCH(B1001,BP!$A$5:$A$9,1)))*(B1001-INDEX(BP!$A$5:$A$9,MATCH(B1001,BP!$A$5:$A$9,1)))+INDEX(BP!$C$5:$C$9,MATCH(B1001,BP!$A$5:$A$9,1)),0))</f>
        <v>27</v>
      </c>
      <c r="D1001" s="12" t="str">
        <f aca="false">IF(NOT(ISNUMBER(C1001)),"",INDEX(BP!$F$5:$F$9,MATCH(C1001,BP!$E$5:$E$9,1)))</f>
        <v>ดี</v>
      </c>
      <c r="E1001" s="12" t="n">
        <f aca="false">YEAR(A1001)</f>
        <v>2023</v>
      </c>
      <c r="F1001" s="12" t="n">
        <f aca="false">MONTH(A1001)</f>
        <v>9</v>
      </c>
      <c r="G1001" s="12" t="n">
        <v>18.6</v>
      </c>
      <c r="H1001" s="12" t="n">
        <v>45.7</v>
      </c>
      <c r="I1001" s="12" t="n">
        <v>227</v>
      </c>
      <c r="J1001" s="12" t="n">
        <v>1.2</v>
      </c>
      <c r="K1001" s="12" t="n">
        <v>12</v>
      </c>
      <c r="L1001" s="12" t="s">
        <v>36</v>
      </c>
    </row>
    <row r="1002" customFormat="false" ht="15" hidden="false" customHeight="false" outlineLevel="0" collapsed="false">
      <c r="A1002" s="11" t="n">
        <v>45197</v>
      </c>
      <c r="B1002" s="12" t="n">
        <v>24.3</v>
      </c>
      <c r="C1002" s="12" t="n">
        <f aca="false">IF(NOT(ISNUMBER(B1002)),"",ROUND((INDEX(BP!$D$5:$D$9,MATCH(B1002,BP!$A$5:$A$9,1))-INDEX(BP!$C$5:$C$9,MATCH(B1002,BP!$A$5:$A$9,1)))/(INDEX(BP!$B$5:$B$9,MATCH(B1002,BP!$A$5:$A$9,1))-INDEX(BP!$A$5:$A$9,MATCH(B1002,BP!$A$5:$A$9,1)))*(B1002-INDEX(BP!$A$5:$A$9,MATCH(B1002,BP!$A$5:$A$9,1)))+INDEX(BP!$C$5:$C$9,MATCH(B1002,BP!$A$5:$A$9,1)),0))</f>
        <v>48</v>
      </c>
      <c r="D1002" s="12" t="str">
        <f aca="false">IF(NOT(ISNUMBER(C1002)),"",INDEX(BP!$F$5:$F$9,MATCH(C1002,BP!$E$5:$E$9,1)))</f>
        <v>ดี</v>
      </c>
      <c r="E1002" s="12" t="n">
        <f aca="false">YEAR(A1002)</f>
        <v>2023</v>
      </c>
      <c r="F1002" s="12" t="n">
        <f aca="false">MONTH(A1002)</f>
        <v>9</v>
      </c>
      <c r="G1002" s="12" t="n">
        <v>12.3</v>
      </c>
      <c r="H1002" s="12" t="n">
        <v>29.5</v>
      </c>
      <c r="I1002" s="12" t="n">
        <v>181</v>
      </c>
      <c r="J1002" s="12" t="n">
        <v>0.5</v>
      </c>
      <c r="K1002" s="12" t="n">
        <v>0</v>
      </c>
      <c r="L1002" s="12" t="s">
        <v>36</v>
      </c>
    </row>
    <row r="1003" customFormat="false" ht="15" hidden="false" customHeight="false" outlineLevel="0" collapsed="false">
      <c r="A1003" s="11" t="n">
        <v>45198</v>
      </c>
      <c r="B1003" s="12" t="n">
        <v>39.1</v>
      </c>
      <c r="C1003" s="12" t="n">
        <f aca="false">IF(NOT(ISNUMBER(B1003)),"",ROUND((INDEX(BP!$D$5:$D$9,MATCH(B1003,BP!$A$5:$A$9,1))-INDEX(BP!$C$5:$C$9,MATCH(B1003,BP!$A$5:$A$9,1)))/(INDEX(BP!$B$5:$B$9,MATCH(B1003,BP!$A$5:$A$9,1))-INDEX(BP!$A$5:$A$9,MATCH(B1003,BP!$A$5:$A$9,1)))*(B1003-INDEX(BP!$A$5:$A$9,MATCH(B1003,BP!$A$5:$A$9,1)))+INDEX(BP!$C$5:$C$9,MATCH(B1003,BP!$A$5:$A$9,1)),0))</f>
        <v>105</v>
      </c>
      <c r="D1003" s="12" t="str">
        <f aca="false">IF(NOT(ISNUMBER(C1003)),"",INDEX(BP!$F$5:$F$9,MATCH(C1003,BP!$E$5:$E$9,1)))</f>
        <v>เริ่มมีผลกระทบต่อสุขภาพ</v>
      </c>
      <c r="E1003" s="12" t="n">
        <f aca="false">YEAR(A1003)</f>
        <v>2023</v>
      </c>
      <c r="F1003" s="12" t="n">
        <f aca="false">MONTH(A1003)</f>
        <v>9</v>
      </c>
      <c r="G1003" s="12" t="n">
        <v>11.2</v>
      </c>
      <c r="H1003" s="12" t="n">
        <v>26.3</v>
      </c>
      <c r="I1003" s="12" t="n">
        <v>156</v>
      </c>
      <c r="J1003" s="12" t="n">
        <v>6.2</v>
      </c>
      <c r="K1003" s="12" t="n">
        <v>9.6</v>
      </c>
      <c r="L1003" s="12" t="s">
        <v>36</v>
      </c>
    </row>
    <row r="1004" customFormat="false" ht="15" hidden="false" customHeight="false" outlineLevel="0" collapsed="false">
      <c r="A1004" s="11" t="n">
        <v>45199</v>
      </c>
      <c r="B1004" s="12" t="n">
        <v>44.4</v>
      </c>
      <c r="C1004" s="12" t="n">
        <f aca="false">IF(NOT(ISNUMBER(B1004)),"",ROUND((INDEX(BP!$D$5:$D$9,MATCH(B1004,BP!$A$5:$A$9,1))-INDEX(BP!$C$5:$C$9,MATCH(B1004,BP!$A$5:$A$9,1)))/(INDEX(BP!$B$5:$B$9,MATCH(B1004,BP!$A$5:$A$9,1))-INDEX(BP!$A$5:$A$9,MATCH(B1004,BP!$A$5:$A$9,1)))*(B1004-INDEX(BP!$A$5:$A$9,MATCH(B1004,BP!$A$5:$A$9,1)))+INDEX(BP!$C$5:$C$9,MATCH(B1004,BP!$A$5:$A$9,1)),0))</f>
        <v>119</v>
      </c>
      <c r="D1004" s="12" t="str">
        <f aca="false">IF(NOT(ISNUMBER(C1004)),"",INDEX(BP!$F$5:$F$9,MATCH(C1004,BP!$E$5:$E$9,1)))</f>
        <v>เริ่มมีผลกระทบต่อสุขภาพ</v>
      </c>
      <c r="E1004" s="12" t="n">
        <f aca="false">YEAR(A1004)</f>
        <v>2023</v>
      </c>
      <c r="F1004" s="12" t="n">
        <f aca="false">MONTH(A1004)</f>
        <v>9</v>
      </c>
      <c r="G1004" s="12" t="n">
        <v>11.9</v>
      </c>
      <c r="H1004" s="12" t="n">
        <v>29.2</v>
      </c>
      <c r="I1004" s="12" t="n">
        <v>211</v>
      </c>
      <c r="J1004" s="12" t="n">
        <v>3.6</v>
      </c>
      <c r="K1004" s="12" t="n">
        <v>0</v>
      </c>
      <c r="L1004" s="12" t="s">
        <v>35</v>
      </c>
    </row>
    <row r="1005" customFormat="false" ht="15" hidden="false" customHeight="false" outlineLevel="0" collapsed="false">
      <c r="A1005" s="11" t="n">
        <v>45200</v>
      </c>
      <c r="B1005" s="12" t="n">
        <v>37.2</v>
      </c>
      <c r="C1005" s="12" t="n">
        <f aca="false">IF(NOT(ISNUMBER(B1005)),"",ROUND((INDEX(BP!$D$5:$D$9,MATCH(B1005,BP!$A$5:$A$9,1))-INDEX(BP!$C$5:$C$9,MATCH(B1005,BP!$A$5:$A$9,1)))/(INDEX(BP!$B$5:$B$9,MATCH(B1005,BP!$A$5:$A$9,1))-INDEX(BP!$A$5:$A$9,MATCH(B1005,BP!$A$5:$A$9,1)))*(B1005-INDEX(BP!$A$5:$A$9,MATCH(B1005,BP!$A$5:$A$9,1)))+INDEX(BP!$C$5:$C$9,MATCH(B1005,BP!$A$5:$A$9,1)),0))</f>
        <v>99</v>
      </c>
      <c r="D1005" s="12" t="str">
        <f aca="false">IF(NOT(ISNUMBER(C1005)),"",INDEX(BP!$F$5:$F$9,MATCH(C1005,BP!$E$5:$E$9,1)))</f>
        <v>ปานกลาง</v>
      </c>
      <c r="E1005" s="12" t="n">
        <f aca="false">YEAR(A1005)</f>
        <v>2023</v>
      </c>
      <c r="F1005" s="12" t="n">
        <f aca="false">MONTH(A1005)</f>
        <v>10</v>
      </c>
      <c r="G1005" s="12" t="n">
        <v>15.8</v>
      </c>
      <c r="H1005" s="12" t="n">
        <v>34.9</v>
      </c>
      <c r="I1005" s="12" t="n">
        <v>202</v>
      </c>
      <c r="J1005" s="12" t="n">
        <v>3.8</v>
      </c>
      <c r="K1005" s="12" t="n">
        <v>0</v>
      </c>
      <c r="L1005" s="12" t="s">
        <v>35</v>
      </c>
    </row>
    <row r="1006" customFormat="false" ht="15" hidden="false" customHeight="false" outlineLevel="0" collapsed="false">
      <c r="A1006" s="11" t="n">
        <v>45201</v>
      </c>
      <c r="B1006" s="12" t="n">
        <v>27.2</v>
      </c>
      <c r="C1006" s="12" t="n">
        <f aca="false">IF(NOT(ISNUMBER(B1006)),"",ROUND((INDEX(BP!$D$5:$D$9,MATCH(B1006,BP!$A$5:$A$9,1))-INDEX(BP!$C$5:$C$9,MATCH(B1006,BP!$A$5:$A$9,1)))/(INDEX(BP!$B$5:$B$9,MATCH(B1006,BP!$A$5:$A$9,1))-INDEX(BP!$A$5:$A$9,MATCH(B1006,BP!$A$5:$A$9,1)))*(B1006-INDEX(BP!$A$5:$A$9,MATCH(B1006,BP!$A$5:$A$9,1)))+INDEX(BP!$C$5:$C$9,MATCH(B1006,BP!$A$5:$A$9,1)),0))</f>
        <v>59</v>
      </c>
      <c r="D1006" s="12" t="str">
        <f aca="false">IF(NOT(ISNUMBER(C1006)),"",INDEX(BP!$F$5:$F$9,MATCH(C1006,BP!$E$5:$E$9,1)))</f>
        <v>ปานกลาง</v>
      </c>
      <c r="E1006" s="12" t="n">
        <f aca="false">YEAR(A1006)</f>
        <v>2023</v>
      </c>
      <c r="F1006" s="12" t="n">
        <f aca="false">MONTH(A1006)</f>
        <v>10</v>
      </c>
      <c r="G1006" s="12" t="n">
        <v>11</v>
      </c>
      <c r="H1006" s="12" t="n">
        <v>28.4</v>
      </c>
      <c r="I1006" s="12" t="n">
        <v>249</v>
      </c>
      <c r="J1006" s="12" t="n">
        <v>0.3</v>
      </c>
      <c r="K1006" s="12" t="n">
        <v>0</v>
      </c>
      <c r="L1006" s="12" t="s">
        <v>36</v>
      </c>
    </row>
    <row r="1007" customFormat="false" ht="15" hidden="false" customHeight="false" outlineLevel="0" collapsed="false">
      <c r="A1007" s="11" t="n">
        <v>45202</v>
      </c>
      <c r="B1007" s="12" t="n">
        <v>15.5</v>
      </c>
      <c r="C1007" s="12" t="n">
        <f aca="false">IF(NOT(ISNUMBER(B1007)),"",ROUND((INDEX(BP!$D$5:$D$9,MATCH(B1007,BP!$A$5:$A$9,1))-INDEX(BP!$C$5:$C$9,MATCH(B1007,BP!$A$5:$A$9,1)))/(INDEX(BP!$B$5:$B$9,MATCH(B1007,BP!$A$5:$A$9,1))-INDEX(BP!$A$5:$A$9,MATCH(B1007,BP!$A$5:$A$9,1)))*(B1007-INDEX(BP!$A$5:$A$9,MATCH(B1007,BP!$A$5:$A$9,1)))+INDEX(BP!$C$5:$C$9,MATCH(B1007,BP!$A$5:$A$9,1)),0))</f>
        <v>27</v>
      </c>
      <c r="D1007" s="12" t="str">
        <f aca="false">IF(NOT(ISNUMBER(C1007)),"",INDEX(BP!$F$5:$F$9,MATCH(C1007,BP!$E$5:$E$9,1)))</f>
        <v>ดี</v>
      </c>
      <c r="E1007" s="12" t="n">
        <f aca="false">YEAR(A1007)</f>
        <v>2023</v>
      </c>
      <c r="F1007" s="12" t="n">
        <f aca="false">MONTH(A1007)</f>
        <v>10</v>
      </c>
      <c r="G1007" s="12" t="n">
        <v>16.1</v>
      </c>
      <c r="H1007" s="12" t="n">
        <v>33.5</v>
      </c>
      <c r="I1007" s="12" t="n">
        <v>217</v>
      </c>
      <c r="J1007" s="12" t="n">
        <v>9.4</v>
      </c>
      <c r="K1007" s="12" t="n">
        <v>0</v>
      </c>
      <c r="L1007" s="12" t="s">
        <v>36</v>
      </c>
    </row>
    <row r="1008" customFormat="false" ht="15" hidden="false" customHeight="false" outlineLevel="0" collapsed="false">
      <c r="A1008" s="11" t="n">
        <v>45203</v>
      </c>
      <c r="B1008" s="12" t="n">
        <v>13.2</v>
      </c>
      <c r="C1008" s="12" t="n">
        <f aca="false">IF(NOT(ISNUMBER(B1008)),"",ROUND((INDEX(BP!$D$5:$D$9,MATCH(B1008,BP!$A$5:$A$9,1))-INDEX(BP!$C$5:$C$9,MATCH(B1008,BP!$A$5:$A$9,1)))/(INDEX(BP!$B$5:$B$9,MATCH(B1008,BP!$A$5:$A$9,1))-INDEX(BP!$A$5:$A$9,MATCH(B1008,BP!$A$5:$A$9,1)))*(B1008-INDEX(BP!$A$5:$A$9,MATCH(B1008,BP!$A$5:$A$9,1)))+INDEX(BP!$C$5:$C$9,MATCH(B1008,BP!$A$5:$A$9,1)),0))</f>
        <v>22</v>
      </c>
      <c r="D1008" s="12" t="str">
        <f aca="false">IF(NOT(ISNUMBER(C1008)),"",INDEX(BP!$F$5:$F$9,MATCH(C1008,BP!$E$5:$E$9,1)))</f>
        <v>ดีมาก</v>
      </c>
      <c r="E1008" s="12" t="n">
        <f aca="false">YEAR(A1008)</f>
        <v>2023</v>
      </c>
      <c r="F1008" s="12" t="n">
        <f aca="false">MONTH(A1008)</f>
        <v>10</v>
      </c>
      <c r="G1008" s="12" t="n">
        <v>13.3</v>
      </c>
      <c r="H1008" s="12" t="n">
        <v>29.9</v>
      </c>
      <c r="I1008" s="12" t="n">
        <v>265</v>
      </c>
      <c r="J1008" s="12" t="n">
        <v>18.8</v>
      </c>
      <c r="K1008" s="12" t="n">
        <v>14.2</v>
      </c>
      <c r="L1008" s="12" t="s">
        <v>36</v>
      </c>
    </row>
    <row r="1009" customFormat="false" ht="15" hidden="false" customHeight="false" outlineLevel="0" collapsed="false">
      <c r="A1009" s="11" t="n">
        <v>45204</v>
      </c>
      <c r="B1009" s="12" t="n">
        <v>13.5</v>
      </c>
      <c r="C1009" s="12" t="n">
        <f aca="false">IF(NOT(ISNUMBER(B1009)),"",ROUND((INDEX(BP!$D$5:$D$9,MATCH(B1009,BP!$A$5:$A$9,1))-INDEX(BP!$C$5:$C$9,MATCH(B1009,BP!$A$5:$A$9,1)))/(INDEX(BP!$B$5:$B$9,MATCH(B1009,BP!$A$5:$A$9,1))-INDEX(BP!$A$5:$A$9,MATCH(B1009,BP!$A$5:$A$9,1)))*(B1009-INDEX(BP!$A$5:$A$9,MATCH(B1009,BP!$A$5:$A$9,1)))+INDEX(BP!$C$5:$C$9,MATCH(B1009,BP!$A$5:$A$9,1)),0))</f>
        <v>23</v>
      </c>
      <c r="D1009" s="12" t="str">
        <f aca="false">IF(NOT(ISNUMBER(C1009)),"",INDEX(BP!$F$5:$F$9,MATCH(C1009,BP!$E$5:$E$9,1)))</f>
        <v>ดีมาก</v>
      </c>
      <c r="E1009" s="12" t="n">
        <f aca="false">YEAR(A1009)</f>
        <v>2023</v>
      </c>
      <c r="F1009" s="12" t="n">
        <f aca="false">MONTH(A1009)</f>
        <v>10</v>
      </c>
      <c r="G1009" s="12" t="n">
        <v>13.1</v>
      </c>
      <c r="H1009" s="12" t="n">
        <v>34.2</v>
      </c>
      <c r="I1009" s="12" t="n">
        <v>232</v>
      </c>
      <c r="J1009" s="12" t="n">
        <v>14.3</v>
      </c>
      <c r="K1009" s="12" t="n">
        <v>0.4</v>
      </c>
      <c r="L1009" s="12" t="s">
        <v>36</v>
      </c>
    </row>
    <row r="1010" customFormat="false" ht="15" hidden="false" customHeight="false" outlineLevel="0" collapsed="false">
      <c r="A1010" s="11" t="n">
        <v>45205</v>
      </c>
      <c r="B1010" s="12" t="n">
        <v>12.4</v>
      </c>
      <c r="C1010" s="12" t="n">
        <f aca="false">IF(NOT(ISNUMBER(B1010)),"",ROUND((INDEX(BP!$D$5:$D$9,MATCH(B1010,BP!$A$5:$A$9,1))-INDEX(BP!$C$5:$C$9,MATCH(B1010,BP!$A$5:$A$9,1)))/(INDEX(BP!$B$5:$B$9,MATCH(B1010,BP!$A$5:$A$9,1))-INDEX(BP!$A$5:$A$9,MATCH(B1010,BP!$A$5:$A$9,1)))*(B1010-INDEX(BP!$A$5:$A$9,MATCH(B1010,BP!$A$5:$A$9,1)))+INDEX(BP!$C$5:$C$9,MATCH(B1010,BP!$A$5:$A$9,1)),0))</f>
        <v>21</v>
      </c>
      <c r="D1010" s="12" t="str">
        <f aca="false">IF(NOT(ISNUMBER(C1010)),"",INDEX(BP!$F$5:$F$9,MATCH(C1010,BP!$E$5:$E$9,1)))</f>
        <v>ดีมาก</v>
      </c>
      <c r="E1010" s="12" t="n">
        <f aca="false">YEAR(A1010)</f>
        <v>2023</v>
      </c>
      <c r="F1010" s="12" t="n">
        <f aca="false">MONTH(A1010)</f>
        <v>10</v>
      </c>
      <c r="G1010" s="12" t="n">
        <v>10.8</v>
      </c>
      <c r="H1010" s="12" t="n">
        <v>27.7</v>
      </c>
      <c r="I1010" s="12" t="n">
        <v>214</v>
      </c>
      <c r="J1010" s="12" t="n">
        <v>5.5</v>
      </c>
      <c r="K1010" s="12" t="n">
        <v>0</v>
      </c>
      <c r="L1010" s="12" t="s">
        <v>36</v>
      </c>
    </row>
    <row r="1011" customFormat="false" ht="15" hidden="false" customHeight="false" outlineLevel="0" collapsed="false">
      <c r="A1011" s="11" t="n">
        <v>45206</v>
      </c>
      <c r="B1011" s="12" t="n">
        <v>15.1</v>
      </c>
      <c r="C1011" s="12" t="n">
        <f aca="false">IF(NOT(ISNUMBER(B1011)),"",ROUND((INDEX(BP!$D$5:$D$9,MATCH(B1011,BP!$A$5:$A$9,1))-INDEX(BP!$C$5:$C$9,MATCH(B1011,BP!$A$5:$A$9,1)))/(INDEX(BP!$B$5:$B$9,MATCH(B1011,BP!$A$5:$A$9,1))-INDEX(BP!$A$5:$A$9,MATCH(B1011,BP!$A$5:$A$9,1)))*(B1011-INDEX(BP!$A$5:$A$9,MATCH(B1011,BP!$A$5:$A$9,1)))+INDEX(BP!$C$5:$C$9,MATCH(B1011,BP!$A$5:$A$9,1)),0))</f>
        <v>26</v>
      </c>
      <c r="D1011" s="12" t="str">
        <f aca="false">IF(NOT(ISNUMBER(C1011)),"",INDEX(BP!$F$5:$F$9,MATCH(C1011,BP!$E$5:$E$9,1)))</f>
        <v>ดี</v>
      </c>
      <c r="E1011" s="12" t="n">
        <f aca="false">YEAR(A1011)</f>
        <v>2023</v>
      </c>
      <c r="F1011" s="12" t="n">
        <f aca="false">MONTH(A1011)</f>
        <v>10</v>
      </c>
      <c r="G1011" s="12" t="n">
        <v>13.5</v>
      </c>
      <c r="H1011" s="12" t="n">
        <v>31.7</v>
      </c>
      <c r="I1011" s="12" t="n">
        <v>202</v>
      </c>
      <c r="J1011" s="12" t="n">
        <v>14.4</v>
      </c>
      <c r="K1011" s="12" t="n">
        <v>3.6</v>
      </c>
      <c r="L1011" s="12" t="s">
        <v>35</v>
      </c>
    </row>
    <row r="1012" customFormat="false" ht="15" hidden="false" customHeight="false" outlineLevel="0" collapsed="false">
      <c r="A1012" s="11" t="n">
        <v>45207</v>
      </c>
      <c r="B1012" s="12" t="n">
        <v>21.2</v>
      </c>
      <c r="C1012" s="12" t="n">
        <f aca="false">IF(NOT(ISNUMBER(B1012)),"",ROUND((INDEX(BP!$D$5:$D$9,MATCH(B1012,BP!$A$5:$A$9,1))-INDEX(BP!$C$5:$C$9,MATCH(B1012,BP!$A$5:$A$9,1)))/(INDEX(BP!$B$5:$B$9,MATCH(B1012,BP!$A$5:$A$9,1))-INDEX(BP!$A$5:$A$9,MATCH(B1012,BP!$A$5:$A$9,1)))*(B1012-INDEX(BP!$A$5:$A$9,MATCH(B1012,BP!$A$5:$A$9,1)))+INDEX(BP!$C$5:$C$9,MATCH(B1012,BP!$A$5:$A$9,1)),0))</f>
        <v>41</v>
      </c>
      <c r="D1012" s="12" t="str">
        <f aca="false">IF(NOT(ISNUMBER(C1012)),"",INDEX(BP!$F$5:$F$9,MATCH(C1012,BP!$E$5:$E$9,1)))</f>
        <v>ดี</v>
      </c>
      <c r="E1012" s="12" t="n">
        <f aca="false">YEAR(A1012)</f>
        <v>2023</v>
      </c>
      <c r="F1012" s="12" t="n">
        <f aca="false">MONTH(A1012)</f>
        <v>10</v>
      </c>
      <c r="G1012" s="12" t="n">
        <v>13.8</v>
      </c>
      <c r="H1012" s="12" t="n">
        <v>35.6</v>
      </c>
      <c r="I1012" s="12" t="n">
        <v>151</v>
      </c>
      <c r="J1012" s="12" t="n">
        <v>30.3</v>
      </c>
      <c r="K1012" s="12" t="n">
        <v>0</v>
      </c>
      <c r="L1012" s="12" t="s">
        <v>35</v>
      </c>
    </row>
    <row r="1013" customFormat="false" ht="15" hidden="false" customHeight="false" outlineLevel="0" collapsed="false">
      <c r="A1013" s="11" t="n">
        <v>45208</v>
      </c>
      <c r="B1013" s="12" t="n">
        <v>23.6</v>
      </c>
      <c r="C1013" s="12" t="n">
        <f aca="false">IF(NOT(ISNUMBER(B1013)),"",ROUND((INDEX(BP!$D$5:$D$9,MATCH(B1013,BP!$A$5:$A$9,1))-INDEX(BP!$C$5:$C$9,MATCH(B1013,BP!$A$5:$A$9,1)))/(INDEX(BP!$B$5:$B$9,MATCH(B1013,BP!$A$5:$A$9,1))-INDEX(BP!$A$5:$A$9,MATCH(B1013,BP!$A$5:$A$9,1)))*(B1013-INDEX(BP!$A$5:$A$9,MATCH(B1013,BP!$A$5:$A$9,1)))+INDEX(BP!$C$5:$C$9,MATCH(B1013,BP!$A$5:$A$9,1)),0))</f>
        <v>47</v>
      </c>
      <c r="D1013" s="12" t="str">
        <f aca="false">IF(NOT(ISNUMBER(C1013)),"",INDEX(BP!$F$5:$F$9,MATCH(C1013,BP!$E$5:$E$9,1)))</f>
        <v>ดี</v>
      </c>
      <c r="E1013" s="12" t="n">
        <f aca="false">YEAR(A1013)</f>
        <v>2023</v>
      </c>
      <c r="F1013" s="12" t="n">
        <f aca="false">MONTH(A1013)</f>
        <v>10</v>
      </c>
      <c r="G1013" s="12" t="n">
        <v>8.2</v>
      </c>
      <c r="H1013" s="12" t="n">
        <v>24.8</v>
      </c>
      <c r="I1013" s="12" t="n">
        <v>225</v>
      </c>
      <c r="J1013" s="12" t="n">
        <v>5.1</v>
      </c>
      <c r="K1013" s="12" t="n">
        <v>0.2</v>
      </c>
      <c r="L1013" s="12" t="s">
        <v>36</v>
      </c>
    </row>
    <row r="1014" customFormat="false" ht="15" hidden="false" customHeight="false" outlineLevel="0" collapsed="false">
      <c r="A1014" s="11" t="n">
        <v>45209</v>
      </c>
      <c r="B1014" s="12" t="n">
        <v>19.7</v>
      </c>
      <c r="C1014" s="12" t="n">
        <f aca="false">IF(NOT(ISNUMBER(B1014)),"",ROUND((INDEX(BP!$D$5:$D$9,MATCH(B1014,BP!$A$5:$A$9,1))-INDEX(BP!$C$5:$C$9,MATCH(B1014,BP!$A$5:$A$9,1)))/(INDEX(BP!$B$5:$B$9,MATCH(B1014,BP!$A$5:$A$9,1))-INDEX(BP!$A$5:$A$9,MATCH(B1014,BP!$A$5:$A$9,1)))*(B1014-INDEX(BP!$A$5:$A$9,MATCH(B1014,BP!$A$5:$A$9,1)))+INDEX(BP!$C$5:$C$9,MATCH(B1014,BP!$A$5:$A$9,1)),0))</f>
        <v>37</v>
      </c>
      <c r="D1014" s="12" t="str">
        <f aca="false">IF(NOT(ISNUMBER(C1014)),"",INDEX(BP!$F$5:$F$9,MATCH(C1014,BP!$E$5:$E$9,1)))</f>
        <v>ดี</v>
      </c>
      <c r="E1014" s="12" t="n">
        <f aca="false">YEAR(A1014)</f>
        <v>2023</v>
      </c>
      <c r="F1014" s="12" t="n">
        <f aca="false">MONTH(A1014)</f>
        <v>10</v>
      </c>
      <c r="G1014" s="12" t="n">
        <v>9.6</v>
      </c>
      <c r="H1014" s="12" t="n">
        <v>26.3</v>
      </c>
      <c r="I1014" s="12" t="n">
        <v>209</v>
      </c>
      <c r="J1014" s="12" t="n">
        <v>9</v>
      </c>
      <c r="K1014" s="12" t="n">
        <v>0</v>
      </c>
      <c r="L1014" s="12" t="s">
        <v>36</v>
      </c>
    </row>
    <row r="1015" customFormat="false" ht="15" hidden="false" customHeight="false" outlineLevel="0" collapsed="false">
      <c r="A1015" s="11" t="n">
        <v>45210</v>
      </c>
      <c r="B1015" s="12" t="n">
        <v>15.5</v>
      </c>
      <c r="C1015" s="12" t="n">
        <f aca="false">IF(NOT(ISNUMBER(B1015)),"",ROUND((INDEX(BP!$D$5:$D$9,MATCH(B1015,BP!$A$5:$A$9,1))-INDEX(BP!$C$5:$C$9,MATCH(B1015,BP!$A$5:$A$9,1)))/(INDEX(BP!$B$5:$B$9,MATCH(B1015,BP!$A$5:$A$9,1))-INDEX(BP!$A$5:$A$9,MATCH(B1015,BP!$A$5:$A$9,1)))*(B1015-INDEX(BP!$A$5:$A$9,MATCH(B1015,BP!$A$5:$A$9,1)))+INDEX(BP!$C$5:$C$9,MATCH(B1015,BP!$A$5:$A$9,1)),0))</f>
        <v>27</v>
      </c>
      <c r="D1015" s="12" t="str">
        <f aca="false">IF(NOT(ISNUMBER(C1015)),"",INDEX(BP!$F$5:$F$9,MATCH(C1015,BP!$E$5:$E$9,1)))</f>
        <v>ดี</v>
      </c>
      <c r="E1015" s="12" t="n">
        <f aca="false">YEAR(A1015)</f>
        <v>2023</v>
      </c>
      <c r="F1015" s="12" t="n">
        <f aca="false">MONTH(A1015)</f>
        <v>10</v>
      </c>
      <c r="G1015" s="12" t="n">
        <v>11.8</v>
      </c>
      <c r="H1015" s="12" t="n">
        <v>28.4</v>
      </c>
      <c r="I1015" s="12" t="n">
        <v>196</v>
      </c>
      <c r="J1015" s="12" t="n">
        <v>3.4</v>
      </c>
      <c r="K1015" s="12" t="n">
        <v>39.2</v>
      </c>
      <c r="L1015" s="12" t="s">
        <v>36</v>
      </c>
    </row>
    <row r="1016" customFormat="false" ht="15" hidden="false" customHeight="false" outlineLevel="0" collapsed="false">
      <c r="A1016" s="11" t="n">
        <v>45211</v>
      </c>
      <c r="B1016" s="12" t="n">
        <v>12.4</v>
      </c>
      <c r="C1016" s="12" t="n">
        <f aca="false">IF(NOT(ISNUMBER(B1016)),"",ROUND((INDEX(BP!$D$5:$D$9,MATCH(B1016,BP!$A$5:$A$9,1))-INDEX(BP!$C$5:$C$9,MATCH(B1016,BP!$A$5:$A$9,1)))/(INDEX(BP!$B$5:$B$9,MATCH(B1016,BP!$A$5:$A$9,1))-INDEX(BP!$A$5:$A$9,MATCH(B1016,BP!$A$5:$A$9,1)))*(B1016-INDEX(BP!$A$5:$A$9,MATCH(B1016,BP!$A$5:$A$9,1)))+INDEX(BP!$C$5:$C$9,MATCH(B1016,BP!$A$5:$A$9,1)),0))</f>
        <v>21</v>
      </c>
      <c r="D1016" s="12" t="str">
        <f aca="false">IF(NOT(ISNUMBER(C1016)),"",INDEX(BP!$F$5:$F$9,MATCH(C1016,BP!$E$5:$E$9,1)))</f>
        <v>ดีมาก</v>
      </c>
      <c r="E1016" s="12" t="n">
        <f aca="false">YEAR(A1016)</f>
        <v>2023</v>
      </c>
      <c r="F1016" s="12" t="n">
        <f aca="false">MONTH(A1016)</f>
        <v>10</v>
      </c>
      <c r="G1016" s="12" t="n">
        <v>11.7</v>
      </c>
      <c r="H1016" s="12" t="n">
        <v>25.9</v>
      </c>
      <c r="I1016" s="12" t="n">
        <v>270</v>
      </c>
      <c r="J1016" s="12" t="n">
        <v>8.6</v>
      </c>
      <c r="K1016" s="12" t="n">
        <v>26.5</v>
      </c>
      <c r="L1016" s="12" t="s">
        <v>36</v>
      </c>
    </row>
    <row r="1017" customFormat="false" ht="15" hidden="false" customHeight="false" outlineLevel="0" collapsed="false">
      <c r="A1017" s="11" t="n">
        <v>45212</v>
      </c>
      <c r="B1017" s="12" t="n">
        <v>11.7</v>
      </c>
      <c r="C1017" s="12" t="n">
        <f aca="false">IF(NOT(ISNUMBER(B1017)),"",ROUND((INDEX(BP!$D$5:$D$9,MATCH(B1017,BP!$A$5:$A$9,1))-INDEX(BP!$C$5:$C$9,MATCH(B1017,BP!$A$5:$A$9,1)))/(INDEX(BP!$B$5:$B$9,MATCH(B1017,BP!$A$5:$A$9,1))-INDEX(BP!$A$5:$A$9,MATCH(B1017,BP!$A$5:$A$9,1)))*(B1017-INDEX(BP!$A$5:$A$9,MATCH(B1017,BP!$A$5:$A$9,1)))+INDEX(BP!$C$5:$C$9,MATCH(B1017,BP!$A$5:$A$9,1)),0))</f>
        <v>20</v>
      </c>
      <c r="D1017" s="12" t="str">
        <f aca="false">IF(NOT(ISNUMBER(C1017)),"",INDEX(BP!$F$5:$F$9,MATCH(C1017,BP!$E$5:$E$9,1)))</f>
        <v>ดีมาก</v>
      </c>
      <c r="E1017" s="12" t="n">
        <f aca="false">YEAR(A1017)</f>
        <v>2023</v>
      </c>
      <c r="F1017" s="12" t="n">
        <f aca="false">MONTH(A1017)</f>
        <v>10</v>
      </c>
      <c r="G1017" s="12" t="n">
        <v>11.8</v>
      </c>
      <c r="H1017" s="12" t="n">
        <v>23.8</v>
      </c>
      <c r="I1017" s="12" t="n">
        <v>278</v>
      </c>
      <c r="J1017" s="12" t="n">
        <v>8.8</v>
      </c>
      <c r="K1017" s="12" t="n">
        <v>17.6</v>
      </c>
      <c r="L1017" s="12" t="s">
        <v>34</v>
      </c>
    </row>
    <row r="1018" customFormat="false" ht="15" hidden="false" customHeight="false" outlineLevel="0" collapsed="false">
      <c r="A1018" s="11" t="n">
        <v>45213</v>
      </c>
      <c r="B1018" s="12" t="n">
        <v>12</v>
      </c>
      <c r="C1018" s="12" t="n">
        <f aca="false">IF(NOT(ISNUMBER(B1018)),"",ROUND((INDEX(BP!$D$5:$D$9,MATCH(B1018,BP!$A$5:$A$9,1))-INDEX(BP!$C$5:$C$9,MATCH(B1018,BP!$A$5:$A$9,1)))/(INDEX(BP!$B$5:$B$9,MATCH(B1018,BP!$A$5:$A$9,1))-INDEX(BP!$A$5:$A$9,MATCH(B1018,BP!$A$5:$A$9,1)))*(B1018-INDEX(BP!$A$5:$A$9,MATCH(B1018,BP!$A$5:$A$9,1)))+INDEX(BP!$C$5:$C$9,MATCH(B1018,BP!$A$5:$A$9,1)),0))</f>
        <v>20</v>
      </c>
      <c r="D1018" s="12" t="str">
        <f aca="false">IF(NOT(ISNUMBER(C1018)),"",INDEX(BP!$F$5:$F$9,MATCH(C1018,BP!$E$5:$E$9,1)))</f>
        <v>ดีมาก</v>
      </c>
      <c r="E1018" s="12" t="n">
        <f aca="false">YEAR(A1018)</f>
        <v>2023</v>
      </c>
      <c r="F1018" s="12" t="n">
        <f aca="false">MONTH(A1018)</f>
        <v>10</v>
      </c>
      <c r="G1018" s="12" t="n">
        <v>15.1</v>
      </c>
      <c r="H1018" s="12" t="n">
        <v>33.8</v>
      </c>
      <c r="I1018" s="12" t="n">
        <v>236</v>
      </c>
      <c r="J1018" s="12" t="n">
        <v>2.4</v>
      </c>
      <c r="K1018" s="12" t="n">
        <v>0</v>
      </c>
      <c r="L1018" s="12" t="s">
        <v>35</v>
      </c>
    </row>
    <row r="1019" customFormat="false" ht="15" hidden="false" customHeight="false" outlineLevel="0" collapsed="false">
      <c r="A1019" s="11" t="n">
        <v>45214</v>
      </c>
      <c r="B1019" s="12" t="n">
        <v>10.3</v>
      </c>
      <c r="C1019" s="12" t="n">
        <f aca="false">IF(NOT(ISNUMBER(B1019)),"",ROUND((INDEX(BP!$D$5:$D$9,MATCH(B1019,BP!$A$5:$A$9,1))-INDEX(BP!$C$5:$C$9,MATCH(B1019,BP!$A$5:$A$9,1)))/(INDEX(BP!$B$5:$B$9,MATCH(B1019,BP!$A$5:$A$9,1))-INDEX(BP!$A$5:$A$9,MATCH(B1019,BP!$A$5:$A$9,1)))*(B1019-INDEX(BP!$A$5:$A$9,MATCH(B1019,BP!$A$5:$A$9,1)))+INDEX(BP!$C$5:$C$9,MATCH(B1019,BP!$A$5:$A$9,1)),0))</f>
        <v>17</v>
      </c>
      <c r="D1019" s="12" t="str">
        <f aca="false">IF(NOT(ISNUMBER(C1019)),"",INDEX(BP!$F$5:$F$9,MATCH(C1019,BP!$E$5:$E$9,1)))</f>
        <v>ดีมาก</v>
      </c>
      <c r="E1019" s="12" t="n">
        <f aca="false">YEAR(A1019)</f>
        <v>2023</v>
      </c>
      <c r="F1019" s="12" t="n">
        <f aca="false">MONTH(A1019)</f>
        <v>10</v>
      </c>
      <c r="G1019" s="12" t="n">
        <v>18.1</v>
      </c>
      <c r="H1019" s="12" t="n">
        <v>37.4</v>
      </c>
      <c r="I1019" s="12" t="n">
        <v>219</v>
      </c>
      <c r="J1019" s="12" t="n">
        <v>16.6</v>
      </c>
      <c r="K1019" s="12" t="n">
        <v>17.2</v>
      </c>
      <c r="L1019" s="12" t="s">
        <v>35</v>
      </c>
    </row>
    <row r="1020" customFormat="false" ht="15" hidden="false" customHeight="false" outlineLevel="0" collapsed="false">
      <c r="A1020" s="11" t="n">
        <v>45215</v>
      </c>
      <c r="B1020" s="12" t="n">
        <v>11.4</v>
      </c>
      <c r="C1020" s="12" t="n">
        <f aca="false">IF(NOT(ISNUMBER(B1020)),"",ROUND((INDEX(BP!$D$5:$D$9,MATCH(B1020,BP!$A$5:$A$9,1))-INDEX(BP!$C$5:$C$9,MATCH(B1020,BP!$A$5:$A$9,1)))/(INDEX(BP!$B$5:$B$9,MATCH(B1020,BP!$A$5:$A$9,1))-INDEX(BP!$A$5:$A$9,MATCH(B1020,BP!$A$5:$A$9,1)))*(B1020-INDEX(BP!$A$5:$A$9,MATCH(B1020,BP!$A$5:$A$9,1)))+INDEX(BP!$C$5:$C$9,MATCH(B1020,BP!$A$5:$A$9,1)),0))</f>
        <v>19</v>
      </c>
      <c r="D1020" s="12" t="str">
        <f aca="false">IF(NOT(ISNUMBER(C1020)),"",INDEX(BP!$F$5:$F$9,MATCH(C1020,BP!$E$5:$E$9,1)))</f>
        <v>ดีมาก</v>
      </c>
      <c r="E1020" s="12" t="n">
        <f aca="false">YEAR(A1020)</f>
        <v>2023</v>
      </c>
      <c r="F1020" s="12" t="n">
        <f aca="false">MONTH(A1020)</f>
        <v>10</v>
      </c>
      <c r="G1020" s="12" t="n">
        <v>17.6</v>
      </c>
      <c r="H1020" s="12" t="n">
        <v>32.8</v>
      </c>
      <c r="I1020" s="12" t="n">
        <v>217</v>
      </c>
      <c r="J1020" s="12" t="n">
        <v>21.2</v>
      </c>
      <c r="K1020" s="12" t="n">
        <v>0</v>
      </c>
      <c r="L1020" s="12" t="s">
        <v>36</v>
      </c>
    </row>
    <row r="1021" customFormat="false" ht="15" hidden="false" customHeight="false" outlineLevel="0" collapsed="false">
      <c r="A1021" s="11" t="n">
        <v>45216</v>
      </c>
      <c r="B1021" s="12" t="n">
        <v>13.3</v>
      </c>
      <c r="C1021" s="12" t="n">
        <f aca="false">IF(NOT(ISNUMBER(B1021)),"",ROUND((INDEX(BP!$D$5:$D$9,MATCH(B1021,BP!$A$5:$A$9,1))-INDEX(BP!$C$5:$C$9,MATCH(B1021,BP!$A$5:$A$9,1)))/(INDEX(BP!$B$5:$B$9,MATCH(B1021,BP!$A$5:$A$9,1))-INDEX(BP!$A$5:$A$9,MATCH(B1021,BP!$A$5:$A$9,1)))*(B1021-INDEX(BP!$A$5:$A$9,MATCH(B1021,BP!$A$5:$A$9,1)))+INDEX(BP!$C$5:$C$9,MATCH(B1021,BP!$A$5:$A$9,1)),0))</f>
        <v>22</v>
      </c>
      <c r="D1021" s="12" t="str">
        <f aca="false">IF(NOT(ISNUMBER(C1021)),"",INDEX(BP!$F$5:$F$9,MATCH(C1021,BP!$E$5:$E$9,1)))</f>
        <v>ดีมาก</v>
      </c>
      <c r="E1021" s="12" t="n">
        <f aca="false">YEAR(A1021)</f>
        <v>2023</v>
      </c>
      <c r="F1021" s="12" t="n">
        <f aca="false">MONTH(A1021)</f>
        <v>10</v>
      </c>
      <c r="G1021" s="12" t="n">
        <v>15.3</v>
      </c>
      <c r="H1021" s="12" t="n">
        <v>37.1</v>
      </c>
      <c r="I1021" s="12" t="n">
        <v>227</v>
      </c>
      <c r="J1021" s="12" t="n">
        <v>13.4</v>
      </c>
      <c r="K1021" s="12" t="n">
        <v>0</v>
      </c>
      <c r="L1021" s="12" t="s">
        <v>36</v>
      </c>
    </row>
    <row r="1022" customFormat="false" ht="15" hidden="false" customHeight="false" outlineLevel="0" collapsed="false">
      <c r="A1022" s="11" t="n">
        <v>45217</v>
      </c>
      <c r="B1022" s="12" t="n">
        <v>17</v>
      </c>
      <c r="C1022" s="12" t="n">
        <f aca="false">IF(NOT(ISNUMBER(B1022)),"",ROUND((INDEX(BP!$D$5:$D$9,MATCH(B1022,BP!$A$5:$A$9,1))-INDEX(BP!$C$5:$C$9,MATCH(B1022,BP!$A$5:$A$9,1)))/(INDEX(BP!$B$5:$B$9,MATCH(B1022,BP!$A$5:$A$9,1))-INDEX(BP!$A$5:$A$9,MATCH(B1022,BP!$A$5:$A$9,1)))*(B1022-INDEX(BP!$A$5:$A$9,MATCH(B1022,BP!$A$5:$A$9,1)))+INDEX(BP!$C$5:$C$9,MATCH(B1022,BP!$A$5:$A$9,1)),0))</f>
        <v>31</v>
      </c>
      <c r="D1022" s="12" t="str">
        <f aca="false">IF(NOT(ISNUMBER(C1022)),"",INDEX(BP!$F$5:$F$9,MATCH(C1022,BP!$E$5:$E$9,1)))</f>
        <v>ดี</v>
      </c>
      <c r="E1022" s="12" t="n">
        <f aca="false">YEAR(A1022)</f>
        <v>2023</v>
      </c>
      <c r="F1022" s="12" t="n">
        <f aca="false">MONTH(A1022)</f>
        <v>10</v>
      </c>
      <c r="G1022" s="12" t="n">
        <v>7.8</v>
      </c>
      <c r="H1022" s="12" t="n">
        <v>24.8</v>
      </c>
      <c r="I1022" s="12" t="n">
        <v>298</v>
      </c>
      <c r="J1022" s="12" t="n">
        <v>18.4</v>
      </c>
      <c r="K1022" s="12" t="n">
        <v>6.2</v>
      </c>
      <c r="L1022" s="12" t="s">
        <v>36</v>
      </c>
    </row>
    <row r="1023" customFormat="false" ht="15" hidden="false" customHeight="false" outlineLevel="0" collapsed="false">
      <c r="A1023" s="11" t="n">
        <v>45218</v>
      </c>
      <c r="B1023" s="12" t="n">
        <v>14.4</v>
      </c>
      <c r="C1023" s="12" t="n">
        <f aca="false">IF(NOT(ISNUMBER(B1023)),"",ROUND((INDEX(BP!$D$5:$D$9,MATCH(B1023,BP!$A$5:$A$9,1))-INDEX(BP!$C$5:$C$9,MATCH(B1023,BP!$A$5:$A$9,1)))/(INDEX(BP!$B$5:$B$9,MATCH(B1023,BP!$A$5:$A$9,1))-INDEX(BP!$A$5:$A$9,MATCH(B1023,BP!$A$5:$A$9,1)))*(B1023-INDEX(BP!$A$5:$A$9,MATCH(B1023,BP!$A$5:$A$9,1)))+INDEX(BP!$C$5:$C$9,MATCH(B1023,BP!$A$5:$A$9,1)),0))</f>
        <v>24</v>
      </c>
      <c r="D1023" s="12" t="str">
        <f aca="false">IF(NOT(ISNUMBER(C1023)),"",INDEX(BP!$F$5:$F$9,MATCH(C1023,BP!$E$5:$E$9,1)))</f>
        <v>ดีมาก</v>
      </c>
      <c r="E1023" s="12" t="n">
        <f aca="false">YEAR(A1023)</f>
        <v>2023</v>
      </c>
      <c r="F1023" s="12" t="n">
        <f aca="false">MONTH(A1023)</f>
        <v>10</v>
      </c>
      <c r="G1023" s="12" t="n">
        <v>12</v>
      </c>
      <c r="H1023" s="12" t="n">
        <v>24.1</v>
      </c>
      <c r="I1023" s="12" t="n">
        <v>237</v>
      </c>
      <c r="J1023" s="12" t="n">
        <v>3.7</v>
      </c>
      <c r="K1023" s="12" t="n">
        <v>8.8</v>
      </c>
      <c r="L1023" s="12" t="s">
        <v>36</v>
      </c>
    </row>
    <row r="1024" customFormat="false" ht="15" hidden="false" customHeight="false" outlineLevel="0" collapsed="false">
      <c r="A1024" s="11" t="n">
        <v>45219</v>
      </c>
      <c r="B1024" s="12" t="n">
        <v>13.2</v>
      </c>
      <c r="C1024" s="12" t="n">
        <f aca="false">IF(NOT(ISNUMBER(B1024)),"",ROUND((INDEX(BP!$D$5:$D$9,MATCH(B1024,BP!$A$5:$A$9,1))-INDEX(BP!$C$5:$C$9,MATCH(B1024,BP!$A$5:$A$9,1)))/(INDEX(BP!$B$5:$B$9,MATCH(B1024,BP!$A$5:$A$9,1))-INDEX(BP!$A$5:$A$9,MATCH(B1024,BP!$A$5:$A$9,1)))*(B1024-INDEX(BP!$A$5:$A$9,MATCH(B1024,BP!$A$5:$A$9,1)))+INDEX(BP!$C$5:$C$9,MATCH(B1024,BP!$A$5:$A$9,1)),0))</f>
        <v>22</v>
      </c>
      <c r="D1024" s="12" t="str">
        <f aca="false">IF(NOT(ISNUMBER(C1024)),"",INDEX(BP!$F$5:$F$9,MATCH(C1024,BP!$E$5:$E$9,1)))</f>
        <v>ดีมาก</v>
      </c>
      <c r="E1024" s="12" t="n">
        <f aca="false">YEAR(A1024)</f>
        <v>2023</v>
      </c>
      <c r="F1024" s="12" t="n">
        <f aca="false">MONTH(A1024)</f>
        <v>10</v>
      </c>
      <c r="G1024" s="12" t="n">
        <v>14.9</v>
      </c>
      <c r="H1024" s="12" t="n">
        <v>31.3</v>
      </c>
      <c r="I1024" s="12" t="n">
        <v>216</v>
      </c>
      <c r="J1024" s="12" t="n">
        <v>16.5</v>
      </c>
      <c r="K1024" s="12" t="n">
        <v>5.8</v>
      </c>
      <c r="L1024" s="12" t="s">
        <v>36</v>
      </c>
    </row>
    <row r="1025" customFormat="false" ht="15" hidden="false" customHeight="false" outlineLevel="0" collapsed="false">
      <c r="A1025" s="11" t="n">
        <v>45220</v>
      </c>
      <c r="B1025" s="12" t="n">
        <v>11.6</v>
      </c>
      <c r="C1025" s="12" t="n">
        <f aca="false">IF(NOT(ISNUMBER(B1025)),"",ROUND((INDEX(BP!$D$5:$D$9,MATCH(B1025,BP!$A$5:$A$9,1))-INDEX(BP!$C$5:$C$9,MATCH(B1025,BP!$A$5:$A$9,1)))/(INDEX(BP!$B$5:$B$9,MATCH(B1025,BP!$A$5:$A$9,1))-INDEX(BP!$A$5:$A$9,MATCH(B1025,BP!$A$5:$A$9,1)))*(B1025-INDEX(BP!$A$5:$A$9,MATCH(B1025,BP!$A$5:$A$9,1)))+INDEX(BP!$C$5:$C$9,MATCH(B1025,BP!$A$5:$A$9,1)),0))</f>
        <v>19</v>
      </c>
      <c r="D1025" s="12" t="str">
        <f aca="false">IF(NOT(ISNUMBER(C1025)),"",INDEX(BP!$F$5:$F$9,MATCH(C1025,BP!$E$5:$E$9,1)))</f>
        <v>ดีมาก</v>
      </c>
      <c r="E1025" s="12" t="n">
        <f aca="false">YEAR(A1025)</f>
        <v>2023</v>
      </c>
      <c r="F1025" s="12" t="n">
        <f aca="false">MONTH(A1025)</f>
        <v>10</v>
      </c>
      <c r="G1025" s="12" t="n">
        <v>12.3</v>
      </c>
      <c r="H1025" s="12" t="n">
        <v>27.7</v>
      </c>
      <c r="I1025" s="12" t="n">
        <v>209</v>
      </c>
      <c r="J1025" s="12" t="n">
        <v>5</v>
      </c>
      <c r="K1025" s="12" t="n">
        <v>2</v>
      </c>
      <c r="L1025" s="12" t="s">
        <v>35</v>
      </c>
    </row>
    <row r="1026" customFormat="false" ht="15" hidden="false" customHeight="false" outlineLevel="0" collapsed="false">
      <c r="A1026" s="11" t="n">
        <v>45221</v>
      </c>
      <c r="B1026" s="12" t="n">
        <v>11.7</v>
      </c>
      <c r="C1026" s="12" t="n">
        <f aca="false">IF(NOT(ISNUMBER(B1026)),"",ROUND((INDEX(BP!$D$5:$D$9,MATCH(B1026,BP!$A$5:$A$9,1))-INDEX(BP!$C$5:$C$9,MATCH(B1026,BP!$A$5:$A$9,1)))/(INDEX(BP!$B$5:$B$9,MATCH(B1026,BP!$A$5:$A$9,1))-INDEX(BP!$A$5:$A$9,MATCH(B1026,BP!$A$5:$A$9,1)))*(B1026-INDEX(BP!$A$5:$A$9,MATCH(B1026,BP!$A$5:$A$9,1)))+INDEX(BP!$C$5:$C$9,MATCH(B1026,BP!$A$5:$A$9,1)),0))</f>
        <v>20</v>
      </c>
      <c r="D1026" s="12" t="str">
        <f aca="false">IF(NOT(ISNUMBER(C1026)),"",INDEX(BP!$F$5:$F$9,MATCH(C1026,BP!$E$5:$E$9,1)))</f>
        <v>ดีมาก</v>
      </c>
      <c r="E1026" s="12" t="n">
        <f aca="false">YEAR(A1026)</f>
        <v>2023</v>
      </c>
      <c r="F1026" s="12" t="n">
        <f aca="false">MONTH(A1026)</f>
        <v>10</v>
      </c>
      <c r="G1026" s="12" t="n">
        <v>11.2</v>
      </c>
      <c r="H1026" s="12" t="n">
        <v>27.7</v>
      </c>
      <c r="I1026" s="12" t="n">
        <v>230</v>
      </c>
      <c r="J1026" s="12" t="n">
        <v>13.5</v>
      </c>
      <c r="K1026" s="12" t="n">
        <v>41.8</v>
      </c>
      <c r="L1026" s="12" t="s">
        <v>35</v>
      </c>
    </row>
    <row r="1027" customFormat="false" ht="15" hidden="false" customHeight="false" outlineLevel="0" collapsed="false">
      <c r="A1027" s="11" t="n">
        <v>45222</v>
      </c>
      <c r="B1027" s="12" t="n">
        <v>11</v>
      </c>
      <c r="C1027" s="12" t="n">
        <f aca="false">IF(NOT(ISNUMBER(B1027)),"",ROUND((INDEX(BP!$D$5:$D$9,MATCH(B1027,BP!$A$5:$A$9,1))-INDEX(BP!$C$5:$C$9,MATCH(B1027,BP!$A$5:$A$9,1)))/(INDEX(BP!$B$5:$B$9,MATCH(B1027,BP!$A$5:$A$9,1))-INDEX(BP!$A$5:$A$9,MATCH(B1027,BP!$A$5:$A$9,1)))*(B1027-INDEX(BP!$A$5:$A$9,MATCH(B1027,BP!$A$5:$A$9,1)))+INDEX(BP!$C$5:$C$9,MATCH(B1027,BP!$A$5:$A$9,1)),0))</f>
        <v>18</v>
      </c>
      <c r="D1027" s="12" t="str">
        <f aca="false">IF(NOT(ISNUMBER(C1027)),"",INDEX(BP!$F$5:$F$9,MATCH(C1027,BP!$E$5:$E$9,1)))</f>
        <v>ดีมาก</v>
      </c>
      <c r="E1027" s="12" t="n">
        <f aca="false">YEAR(A1027)</f>
        <v>2023</v>
      </c>
      <c r="F1027" s="12" t="n">
        <f aca="false">MONTH(A1027)</f>
        <v>10</v>
      </c>
      <c r="G1027" s="12" t="n">
        <v>12.3</v>
      </c>
      <c r="H1027" s="12" t="n">
        <v>27.4</v>
      </c>
      <c r="I1027" s="12" t="n">
        <v>50</v>
      </c>
      <c r="J1027" s="12" t="n">
        <v>1.5</v>
      </c>
      <c r="K1027" s="12" t="n">
        <v>0</v>
      </c>
      <c r="L1027" s="12" t="s">
        <v>34</v>
      </c>
    </row>
    <row r="1028" customFormat="false" ht="15" hidden="false" customHeight="false" outlineLevel="0" collapsed="false">
      <c r="A1028" s="11" t="n">
        <v>45223</v>
      </c>
      <c r="B1028" s="12" t="n">
        <v>14.6</v>
      </c>
      <c r="C1028" s="12" t="n">
        <f aca="false">IF(NOT(ISNUMBER(B1028)),"",ROUND((INDEX(BP!$D$5:$D$9,MATCH(B1028,BP!$A$5:$A$9,1))-INDEX(BP!$C$5:$C$9,MATCH(B1028,BP!$A$5:$A$9,1)))/(INDEX(BP!$B$5:$B$9,MATCH(B1028,BP!$A$5:$A$9,1))-INDEX(BP!$A$5:$A$9,MATCH(B1028,BP!$A$5:$A$9,1)))*(B1028-INDEX(BP!$A$5:$A$9,MATCH(B1028,BP!$A$5:$A$9,1)))+INDEX(BP!$C$5:$C$9,MATCH(B1028,BP!$A$5:$A$9,1)),0))</f>
        <v>24</v>
      </c>
      <c r="D1028" s="12" t="str">
        <f aca="false">IF(NOT(ISNUMBER(C1028)),"",INDEX(BP!$F$5:$F$9,MATCH(C1028,BP!$E$5:$E$9,1)))</f>
        <v>ดีมาก</v>
      </c>
      <c r="E1028" s="12" t="n">
        <f aca="false">YEAR(A1028)</f>
        <v>2023</v>
      </c>
      <c r="F1028" s="12" t="n">
        <f aca="false">MONTH(A1028)</f>
        <v>10</v>
      </c>
      <c r="G1028" s="12" t="n">
        <v>14.7</v>
      </c>
      <c r="H1028" s="12" t="n">
        <v>30.2</v>
      </c>
      <c r="I1028" s="12" t="n">
        <v>297</v>
      </c>
      <c r="J1028" s="12" t="n">
        <v>10.7</v>
      </c>
      <c r="K1028" s="12" t="n">
        <v>0</v>
      </c>
      <c r="L1028" s="12" t="s">
        <v>36</v>
      </c>
    </row>
    <row r="1029" customFormat="false" ht="15" hidden="false" customHeight="false" outlineLevel="0" collapsed="false">
      <c r="A1029" s="11" t="n">
        <v>45224</v>
      </c>
      <c r="B1029" s="12" t="n">
        <v>13.4</v>
      </c>
      <c r="C1029" s="12" t="n">
        <f aca="false">IF(NOT(ISNUMBER(B1029)),"",ROUND((INDEX(BP!$D$5:$D$9,MATCH(B1029,BP!$A$5:$A$9,1))-INDEX(BP!$C$5:$C$9,MATCH(B1029,BP!$A$5:$A$9,1)))/(INDEX(BP!$B$5:$B$9,MATCH(B1029,BP!$A$5:$A$9,1))-INDEX(BP!$A$5:$A$9,MATCH(B1029,BP!$A$5:$A$9,1)))*(B1029-INDEX(BP!$A$5:$A$9,MATCH(B1029,BP!$A$5:$A$9,1)))+INDEX(BP!$C$5:$C$9,MATCH(B1029,BP!$A$5:$A$9,1)),0))</f>
        <v>22</v>
      </c>
      <c r="D1029" s="12" t="str">
        <f aca="false">IF(NOT(ISNUMBER(C1029)),"",INDEX(BP!$F$5:$F$9,MATCH(C1029,BP!$E$5:$E$9,1)))</f>
        <v>ดีมาก</v>
      </c>
      <c r="E1029" s="12" t="n">
        <f aca="false">YEAR(A1029)</f>
        <v>2023</v>
      </c>
      <c r="F1029" s="12" t="n">
        <f aca="false">MONTH(A1029)</f>
        <v>10</v>
      </c>
      <c r="G1029" s="12" t="n">
        <v>12.5</v>
      </c>
      <c r="H1029" s="12" t="n">
        <v>27.7</v>
      </c>
      <c r="I1029" s="12" t="n">
        <v>242</v>
      </c>
      <c r="J1029" s="12" t="n">
        <v>3.2</v>
      </c>
      <c r="K1029" s="12" t="n">
        <v>0.2</v>
      </c>
      <c r="L1029" s="12" t="s">
        <v>36</v>
      </c>
    </row>
    <row r="1030" customFormat="false" ht="15" hidden="false" customHeight="false" outlineLevel="0" collapsed="false">
      <c r="A1030" s="11" t="n">
        <v>45225</v>
      </c>
      <c r="B1030" s="12" t="n">
        <v>12.6</v>
      </c>
      <c r="C1030" s="12" t="n">
        <f aca="false">IF(NOT(ISNUMBER(B1030)),"",ROUND((INDEX(BP!$D$5:$D$9,MATCH(B1030,BP!$A$5:$A$9,1))-INDEX(BP!$C$5:$C$9,MATCH(B1030,BP!$A$5:$A$9,1)))/(INDEX(BP!$B$5:$B$9,MATCH(B1030,BP!$A$5:$A$9,1))-INDEX(BP!$A$5:$A$9,MATCH(B1030,BP!$A$5:$A$9,1)))*(B1030-INDEX(BP!$A$5:$A$9,MATCH(B1030,BP!$A$5:$A$9,1)))+INDEX(BP!$C$5:$C$9,MATCH(B1030,BP!$A$5:$A$9,1)),0))</f>
        <v>21</v>
      </c>
      <c r="D1030" s="12" t="str">
        <f aca="false">IF(NOT(ISNUMBER(C1030)),"",INDEX(BP!$F$5:$F$9,MATCH(C1030,BP!$E$5:$E$9,1)))</f>
        <v>ดีมาก</v>
      </c>
      <c r="E1030" s="12" t="n">
        <f aca="false">YEAR(A1030)</f>
        <v>2023</v>
      </c>
      <c r="F1030" s="12" t="n">
        <f aca="false">MONTH(A1030)</f>
        <v>10</v>
      </c>
      <c r="G1030" s="12" t="n">
        <v>15</v>
      </c>
      <c r="H1030" s="12" t="n">
        <v>27.7</v>
      </c>
      <c r="I1030" s="12" t="n">
        <v>195</v>
      </c>
      <c r="J1030" s="12" t="n">
        <v>14.7</v>
      </c>
      <c r="K1030" s="12" t="n">
        <v>2.2</v>
      </c>
      <c r="L1030" s="12" t="s">
        <v>36</v>
      </c>
    </row>
    <row r="1031" customFormat="false" ht="15" hidden="false" customHeight="false" outlineLevel="0" collapsed="false">
      <c r="A1031" s="11" t="n">
        <v>45226</v>
      </c>
      <c r="B1031" s="12" t="n">
        <v>11.6</v>
      </c>
      <c r="C1031" s="12" t="n">
        <f aca="false">IF(NOT(ISNUMBER(B1031)),"",ROUND((INDEX(BP!$D$5:$D$9,MATCH(B1031,BP!$A$5:$A$9,1))-INDEX(BP!$C$5:$C$9,MATCH(B1031,BP!$A$5:$A$9,1)))/(INDEX(BP!$B$5:$B$9,MATCH(B1031,BP!$A$5:$A$9,1))-INDEX(BP!$A$5:$A$9,MATCH(B1031,BP!$A$5:$A$9,1)))*(B1031-INDEX(BP!$A$5:$A$9,MATCH(B1031,BP!$A$5:$A$9,1)))+INDEX(BP!$C$5:$C$9,MATCH(B1031,BP!$A$5:$A$9,1)),0))</f>
        <v>19</v>
      </c>
      <c r="D1031" s="12" t="str">
        <f aca="false">IF(NOT(ISNUMBER(C1031)),"",INDEX(BP!$F$5:$F$9,MATCH(C1031,BP!$E$5:$E$9,1)))</f>
        <v>ดีมาก</v>
      </c>
      <c r="E1031" s="12" t="n">
        <f aca="false">YEAR(A1031)</f>
        <v>2023</v>
      </c>
      <c r="F1031" s="12" t="n">
        <f aca="false">MONTH(A1031)</f>
        <v>10</v>
      </c>
      <c r="G1031" s="12" t="n">
        <v>10.6</v>
      </c>
      <c r="H1031" s="12" t="n">
        <v>22.3</v>
      </c>
      <c r="I1031" s="12" t="n">
        <v>201</v>
      </c>
      <c r="J1031" s="12" t="n">
        <v>11.5</v>
      </c>
      <c r="K1031" s="12" t="n">
        <v>1.2</v>
      </c>
      <c r="L1031" s="12" t="s">
        <v>36</v>
      </c>
    </row>
    <row r="1032" customFormat="false" ht="15" hidden="false" customHeight="false" outlineLevel="0" collapsed="false">
      <c r="A1032" s="11" t="n">
        <v>45227</v>
      </c>
      <c r="B1032" s="12" t="n">
        <v>11.9</v>
      </c>
      <c r="C1032" s="12" t="n">
        <f aca="false">IF(NOT(ISNUMBER(B1032)),"",ROUND((INDEX(BP!$D$5:$D$9,MATCH(B1032,BP!$A$5:$A$9,1))-INDEX(BP!$C$5:$C$9,MATCH(B1032,BP!$A$5:$A$9,1)))/(INDEX(BP!$B$5:$B$9,MATCH(B1032,BP!$A$5:$A$9,1))-INDEX(BP!$A$5:$A$9,MATCH(B1032,BP!$A$5:$A$9,1)))*(B1032-INDEX(BP!$A$5:$A$9,MATCH(B1032,BP!$A$5:$A$9,1)))+INDEX(BP!$C$5:$C$9,MATCH(B1032,BP!$A$5:$A$9,1)),0))</f>
        <v>20</v>
      </c>
      <c r="D1032" s="12" t="str">
        <f aca="false">IF(NOT(ISNUMBER(C1032)),"",INDEX(BP!$F$5:$F$9,MATCH(C1032,BP!$E$5:$E$9,1)))</f>
        <v>ดีมาก</v>
      </c>
      <c r="E1032" s="12" t="n">
        <f aca="false">YEAR(A1032)</f>
        <v>2023</v>
      </c>
      <c r="F1032" s="12" t="n">
        <f aca="false">MONTH(A1032)</f>
        <v>10</v>
      </c>
      <c r="G1032" s="12" t="n">
        <v>17.9</v>
      </c>
      <c r="H1032" s="12" t="n">
        <v>35.6</v>
      </c>
      <c r="I1032" s="12" t="n">
        <v>207</v>
      </c>
      <c r="J1032" s="12" t="n">
        <v>15.7</v>
      </c>
      <c r="K1032" s="12" t="n">
        <v>0.2</v>
      </c>
      <c r="L1032" s="12" t="s">
        <v>35</v>
      </c>
    </row>
    <row r="1033" customFormat="false" ht="15" hidden="false" customHeight="false" outlineLevel="0" collapsed="false">
      <c r="A1033" s="11" t="n">
        <v>45228</v>
      </c>
      <c r="B1033" s="12" t="n">
        <v>12</v>
      </c>
      <c r="C1033" s="12" t="n">
        <f aca="false">IF(NOT(ISNUMBER(B1033)),"",ROUND((INDEX(BP!$D$5:$D$9,MATCH(B1033,BP!$A$5:$A$9,1))-INDEX(BP!$C$5:$C$9,MATCH(B1033,BP!$A$5:$A$9,1)))/(INDEX(BP!$B$5:$B$9,MATCH(B1033,BP!$A$5:$A$9,1))-INDEX(BP!$A$5:$A$9,MATCH(B1033,BP!$A$5:$A$9,1)))*(B1033-INDEX(BP!$A$5:$A$9,MATCH(B1033,BP!$A$5:$A$9,1)))+INDEX(BP!$C$5:$C$9,MATCH(B1033,BP!$A$5:$A$9,1)),0))</f>
        <v>20</v>
      </c>
      <c r="D1033" s="12" t="str">
        <f aca="false">IF(NOT(ISNUMBER(C1033)),"",INDEX(BP!$F$5:$F$9,MATCH(C1033,BP!$E$5:$E$9,1)))</f>
        <v>ดีมาก</v>
      </c>
      <c r="E1033" s="12" t="n">
        <f aca="false">YEAR(A1033)</f>
        <v>2023</v>
      </c>
      <c r="F1033" s="12" t="n">
        <f aca="false">MONTH(A1033)</f>
        <v>10</v>
      </c>
      <c r="G1033" s="12" t="n">
        <v>13.3</v>
      </c>
      <c r="H1033" s="12" t="n">
        <v>31</v>
      </c>
      <c r="I1033" s="12" t="n">
        <v>41</v>
      </c>
      <c r="J1033" s="12" t="n">
        <v>8.5</v>
      </c>
      <c r="K1033" s="12" t="n">
        <v>2.6</v>
      </c>
      <c r="L1033" s="12" t="s">
        <v>35</v>
      </c>
    </row>
    <row r="1034" customFormat="false" ht="15" hidden="false" customHeight="false" outlineLevel="0" collapsed="false">
      <c r="A1034" s="11" t="n">
        <v>45229</v>
      </c>
      <c r="B1034" s="12" t="n">
        <v>10</v>
      </c>
      <c r="C1034" s="12" t="n">
        <f aca="false">IF(NOT(ISNUMBER(B1034)),"",ROUND((INDEX(BP!$D$5:$D$9,MATCH(B1034,BP!$A$5:$A$9,1))-INDEX(BP!$C$5:$C$9,MATCH(B1034,BP!$A$5:$A$9,1)))/(INDEX(BP!$B$5:$B$9,MATCH(B1034,BP!$A$5:$A$9,1))-INDEX(BP!$A$5:$A$9,MATCH(B1034,BP!$A$5:$A$9,1)))*(B1034-INDEX(BP!$A$5:$A$9,MATCH(B1034,BP!$A$5:$A$9,1)))+INDEX(BP!$C$5:$C$9,MATCH(B1034,BP!$A$5:$A$9,1)),0))</f>
        <v>17</v>
      </c>
      <c r="D1034" s="12" t="str">
        <f aca="false">IF(NOT(ISNUMBER(C1034)),"",INDEX(BP!$F$5:$F$9,MATCH(C1034,BP!$E$5:$E$9,1)))</f>
        <v>ดีมาก</v>
      </c>
      <c r="E1034" s="12" t="n">
        <f aca="false">YEAR(A1034)</f>
        <v>2023</v>
      </c>
      <c r="F1034" s="12" t="n">
        <f aca="false">MONTH(A1034)</f>
        <v>10</v>
      </c>
      <c r="G1034" s="12" t="n">
        <v>15.6</v>
      </c>
      <c r="H1034" s="12" t="n">
        <v>33.8</v>
      </c>
      <c r="I1034" s="12" t="n">
        <v>40</v>
      </c>
      <c r="J1034" s="12" t="n">
        <v>20.4</v>
      </c>
      <c r="K1034" s="12" t="n">
        <v>1.8</v>
      </c>
      <c r="L1034" s="12" t="s">
        <v>36</v>
      </c>
    </row>
    <row r="1035" customFormat="false" ht="15" hidden="false" customHeight="false" outlineLevel="0" collapsed="false">
      <c r="A1035" s="11" t="n">
        <v>45230</v>
      </c>
      <c r="B1035" s="12" t="n">
        <v>12.1</v>
      </c>
      <c r="C1035" s="12" t="n">
        <f aca="false">IF(NOT(ISNUMBER(B1035)),"",ROUND((INDEX(BP!$D$5:$D$9,MATCH(B1035,BP!$A$5:$A$9,1))-INDEX(BP!$C$5:$C$9,MATCH(B1035,BP!$A$5:$A$9,1)))/(INDEX(BP!$B$5:$B$9,MATCH(B1035,BP!$A$5:$A$9,1))-INDEX(BP!$A$5:$A$9,MATCH(B1035,BP!$A$5:$A$9,1)))*(B1035-INDEX(BP!$A$5:$A$9,MATCH(B1035,BP!$A$5:$A$9,1)))+INDEX(BP!$C$5:$C$9,MATCH(B1035,BP!$A$5:$A$9,1)),0))</f>
        <v>20</v>
      </c>
      <c r="D1035" s="12" t="str">
        <f aca="false">IF(NOT(ISNUMBER(C1035)),"",INDEX(BP!$F$5:$F$9,MATCH(C1035,BP!$E$5:$E$9,1)))</f>
        <v>ดีมาก</v>
      </c>
      <c r="E1035" s="12" t="n">
        <f aca="false">YEAR(A1035)</f>
        <v>2023</v>
      </c>
      <c r="F1035" s="12" t="n">
        <f aca="false">MONTH(A1035)</f>
        <v>10</v>
      </c>
      <c r="G1035" s="12" t="n">
        <v>18.7</v>
      </c>
      <c r="H1035" s="12" t="n">
        <v>42.1</v>
      </c>
      <c r="I1035" s="12" t="n">
        <v>63</v>
      </c>
      <c r="J1035" s="12" t="n">
        <v>13.6</v>
      </c>
      <c r="K1035" s="12" t="n">
        <v>29.2</v>
      </c>
      <c r="L1035" s="12" t="s">
        <v>36</v>
      </c>
    </row>
    <row r="1036" customFormat="false" ht="15" hidden="false" customHeight="false" outlineLevel="0" collapsed="false">
      <c r="A1036" s="11" t="n">
        <v>45231</v>
      </c>
      <c r="B1036" s="12" t="n">
        <v>11.2</v>
      </c>
      <c r="C1036" s="12" t="n">
        <f aca="false">IF(NOT(ISNUMBER(B1036)),"",ROUND((INDEX(BP!$D$5:$D$9,MATCH(B1036,BP!$A$5:$A$9,1))-INDEX(BP!$C$5:$C$9,MATCH(B1036,BP!$A$5:$A$9,1)))/(INDEX(BP!$B$5:$B$9,MATCH(B1036,BP!$A$5:$A$9,1))-INDEX(BP!$A$5:$A$9,MATCH(B1036,BP!$A$5:$A$9,1)))*(B1036-INDEX(BP!$A$5:$A$9,MATCH(B1036,BP!$A$5:$A$9,1)))+INDEX(BP!$C$5:$C$9,MATCH(B1036,BP!$A$5:$A$9,1)),0))</f>
        <v>19</v>
      </c>
      <c r="D1036" s="12" t="str">
        <f aca="false">IF(NOT(ISNUMBER(C1036)),"",INDEX(BP!$F$5:$F$9,MATCH(C1036,BP!$E$5:$E$9,1)))</f>
        <v>ดีมาก</v>
      </c>
      <c r="E1036" s="12" t="n">
        <f aca="false">YEAR(A1036)</f>
        <v>2023</v>
      </c>
      <c r="F1036" s="12" t="n">
        <f aca="false">MONTH(A1036)</f>
        <v>11</v>
      </c>
      <c r="G1036" s="12" t="n">
        <v>15.6</v>
      </c>
      <c r="H1036" s="12" t="n">
        <v>33.5</v>
      </c>
      <c r="I1036" s="12" t="n">
        <v>92</v>
      </c>
      <c r="J1036" s="12" t="n">
        <v>22.1</v>
      </c>
      <c r="K1036" s="12" t="n">
        <v>0.4</v>
      </c>
      <c r="L1036" s="12" t="s">
        <v>36</v>
      </c>
    </row>
    <row r="1037" customFormat="false" ht="15" hidden="false" customHeight="false" outlineLevel="0" collapsed="false">
      <c r="A1037" s="11" t="n">
        <v>45232</v>
      </c>
      <c r="B1037" s="12" t="n">
        <v>8.9</v>
      </c>
      <c r="C1037" s="12" t="n">
        <f aca="false">IF(NOT(ISNUMBER(B1037)),"",ROUND((INDEX(BP!$D$5:$D$9,MATCH(B1037,BP!$A$5:$A$9,1))-INDEX(BP!$C$5:$C$9,MATCH(B1037,BP!$A$5:$A$9,1)))/(INDEX(BP!$B$5:$B$9,MATCH(B1037,BP!$A$5:$A$9,1))-INDEX(BP!$A$5:$A$9,MATCH(B1037,BP!$A$5:$A$9,1)))*(B1037-INDEX(BP!$A$5:$A$9,MATCH(B1037,BP!$A$5:$A$9,1)))+INDEX(BP!$C$5:$C$9,MATCH(B1037,BP!$A$5:$A$9,1)),0))</f>
        <v>15</v>
      </c>
      <c r="D1037" s="12" t="str">
        <f aca="false">IF(NOT(ISNUMBER(C1037)),"",INDEX(BP!$F$5:$F$9,MATCH(C1037,BP!$E$5:$E$9,1)))</f>
        <v>ดีมาก</v>
      </c>
      <c r="E1037" s="12" t="n">
        <f aca="false">YEAR(A1037)</f>
        <v>2023</v>
      </c>
      <c r="F1037" s="12" t="n">
        <f aca="false">MONTH(A1037)</f>
        <v>11</v>
      </c>
      <c r="G1037" s="12" t="n">
        <v>11.1</v>
      </c>
      <c r="H1037" s="12" t="n">
        <v>28.8</v>
      </c>
      <c r="I1037" s="12" t="n">
        <v>23</v>
      </c>
      <c r="J1037" s="12" t="n">
        <v>2.4</v>
      </c>
      <c r="K1037" s="12" t="n">
        <v>36.6</v>
      </c>
      <c r="L1037" s="12" t="s">
        <v>36</v>
      </c>
    </row>
    <row r="1038" customFormat="false" ht="15" hidden="false" customHeight="false" outlineLevel="0" collapsed="false">
      <c r="A1038" s="11" t="n">
        <v>45233</v>
      </c>
      <c r="B1038" s="12" t="n">
        <v>11.6</v>
      </c>
      <c r="C1038" s="12" t="n">
        <f aca="false">IF(NOT(ISNUMBER(B1038)),"",ROUND((INDEX(BP!$D$5:$D$9,MATCH(B1038,BP!$A$5:$A$9,1))-INDEX(BP!$C$5:$C$9,MATCH(B1038,BP!$A$5:$A$9,1)))/(INDEX(BP!$B$5:$B$9,MATCH(B1038,BP!$A$5:$A$9,1))-INDEX(BP!$A$5:$A$9,MATCH(B1038,BP!$A$5:$A$9,1)))*(B1038-INDEX(BP!$A$5:$A$9,MATCH(B1038,BP!$A$5:$A$9,1)))+INDEX(BP!$C$5:$C$9,MATCH(B1038,BP!$A$5:$A$9,1)),0))</f>
        <v>19</v>
      </c>
      <c r="D1038" s="12" t="str">
        <f aca="false">IF(NOT(ISNUMBER(C1038)),"",INDEX(BP!$F$5:$F$9,MATCH(C1038,BP!$E$5:$E$9,1)))</f>
        <v>ดีมาก</v>
      </c>
      <c r="E1038" s="12" t="n">
        <f aca="false">YEAR(A1038)</f>
        <v>2023</v>
      </c>
      <c r="F1038" s="12" t="n">
        <f aca="false">MONTH(A1038)</f>
        <v>11</v>
      </c>
      <c r="G1038" s="12" t="n">
        <v>14.4</v>
      </c>
      <c r="H1038" s="12" t="n">
        <v>33.5</v>
      </c>
      <c r="I1038" s="12" t="n">
        <v>307</v>
      </c>
      <c r="J1038" s="12" t="n">
        <v>15.9</v>
      </c>
      <c r="K1038" s="12" t="n">
        <v>0.2</v>
      </c>
      <c r="L1038" s="12" t="s">
        <v>36</v>
      </c>
    </row>
    <row r="1039" customFormat="false" ht="15" hidden="false" customHeight="false" outlineLevel="0" collapsed="false">
      <c r="A1039" s="11" t="n">
        <v>45234</v>
      </c>
      <c r="B1039" s="12" t="n">
        <v>12.1</v>
      </c>
      <c r="C1039" s="12" t="n">
        <f aca="false">IF(NOT(ISNUMBER(B1039)),"",ROUND((INDEX(BP!$D$5:$D$9,MATCH(B1039,BP!$A$5:$A$9,1))-INDEX(BP!$C$5:$C$9,MATCH(B1039,BP!$A$5:$A$9,1)))/(INDEX(BP!$B$5:$B$9,MATCH(B1039,BP!$A$5:$A$9,1))-INDEX(BP!$A$5:$A$9,MATCH(B1039,BP!$A$5:$A$9,1)))*(B1039-INDEX(BP!$A$5:$A$9,MATCH(B1039,BP!$A$5:$A$9,1)))+INDEX(BP!$C$5:$C$9,MATCH(B1039,BP!$A$5:$A$9,1)),0))</f>
        <v>20</v>
      </c>
      <c r="D1039" s="12" t="str">
        <f aca="false">IF(NOT(ISNUMBER(C1039)),"",INDEX(BP!$F$5:$F$9,MATCH(C1039,BP!$E$5:$E$9,1)))</f>
        <v>ดีมาก</v>
      </c>
      <c r="E1039" s="12" t="n">
        <f aca="false">YEAR(A1039)</f>
        <v>2023</v>
      </c>
      <c r="F1039" s="12" t="n">
        <f aca="false">MONTH(A1039)</f>
        <v>11</v>
      </c>
      <c r="G1039" s="12" t="n">
        <v>13.9</v>
      </c>
      <c r="H1039" s="12" t="n">
        <v>29.9</v>
      </c>
      <c r="I1039" s="12" t="n">
        <v>29</v>
      </c>
      <c r="J1039" s="12" t="n">
        <v>4.8</v>
      </c>
      <c r="K1039" s="12" t="n">
        <v>1</v>
      </c>
      <c r="L1039" s="12" t="s">
        <v>35</v>
      </c>
    </row>
    <row r="1040" customFormat="false" ht="15" hidden="false" customHeight="false" outlineLevel="0" collapsed="false">
      <c r="A1040" s="11" t="n">
        <v>45235</v>
      </c>
      <c r="B1040" s="12" t="n">
        <v>11.9</v>
      </c>
      <c r="C1040" s="12" t="n">
        <f aca="false">IF(NOT(ISNUMBER(B1040)),"",ROUND((INDEX(BP!$D$5:$D$9,MATCH(B1040,BP!$A$5:$A$9,1))-INDEX(BP!$C$5:$C$9,MATCH(B1040,BP!$A$5:$A$9,1)))/(INDEX(BP!$B$5:$B$9,MATCH(B1040,BP!$A$5:$A$9,1))-INDEX(BP!$A$5:$A$9,MATCH(B1040,BP!$A$5:$A$9,1)))*(B1040-INDEX(BP!$A$5:$A$9,MATCH(B1040,BP!$A$5:$A$9,1)))+INDEX(BP!$C$5:$C$9,MATCH(B1040,BP!$A$5:$A$9,1)),0))</f>
        <v>20</v>
      </c>
      <c r="D1040" s="12" t="str">
        <f aca="false">IF(NOT(ISNUMBER(C1040)),"",INDEX(BP!$F$5:$F$9,MATCH(C1040,BP!$E$5:$E$9,1)))</f>
        <v>ดีมาก</v>
      </c>
      <c r="E1040" s="12" t="n">
        <f aca="false">YEAR(A1040)</f>
        <v>2023</v>
      </c>
      <c r="F1040" s="12" t="n">
        <f aca="false">MONTH(A1040)</f>
        <v>11</v>
      </c>
      <c r="G1040" s="12" t="n">
        <v>14.5</v>
      </c>
      <c r="H1040" s="12" t="n">
        <v>31.7</v>
      </c>
      <c r="I1040" s="12" t="n">
        <v>46</v>
      </c>
      <c r="J1040" s="12" t="n">
        <v>5.1</v>
      </c>
      <c r="K1040" s="12" t="n">
        <v>1.2</v>
      </c>
      <c r="L1040" s="12" t="s">
        <v>35</v>
      </c>
    </row>
    <row r="1041" customFormat="false" ht="15" hidden="false" customHeight="false" outlineLevel="0" collapsed="false">
      <c r="A1041" s="11" t="n">
        <v>45236</v>
      </c>
      <c r="B1041" s="12" t="n">
        <v>11.6</v>
      </c>
      <c r="C1041" s="12" t="n">
        <f aca="false">IF(NOT(ISNUMBER(B1041)),"",ROUND((INDEX(BP!$D$5:$D$9,MATCH(B1041,BP!$A$5:$A$9,1))-INDEX(BP!$C$5:$C$9,MATCH(B1041,BP!$A$5:$A$9,1)))/(INDEX(BP!$B$5:$B$9,MATCH(B1041,BP!$A$5:$A$9,1))-INDEX(BP!$A$5:$A$9,MATCH(B1041,BP!$A$5:$A$9,1)))*(B1041-INDEX(BP!$A$5:$A$9,MATCH(B1041,BP!$A$5:$A$9,1)))+INDEX(BP!$C$5:$C$9,MATCH(B1041,BP!$A$5:$A$9,1)),0))</f>
        <v>19</v>
      </c>
      <c r="D1041" s="12" t="str">
        <f aca="false">IF(NOT(ISNUMBER(C1041)),"",INDEX(BP!$F$5:$F$9,MATCH(C1041,BP!$E$5:$E$9,1)))</f>
        <v>ดีมาก</v>
      </c>
      <c r="E1041" s="12" t="n">
        <f aca="false">YEAR(A1041)</f>
        <v>2023</v>
      </c>
      <c r="F1041" s="12" t="n">
        <f aca="false">MONTH(A1041)</f>
        <v>11</v>
      </c>
      <c r="G1041" s="12" t="n">
        <v>13.2</v>
      </c>
      <c r="H1041" s="12" t="n">
        <v>27.7</v>
      </c>
      <c r="I1041" s="12" t="n">
        <v>56</v>
      </c>
      <c r="J1041" s="12" t="n">
        <v>3.8</v>
      </c>
      <c r="K1041" s="12" t="n">
        <v>0</v>
      </c>
      <c r="L1041" s="12" t="s">
        <v>36</v>
      </c>
    </row>
    <row r="1042" customFormat="false" ht="15" hidden="false" customHeight="false" outlineLevel="0" collapsed="false">
      <c r="A1042" s="11" t="n">
        <v>45237</v>
      </c>
      <c r="B1042" s="12" t="n">
        <v>11.8</v>
      </c>
      <c r="C1042" s="12" t="n">
        <f aca="false">IF(NOT(ISNUMBER(B1042)),"",ROUND((INDEX(BP!$D$5:$D$9,MATCH(B1042,BP!$A$5:$A$9,1))-INDEX(BP!$C$5:$C$9,MATCH(B1042,BP!$A$5:$A$9,1)))/(INDEX(BP!$B$5:$B$9,MATCH(B1042,BP!$A$5:$A$9,1))-INDEX(BP!$A$5:$A$9,MATCH(B1042,BP!$A$5:$A$9,1)))*(B1042-INDEX(BP!$A$5:$A$9,MATCH(B1042,BP!$A$5:$A$9,1)))+INDEX(BP!$C$5:$C$9,MATCH(B1042,BP!$A$5:$A$9,1)),0))</f>
        <v>20</v>
      </c>
      <c r="D1042" s="12" t="str">
        <f aca="false">IF(NOT(ISNUMBER(C1042)),"",INDEX(BP!$F$5:$F$9,MATCH(C1042,BP!$E$5:$E$9,1)))</f>
        <v>ดีมาก</v>
      </c>
      <c r="E1042" s="12" t="n">
        <f aca="false">YEAR(A1042)</f>
        <v>2023</v>
      </c>
      <c r="F1042" s="12" t="n">
        <f aca="false">MONTH(A1042)</f>
        <v>11</v>
      </c>
      <c r="G1042" s="12" t="n">
        <v>13</v>
      </c>
      <c r="H1042" s="12" t="n">
        <v>31.7</v>
      </c>
      <c r="I1042" s="12" t="n">
        <v>71</v>
      </c>
      <c r="J1042" s="12" t="n">
        <v>8.7</v>
      </c>
      <c r="K1042" s="12" t="n">
        <v>0</v>
      </c>
      <c r="L1042" s="12" t="s">
        <v>36</v>
      </c>
    </row>
    <row r="1043" customFormat="false" ht="15" hidden="false" customHeight="false" outlineLevel="0" collapsed="false">
      <c r="A1043" s="11" t="n">
        <v>45238</v>
      </c>
      <c r="B1043" s="12" t="n">
        <v>14.9</v>
      </c>
      <c r="C1043" s="12" t="n">
        <f aca="false">IF(NOT(ISNUMBER(B1043)),"",ROUND((INDEX(BP!$D$5:$D$9,MATCH(B1043,BP!$A$5:$A$9,1))-INDEX(BP!$C$5:$C$9,MATCH(B1043,BP!$A$5:$A$9,1)))/(INDEX(BP!$B$5:$B$9,MATCH(B1043,BP!$A$5:$A$9,1))-INDEX(BP!$A$5:$A$9,MATCH(B1043,BP!$A$5:$A$9,1)))*(B1043-INDEX(BP!$A$5:$A$9,MATCH(B1043,BP!$A$5:$A$9,1)))+INDEX(BP!$C$5:$C$9,MATCH(B1043,BP!$A$5:$A$9,1)),0))</f>
        <v>25</v>
      </c>
      <c r="D1043" s="12" t="str">
        <f aca="false">IF(NOT(ISNUMBER(C1043)),"",INDEX(BP!$F$5:$F$9,MATCH(C1043,BP!$E$5:$E$9,1)))</f>
        <v>ดีมาก</v>
      </c>
      <c r="E1043" s="12" t="n">
        <f aca="false">YEAR(A1043)</f>
        <v>2023</v>
      </c>
      <c r="F1043" s="12" t="n">
        <f aca="false">MONTH(A1043)</f>
        <v>11</v>
      </c>
      <c r="G1043" s="12" t="n">
        <v>10.7</v>
      </c>
      <c r="H1043" s="12" t="n">
        <v>25.9</v>
      </c>
      <c r="I1043" s="12" t="n">
        <v>45</v>
      </c>
      <c r="J1043" s="12" t="n">
        <v>2.2</v>
      </c>
      <c r="K1043" s="12" t="n">
        <v>18.2</v>
      </c>
      <c r="L1043" s="12" t="s">
        <v>36</v>
      </c>
    </row>
    <row r="1044" customFormat="false" ht="15" hidden="false" customHeight="false" outlineLevel="0" collapsed="false">
      <c r="A1044" s="11" t="n">
        <v>45239</v>
      </c>
      <c r="B1044" s="12" t="n">
        <v>16.8</v>
      </c>
      <c r="C1044" s="12" t="n">
        <f aca="false">IF(NOT(ISNUMBER(B1044)),"",ROUND((INDEX(BP!$D$5:$D$9,MATCH(B1044,BP!$A$5:$A$9,1))-INDEX(BP!$C$5:$C$9,MATCH(B1044,BP!$A$5:$A$9,1)))/(INDEX(BP!$B$5:$B$9,MATCH(B1044,BP!$A$5:$A$9,1))-INDEX(BP!$A$5:$A$9,MATCH(B1044,BP!$A$5:$A$9,1)))*(B1044-INDEX(BP!$A$5:$A$9,MATCH(B1044,BP!$A$5:$A$9,1)))+INDEX(BP!$C$5:$C$9,MATCH(B1044,BP!$A$5:$A$9,1)),0))</f>
        <v>30</v>
      </c>
      <c r="D1044" s="12" t="str">
        <f aca="false">IF(NOT(ISNUMBER(C1044)),"",INDEX(BP!$F$5:$F$9,MATCH(C1044,BP!$E$5:$E$9,1)))</f>
        <v>ดี</v>
      </c>
      <c r="E1044" s="12" t="n">
        <f aca="false">YEAR(A1044)</f>
        <v>2023</v>
      </c>
      <c r="F1044" s="12" t="n">
        <f aca="false">MONTH(A1044)</f>
        <v>11</v>
      </c>
      <c r="G1044" s="12" t="n">
        <v>12.5</v>
      </c>
      <c r="H1044" s="12" t="n">
        <v>29.9</v>
      </c>
      <c r="I1044" s="12" t="n">
        <v>353</v>
      </c>
      <c r="J1044" s="12" t="n">
        <v>4.5</v>
      </c>
      <c r="K1044" s="12" t="n">
        <v>4.4</v>
      </c>
      <c r="L1044" s="12" t="s">
        <v>36</v>
      </c>
    </row>
    <row r="1045" customFormat="false" ht="15" hidden="false" customHeight="false" outlineLevel="0" collapsed="false">
      <c r="A1045" s="11" t="n">
        <v>45240</v>
      </c>
      <c r="B1045" s="12" t="n">
        <v>14.7</v>
      </c>
      <c r="C1045" s="12" t="n">
        <f aca="false">IF(NOT(ISNUMBER(B1045)),"",ROUND((INDEX(BP!$D$5:$D$9,MATCH(B1045,BP!$A$5:$A$9,1))-INDEX(BP!$C$5:$C$9,MATCH(B1045,BP!$A$5:$A$9,1)))/(INDEX(BP!$B$5:$B$9,MATCH(B1045,BP!$A$5:$A$9,1))-INDEX(BP!$A$5:$A$9,MATCH(B1045,BP!$A$5:$A$9,1)))*(B1045-INDEX(BP!$A$5:$A$9,MATCH(B1045,BP!$A$5:$A$9,1)))+INDEX(BP!$C$5:$C$9,MATCH(B1045,BP!$A$5:$A$9,1)),0))</f>
        <v>25</v>
      </c>
      <c r="D1045" s="12" t="str">
        <f aca="false">IF(NOT(ISNUMBER(C1045)),"",INDEX(BP!$F$5:$F$9,MATCH(C1045,BP!$E$5:$E$9,1)))</f>
        <v>ดีมาก</v>
      </c>
      <c r="E1045" s="12" t="n">
        <f aca="false">YEAR(A1045)</f>
        <v>2023</v>
      </c>
      <c r="F1045" s="12" t="n">
        <f aca="false">MONTH(A1045)</f>
        <v>11</v>
      </c>
      <c r="G1045" s="12" t="n">
        <v>10.2</v>
      </c>
      <c r="H1045" s="12" t="n">
        <v>24.8</v>
      </c>
      <c r="I1045" s="12" t="n">
        <v>85</v>
      </c>
      <c r="J1045" s="12" t="n">
        <v>3.1</v>
      </c>
      <c r="K1045" s="12" t="n">
        <v>57.2</v>
      </c>
      <c r="L1045" s="12" t="s">
        <v>36</v>
      </c>
    </row>
    <row r="1046" customFormat="false" ht="15" hidden="false" customHeight="false" outlineLevel="0" collapsed="false">
      <c r="A1046" s="11" t="n">
        <v>45241</v>
      </c>
      <c r="B1046" s="12" t="n">
        <v>14.4</v>
      </c>
      <c r="C1046" s="12" t="n">
        <f aca="false">IF(NOT(ISNUMBER(B1046)),"",ROUND((INDEX(BP!$D$5:$D$9,MATCH(B1046,BP!$A$5:$A$9,1))-INDEX(BP!$C$5:$C$9,MATCH(B1046,BP!$A$5:$A$9,1)))/(INDEX(BP!$B$5:$B$9,MATCH(B1046,BP!$A$5:$A$9,1))-INDEX(BP!$A$5:$A$9,MATCH(B1046,BP!$A$5:$A$9,1)))*(B1046-INDEX(BP!$A$5:$A$9,MATCH(B1046,BP!$A$5:$A$9,1)))+INDEX(BP!$C$5:$C$9,MATCH(B1046,BP!$A$5:$A$9,1)),0))</f>
        <v>24</v>
      </c>
      <c r="D1046" s="12" t="str">
        <f aca="false">IF(NOT(ISNUMBER(C1046)),"",INDEX(BP!$F$5:$F$9,MATCH(C1046,BP!$E$5:$E$9,1)))</f>
        <v>ดีมาก</v>
      </c>
      <c r="E1046" s="12" t="n">
        <f aca="false">YEAR(A1046)</f>
        <v>2023</v>
      </c>
      <c r="F1046" s="12" t="n">
        <f aca="false">MONTH(A1046)</f>
        <v>11</v>
      </c>
      <c r="G1046" s="12" t="n">
        <v>12.5</v>
      </c>
      <c r="H1046" s="12" t="n">
        <v>28.4</v>
      </c>
      <c r="I1046" s="12" t="n">
        <v>5</v>
      </c>
      <c r="J1046" s="12" t="n">
        <v>8.5</v>
      </c>
      <c r="K1046" s="12" t="n">
        <v>37.2</v>
      </c>
      <c r="L1046" s="12" t="s">
        <v>35</v>
      </c>
    </row>
    <row r="1047" customFormat="false" ht="15" hidden="false" customHeight="false" outlineLevel="0" collapsed="false">
      <c r="A1047" s="11" t="n">
        <v>45242</v>
      </c>
      <c r="B1047" s="12" t="n">
        <v>8.5</v>
      </c>
      <c r="C1047" s="12" t="n">
        <f aca="false">IF(NOT(ISNUMBER(B1047)),"",ROUND((INDEX(BP!$D$5:$D$9,MATCH(B1047,BP!$A$5:$A$9,1))-INDEX(BP!$C$5:$C$9,MATCH(B1047,BP!$A$5:$A$9,1)))/(INDEX(BP!$B$5:$B$9,MATCH(B1047,BP!$A$5:$A$9,1))-INDEX(BP!$A$5:$A$9,MATCH(B1047,BP!$A$5:$A$9,1)))*(B1047-INDEX(BP!$A$5:$A$9,MATCH(B1047,BP!$A$5:$A$9,1)))+INDEX(BP!$C$5:$C$9,MATCH(B1047,BP!$A$5:$A$9,1)),0))</f>
        <v>14</v>
      </c>
      <c r="D1047" s="12" t="str">
        <f aca="false">IF(NOT(ISNUMBER(C1047)),"",INDEX(BP!$F$5:$F$9,MATCH(C1047,BP!$E$5:$E$9,1)))</f>
        <v>ดีมาก</v>
      </c>
      <c r="E1047" s="12" t="n">
        <f aca="false">YEAR(A1047)</f>
        <v>2023</v>
      </c>
      <c r="F1047" s="12" t="n">
        <f aca="false">MONTH(A1047)</f>
        <v>11</v>
      </c>
      <c r="G1047" s="12" t="n">
        <v>13</v>
      </c>
      <c r="H1047" s="12" t="n">
        <v>29.2</v>
      </c>
      <c r="I1047" s="12" t="n">
        <v>298</v>
      </c>
      <c r="J1047" s="12" t="n">
        <v>11.3</v>
      </c>
      <c r="K1047" s="12" t="n">
        <v>0</v>
      </c>
      <c r="L1047" s="12" t="s">
        <v>35</v>
      </c>
    </row>
    <row r="1048" customFormat="false" ht="15" hidden="false" customHeight="false" outlineLevel="0" collapsed="false">
      <c r="A1048" s="11" t="n">
        <v>45243</v>
      </c>
      <c r="B1048" s="12" t="n">
        <v>11.6</v>
      </c>
      <c r="C1048" s="12" t="n">
        <f aca="false">IF(NOT(ISNUMBER(B1048)),"",ROUND((INDEX(BP!$D$5:$D$9,MATCH(B1048,BP!$A$5:$A$9,1))-INDEX(BP!$C$5:$C$9,MATCH(B1048,BP!$A$5:$A$9,1)))/(INDEX(BP!$B$5:$B$9,MATCH(B1048,BP!$A$5:$A$9,1))-INDEX(BP!$A$5:$A$9,MATCH(B1048,BP!$A$5:$A$9,1)))*(B1048-INDEX(BP!$A$5:$A$9,MATCH(B1048,BP!$A$5:$A$9,1)))+INDEX(BP!$C$5:$C$9,MATCH(B1048,BP!$A$5:$A$9,1)),0))</f>
        <v>19</v>
      </c>
      <c r="D1048" s="12" t="str">
        <f aca="false">IF(NOT(ISNUMBER(C1048)),"",INDEX(BP!$F$5:$F$9,MATCH(C1048,BP!$E$5:$E$9,1)))</f>
        <v>ดีมาก</v>
      </c>
      <c r="E1048" s="12" t="n">
        <f aca="false">YEAR(A1048)</f>
        <v>2023</v>
      </c>
      <c r="F1048" s="12" t="n">
        <f aca="false">MONTH(A1048)</f>
        <v>11</v>
      </c>
      <c r="G1048" s="12" t="n">
        <v>14.7</v>
      </c>
      <c r="H1048" s="12" t="n">
        <v>33.5</v>
      </c>
      <c r="I1048" s="12" t="n">
        <v>91</v>
      </c>
      <c r="J1048" s="12" t="n">
        <v>25.9</v>
      </c>
      <c r="K1048" s="12" t="n">
        <v>7.2</v>
      </c>
      <c r="L1048" s="12" t="s">
        <v>36</v>
      </c>
    </row>
    <row r="1049" customFormat="false" ht="15" hidden="false" customHeight="false" outlineLevel="0" collapsed="false">
      <c r="A1049" s="11" t="n">
        <v>45244</v>
      </c>
      <c r="B1049" s="12" t="n">
        <v>8.8</v>
      </c>
      <c r="C1049" s="12" t="n">
        <f aca="false">IF(NOT(ISNUMBER(B1049)),"",ROUND((INDEX(BP!$D$5:$D$9,MATCH(B1049,BP!$A$5:$A$9,1))-INDEX(BP!$C$5:$C$9,MATCH(B1049,BP!$A$5:$A$9,1)))/(INDEX(BP!$B$5:$B$9,MATCH(B1049,BP!$A$5:$A$9,1))-INDEX(BP!$A$5:$A$9,MATCH(B1049,BP!$A$5:$A$9,1)))*(B1049-INDEX(BP!$A$5:$A$9,MATCH(B1049,BP!$A$5:$A$9,1)))+INDEX(BP!$C$5:$C$9,MATCH(B1049,BP!$A$5:$A$9,1)),0))</f>
        <v>15</v>
      </c>
      <c r="D1049" s="12" t="str">
        <f aca="false">IF(NOT(ISNUMBER(C1049)),"",INDEX(BP!$F$5:$F$9,MATCH(C1049,BP!$E$5:$E$9,1)))</f>
        <v>ดีมาก</v>
      </c>
      <c r="E1049" s="12" t="n">
        <f aca="false">YEAR(A1049)</f>
        <v>2023</v>
      </c>
      <c r="F1049" s="12" t="n">
        <f aca="false">MONTH(A1049)</f>
        <v>11</v>
      </c>
      <c r="G1049" s="12" t="n">
        <v>16.6</v>
      </c>
      <c r="H1049" s="12" t="n">
        <v>40.7</v>
      </c>
      <c r="I1049" s="12" t="n">
        <v>85</v>
      </c>
      <c r="J1049" s="12" t="n">
        <v>21.5</v>
      </c>
      <c r="K1049" s="12" t="n">
        <v>4.4</v>
      </c>
      <c r="L1049" s="12" t="s">
        <v>36</v>
      </c>
    </row>
    <row r="1050" customFormat="false" ht="15" hidden="false" customHeight="false" outlineLevel="0" collapsed="false">
      <c r="A1050" s="11" t="n">
        <v>45245</v>
      </c>
      <c r="B1050" s="12" t="n">
        <v>10.1</v>
      </c>
      <c r="C1050" s="12" t="n">
        <f aca="false">IF(NOT(ISNUMBER(B1050)),"",ROUND((INDEX(BP!$D$5:$D$9,MATCH(B1050,BP!$A$5:$A$9,1))-INDEX(BP!$C$5:$C$9,MATCH(B1050,BP!$A$5:$A$9,1)))/(INDEX(BP!$B$5:$B$9,MATCH(B1050,BP!$A$5:$A$9,1))-INDEX(BP!$A$5:$A$9,MATCH(B1050,BP!$A$5:$A$9,1)))*(B1050-INDEX(BP!$A$5:$A$9,MATCH(B1050,BP!$A$5:$A$9,1)))+INDEX(BP!$C$5:$C$9,MATCH(B1050,BP!$A$5:$A$9,1)),0))</f>
        <v>17</v>
      </c>
      <c r="D1050" s="12" t="str">
        <f aca="false">IF(NOT(ISNUMBER(C1050)),"",INDEX(BP!$F$5:$F$9,MATCH(C1050,BP!$E$5:$E$9,1)))</f>
        <v>ดีมาก</v>
      </c>
      <c r="E1050" s="12" t="n">
        <f aca="false">YEAR(A1050)</f>
        <v>2023</v>
      </c>
      <c r="F1050" s="12" t="n">
        <f aca="false">MONTH(A1050)</f>
        <v>11</v>
      </c>
      <c r="G1050" s="12" t="n">
        <v>16.4</v>
      </c>
      <c r="H1050" s="12" t="n">
        <v>37.4</v>
      </c>
      <c r="I1050" s="12" t="n">
        <v>48</v>
      </c>
      <c r="J1050" s="12" t="n">
        <v>12.1</v>
      </c>
      <c r="K1050" s="12" t="n">
        <v>41.6</v>
      </c>
      <c r="L1050" s="12" t="s">
        <v>36</v>
      </c>
    </row>
    <row r="1051" customFormat="false" ht="15" hidden="false" customHeight="false" outlineLevel="0" collapsed="false">
      <c r="A1051" s="11" t="n">
        <v>45246</v>
      </c>
      <c r="B1051" s="12" t="n">
        <v>10.3</v>
      </c>
      <c r="C1051" s="12" t="n">
        <f aca="false">IF(NOT(ISNUMBER(B1051)),"",ROUND((INDEX(BP!$D$5:$D$9,MATCH(B1051,BP!$A$5:$A$9,1))-INDEX(BP!$C$5:$C$9,MATCH(B1051,BP!$A$5:$A$9,1)))/(INDEX(BP!$B$5:$B$9,MATCH(B1051,BP!$A$5:$A$9,1))-INDEX(BP!$A$5:$A$9,MATCH(B1051,BP!$A$5:$A$9,1)))*(B1051-INDEX(BP!$A$5:$A$9,MATCH(B1051,BP!$A$5:$A$9,1)))+INDEX(BP!$C$5:$C$9,MATCH(B1051,BP!$A$5:$A$9,1)),0))</f>
        <v>17</v>
      </c>
      <c r="D1051" s="12" t="str">
        <f aca="false">IF(NOT(ISNUMBER(C1051)),"",INDEX(BP!$F$5:$F$9,MATCH(C1051,BP!$E$5:$E$9,1)))</f>
        <v>ดีมาก</v>
      </c>
      <c r="E1051" s="12" t="n">
        <f aca="false">YEAR(A1051)</f>
        <v>2023</v>
      </c>
      <c r="F1051" s="12" t="n">
        <f aca="false">MONTH(A1051)</f>
        <v>11</v>
      </c>
      <c r="G1051" s="12" t="n">
        <v>18.1</v>
      </c>
      <c r="H1051" s="12" t="n">
        <v>33.5</v>
      </c>
      <c r="I1051" s="12" t="n">
        <v>81</v>
      </c>
      <c r="J1051" s="12" t="n">
        <v>21.7</v>
      </c>
      <c r="K1051" s="12" t="n">
        <v>16.2</v>
      </c>
      <c r="L1051" s="12" t="s">
        <v>36</v>
      </c>
    </row>
    <row r="1052" customFormat="false" ht="15" hidden="false" customHeight="false" outlineLevel="0" collapsed="false">
      <c r="A1052" s="11" t="n">
        <v>45247</v>
      </c>
      <c r="B1052" s="12" t="n">
        <v>11.7</v>
      </c>
      <c r="C1052" s="12" t="n">
        <f aca="false">IF(NOT(ISNUMBER(B1052)),"",ROUND((INDEX(BP!$D$5:$D$9,MATCH(B1052,BP!$A$5:$A$9,1))-INDEX(BP!$C$5:$C$9,MATCH(B1052,BP!$A$5:$A$9,1)))/(INDEX(BP!$B$5:$B$9,MATCH(B1052,BP!$A$5:$A$9,1))-INDEX(BP!$A$5:$A$9,MATCH(B1052,BP!$A$5:$A$9,1)))*(B1052-INDEX(BP!$A$5:$A$9,MATCH(B1052,BP!$A$5:$A$9,1)))+INDEX(BP!$C$5:$C$9,MATCH(B1052,BP!$A$5:$A$9,1)),0))</f>
        <v>20</v>
      </c>
      <c r="D1052" s="12" t="str">
        <f aca="false">IF(NOT(ISNUMBER(C1052)),"",INDEX(BP!$F$5:$F$9,MATCH(C1052,BP!$E$5:$E$9,1)))</f>
        <v>ดีมาก</v>
      </c>
      <c r="E1052" s="12" t="n">
        <f aca="false">YEAR(A1052)</f>
        <v>2023</v>
      </c>
      <c r="F1052" s="12" t="n">
        <f aca="false">MONTH(A1052)</f>
        <v>11</v>
      </c>
      <c r="G1052" s="12" t="n">
        <v>18.3</v>
      </c>
      <c r="H1052" s="12" t="n">
        <v>41</v>
      </c>
      <c r="I1052" s="12" t="n">
        <v>87</v>
      </c>
      <c r="J1052" s="12" t="n">
        <v>26.6</v>
      </c>
      <c r="K1052" s="12" t="n">
        <v>3</v>
      </c>
      <c r="L1052" s="12" t="s">
        <v>36</v>
      </c>
    </row>
    <row r="1053" customFormat="false" ht="15" hidden="false" customHeight="false" outlineLevel="0" collapsed="false">
      <c r="A1053" s="11" t="n">
        <v>45248</v>
      </c>
      <c r="B1053" s="12" t="n">
        <v>8.7</v>
      </c>
      <c r="C1053" s="12" t="n">
        <f aca="false">IF(NOT(ISNUMBER(B1053)),"",ROUND((INDEX(BP!$D$5:$D$9,MATCH(B1053,BP!$A$5:$A$9,1))-INDEX(BP!$C$5:$C$9,MATCH(B1053,BP!$A$5:$A$9,1)))/(INDEX(BP!$B$5:$B$9,MATCH(B1053,BP!$A$5:$A$9,1))-INDEX(BP!$A$5:$A$9,MATCH(B1053,BP!$A$5:$A$9,1)))*(B1053-INDEX(BP!$A$5:$A$9,MATCH(B1053,BP!$A$5:$A$9,1)))+INDEX(BP!$C$5:$C$9,MATCH(B1053,BP!$A$5:$A$9,1)),0))</f>
        <v>15</v>
      </c>
      <c r="D1053" s="12" t="str">
        <f aca="false">IF(NOT(ISNUMBER(C1053)),"",INDEX(BP!$F$5:$F$9,MATCH(C1053,BP!$E$5:$E$9,1)))</f>
        <v>ดีมาก</v>
      </c>
      <c r="E1053" s="12" t="n">
        <f aca="false">YEAR(A1053)</f>
        <v>2023</v>
      </c>
      <c r="F1053" s="12" t="n">
        <f aca="false">MONTH(A1053)</f>
        <v>11</v>
      </c>
      <c r="G1053" s="12" t="n">
        <v>23.3</v>
      </c>
      <c r="H1053" s="12" t="n">
        <v>42.1</v>
      </c>
      <c r="I1053" s="12" t="n">
        <v>80</v>
      </c>
      <c r="J1053" s="12" t="n">
        <v>13</v>
      </c>
      <c r="K1053" s="12" t="n">
        <v>33.6</v>
      </c>
      <c r="L1053" s="12" t="s">
        <v>35</v>
      </c>
    </row>
    <row r="1054" customFormat="false" ht="15" hidden="false" customHeight="false" outlineLevel="0" collapsed="false">
      <c r="A1054" s="11" t="n">
        <v>45249</v>
      </c>
      <c r="B1054" s="12" t="n">
        <v>11.3</v>
      </c>
      <c r="C1054" s="12" t="n">
        <f aca="false">IF(NOT(ISNUMBER(B1054)),"",ROUND((INDEX(BP!$D$5:$D$9,MATCH(B1054,BP!$A$5:$A$9,1))-INDEX(BP!$C$5:$C$9,MATCH(B1054,BP!$A$5:$A$9,1)))/(INDEX(BP!$B$5:$B$9,MATCH(B1054,BP!$A$5:$A$9,1))-INDEX(BP!$A$5:$A$9,MATCH(B1054,BP!$A$5:$A$9,1)))*(B1054-INDEX(BP!$A$5:$A$9,MATCH(B1054,BP!$A$5:$A$9,1)))+INDEX(BP!$C$5:$C$9,MATCH(B1054,BP!$A$5:$A$9,1)),0))</f>
        <v>19</v>
      </c>
      <c r="D1054" s="12" t="str">
        <f aca="false">IF(NOT(ISNUMBER(C1054)),"",INDEX(BP!$F$5:$F$9,MATCH(C1054,BP!$E$5:$E$9,1)))</f>
        <v>ดีมาก</v>
      </c>
      <c r="E1054" s="12" t="n">
        <f aca="false">YEAR(A1054)</f>
        <v>2023</v>
      </c>
      <c r="F1054" s="12" t="n">
        <f aca="false">MONTH(A1054)</f>
        <v>11</v>
      </c>
      <c r="G1054" s="12" t="n">
        <v>21.7</v>
      </c>
      <c r="H1054" s="12" t="n">
        <v>44.3</v>
      </c>
      <c r="I1054" s="12" t="n">
        <v>74</v>
      </c>
      <c r="J1054" s="12" t="n">
        <v>6.4</v>
      </c>
      <c r="K1054" s="12" t="n">
        <v>5.2</v>
      </c>
      <c r="L1054" s="12" t="s">
        <v>35</v>
      </c>
    </row>
    <row r="1055" customFormat="false" ht="15" hidden="false" customHeight="false" outlineLevel="0" collapsed="false">
      <c r="A1055" s="11" t="n">
        <v>45250</v>
      </c>
      <c r="B1055" s="12" t="n">
        <v>16.1</v>
      </c>
      <c r="C1055" s="12" t="n">
        <f aca="false">IF(NOT(ISNUMBER(B1055)),"",ROUND((INDEX(BP!$D$5:$D$9,MATCH(B1055,BP!$A$5:$A$9,1))-INDEX(BP!$C$5:$C$9,MATCH(B1055,BP!$A$5:$A$9,1)))/(INDEX(BP!$B$5:$B$9,MATCH(B1055,BP!$A$5:$A$9,1))-INDEX(BP!$A$5:$A$9,MATCH(B1055,BP!$A$5:$A$9,1)))*(B1055-INDEX(BP!$A$5:$A$9,MATCH(B1055,BP!$A$5:$A$9,1)))+INDEX(BP!$C$5:$C$9,MATCH(B1055,BP!$A$5:$A$9,1)),0))</f>
        <v>28</v>
      </c>
      <c r="D1055" s="12" t="str">
        <f aca="false">IF(NOT(ISNUMBER(C1055)),"",INDEX(BP!$F$5:$F$9,MATCH(C1055,BP!$E$5:$E$9,1)))</f>
        <v>ดี</v>
      </c>
      <c r="E1055" s="12" t="n">
        <f aca="false">YEAR(A1055)</f>
        <v>2023</v>
      </c>
      <c r="F1055" s="12" t="n">
        <f aca="false">MONTH(A1055)</f>
        <v>11</v>
      </c>
      <c r="G1055" s="12" t="n">
        <v>21.2</v>
      </c>
      <c r="H1055" s="12" t="n">
        <v>41.4</v>
      </c>
      <c r="I1055" s="12" t="n">
        <v>52</v>
      </c>
      <c r="J1055" s="12" t="n">
        <v>3.8</v>
      </c>
      <c r="K1055" s="12" t="n">
        <v>2.6</v>
      </c>
      <c r="L1055" s="12" t="s">
        <v>36</v>
      </c>
    </row>
    <row r="1056" customFormat="false" ht="15" hidden="false" customHeight="false" outlineLevel="0" collapsed="false">
      <c r="A1056" s="11" t="n">
        <v>45251</v>
      </c>
      <c r="B1056" s="12" t="n">
        <v>15.2</v>
      </c>
      <c r="C1056" s="12" t="n">
        <f aca="false">IF(NOT(ISNUMBER(B1056)),"",ROUND((INDEX(BP!$D$5:$D$9,MATCH(B1056,BP!$A$5:$A$9,1))-INDEX(BP!$C$5:$C$9,MATCH(B1056,BP!$A$5:$A$9,1)))/(INDEX(BP!$B$5:$B$9,MATCH(B1056,BP!$A$5:$A$9,1))-INDEX(BP!$A$5:$A$9,MATCH(B1056,BP!$A$5:$A$9,1)))*(B1056-INDEX(BP!$A$5:$A$9,MATCH(B1056,BP!$A$5:$A$9,1)))+INDEX(BP!$C$5:$C$9,MATCH(B1056,BP!$A$5:$A$9,1)),0))</f>
        <v>26</v>
      </c>
      <c r="D1056" s="12" t="str">
        <f aca="false">IF(NOT(ISNUMBER(C1056)),"",INDEX(BP!$F$5:$F$9,MATCH(C1056,BP!$E$5:$E$9,1)))</f>
        <v>ดี</v>
      </c>
      <c r="E1056" s="12" t="n">
        <f aca="false">YEAR(A1056)</f>
        <v>2023</v>
      </c>
      <c r="F1056" s="12" t="n">
        <f aca="false">MONTH(A1056)</f>
        <v>11</v>
      </c>
      <c r="G1056" s="12" t="n">
        <v>15.5</v>
      </c>
      <c r="H1056" s="12" t="n">
        <v>34.9</v>
      </c>
      <c r="I1056" s="12" t="n">
        <v>51</v>
      </c>
      <c r="J1056" s="12" t="n">
        <v>5.6</v>
      </c>
      <c r="K1056" s="12" t="n">
        <v>3.4</v>
      </c>
      <c r="L1056" s="12" t="s">
        <v>36</v>
      </c>
    </row>
    <row r="1057" customFormat="false" ht="15" hidden="false" customHeight="false" outlineLevel="0" collapsed="false">
      <c r="A1057" s="11" t="n">
        <v>45252</v>
      </c>
      <c r="B1057" s="12" t="n">
        <v>16.2</v>
      </c>
      <c r="C1057" s="12" t="n">
        <f aca="false">IF(NOT(ISNUMBER(B1057)),"",ROUND((INDEX(BP!$D$5:$D$9,MATCH(B1057,BP!$A$5:$A$9,1))-INDEX(BP!$C$5:$C$9,MATCH(B1057,BP!$A$5:$A$9,1)))/(INDEX(BP!$B$5:$B$9,MATCH(B1057,BP!$A$5:$A$9,1))-INDEX(BP!$A$5:$A$9,MATCH(B1057,BP!$A$5:$A$9,1)))*(B1057-INDEX(BP!$A$5:$A$9,MATCH(B1057,BP!$A$5:$A$9,1)))+INDEX(BP!$C$5:$C$9,MATCH(B1057,BP!$A$5:$A$9,1)),0))</f>
        <v>29</v>
      </c>
      <c r="D1057" s="12" t="str">
        <f aca="false">IF(NOT(ISNUMBER(C1057)),"",INDEX(BP!$F$5:$F$9,MATCH(C1057,BP!$E$5:$E$9,1)))</f>
        <v>ดี</v>
      </c>
      <c r="E1057" s="12" t="n">
        <f aca="false">YEAR(A1057)</f>
        <v>2023</v>
      </c>
      <c r="F1057" s="12" t="n">
        <f aca="false">MONTH(A1057)</f>
        <v>11</v>
      </c>
      <c r="G1057" s="12" t="n">
        <v>17.1</v>
      </c>
      <c r="H1057" s="12" t="n">
        <v>36</v>
      </c>
      <c r="I1057" s="12" t="n">
        <v>49</v>
      </c>
      <c r="J1057" s="12" t="n">
        <v>16.7</v>
      </c>
      <c r="K1057" s="12" t="n">
        <v>1.8</v>
      </c>
      <c r="L1057" s="12" t="s">
        <v>36</v>
      </c>
    </row>
    <row r="1058" customFormat="false" ht="15" hidden="false" customHeight="false" outlineLevel="0" collapsed="false">
      <c r="A1058" s="11" t="n">
        <v>45253</v>
      </c>
      <c r="B1058" s="12" t="n">
        <v>15.1</v>
      </c>
      <c r="C1058" s="12" t="n">
        <f aca="false">IF(NOT(ISNUMBER(B1058)),"",ROUND((INDEX(BP!$D$5:$D$9,MATCH(B1058,BP!$A$5:$A$9,1))-INDEX(BP!$C$5:$C$9,MATCH(B1058,BP!$A$5:$A$9,1)))/(INDEX(BP!$B$5:$B$9,MATCH(B1058,BP!$A$5:$A$9,1))-INDEX(BP!$A$5:$A$9,MATCH(B1058,BP!$A$5:$A$9,1)))*(B1058-INDEX(BP!$A$5:$A$9,MATCH(B1058,BP!$A$5:$A$9,1)))+INDEX(BP!$C$5:$C$9,MATCH(B1058,BP!$A$5:$A$9,1)),0))</f>
        <v>26</v>
      </c>
      <c r="D1058" s="12" t="str">
        <f aca="false">IF(NOT(ISNUMBER(C1058)),"",INDEX(BP!$F$5:$F$9,MATCH(C1058,BP!$E$5:$E$9,1)))</f>
        <v>ดี</v>
      </c>
      <c r="E1058" s="12" t="n">
        <f aca="false">YEAR(A1058)</f>
        <v>2023</v>
      </c>
      <c r="F1058" s="12" t="n">
        <f aca="false">MONTH(A1058)</f>
        <v>11</v>
      </c>
      <c r="G1058" s="12" t="n">
        <v>15.5</v>
      </c>
      <c r="H1058" s="12" t="n">
        <v>30.2</v>
      </c>
      <c r="I1058" s="12" t="n">
        <v>57</v>
      </c>
      <c r="J1058" s="12" t="n">
        <v>10.6</v>
      </c>
      <c r="K1058" s="12" t="n">
        <v>2.4</v>
      </c>
      <c r="L1058" s="12" t="s">
        <v>36</v>
      </c>
    </row>
    <row r="1059" customFormat="false" ht="15" hidden="false" customHeight="false" outlineLevel="0" collapsed="false">
      <c r="A1059" s="11" t="n">
        <v>45254</v>
      </c>
      <c r="B1059" s="12" t="n">
        <v>13.2</v>
      </c>
      <c r="C1059" s="12" t="n">
        <f aca="false">IF(NOT(ISNUMBER(B1059)),"",ROUND((INDEX(BP!$D$5:$D$9,MATCH(B1059,BP!$A$5:$A$9,1))-INDEX(BP!$C$5:$C$9,MATCH(B1059,BP!$A$5:$A$9,1)))/(INDEX(BP!$B$5:$B$9,MATCH(B1059,BP!$A$5:$A$9,1))-INDEX(BP!$A$5:$A$9,MATCH(B1059,BP!$A$5:$A$9,1)))*(B1059-INDEX(BP!$A$5:$A$9,MATCH(B1059,BP!$A$5:$A$9,1)))+INDEX(BP!$C$5:$C$9,MATCH(B1059,BP!$A$5:$A$9,1)),0))</f>
        <v>22</v>
      </c>
      <c r="D1059" s="12" t="str">
        <f aca="false">IF(NOT(ISNUMBER(C1059)),"",INDEX(BP!$F$5:$F$9,MATCH(C1059,BP!$E$5:$E$9,1)))</f>
        <v>ดีมาก</v>
      </c>
      <c r="E1059" s="12" t="n">
        <f aca="false">YEAR(A1059)</f>
        <v>2023</v>
      </c>
      <c r="F1059" s="12" t="n">
        <f aca="false">MONTH(A1059)</f>
        <v>11</v>
      </c>
      <c r="G1059" s="12" t="n">
        <v>16.3</v>
      </c>
      <c r="H1059" s="12" t="n">
        <v>32.4</v>
      </c>
      <c r="I1059" s="12" t="n">
        <v>82</v>
      </c>
      <c r="J1059" s="12" t="n">
        <v>14</v>
      </c>
      <c r="K1059" s="12" t="n">
        <v>6.2</v>
      </c>
      <c r="L1059" s="12" t="s">
        <v>36</v>
      </c>
    </row>
    <row r="1060" customFormat="false" ht="15" hidden="false" customHeight="false" outlineLevel="0" collapsed="false">
      <c r="A1060" s="11" t="n">
        <v>45255</v>
      </c>
      <c r="B1060" s="12" t="n">
        <v>12.2</v>
      </c>
      <c r="C1060" s="12" t="n">
        <f aca="false">IF(NOT(ISNUMBER(B1060)),"",ROUND((INDEX(BP!$D$5:$D$9,MATCH(B1060,BP!$A$5:$A$9,1))-INDEX(BP!$C$5:$C$9,MATCH(B1060,BP!$A$5:$A$9,1)))/(INDEX(BP!$B$5:$B$9,MATCH(B1060,BP!$A$5:$A$9,1))-INDEX(BP!$A$5:$A$9,MATCH(B1060,BP!$A$5:$A$9,1)))*(B1060-INDEX(BP!$A$5:$A$9,MATCH(B1060,BP!$A$5:$A$9,1)))+INDEX(BP!$C$5:$C$9,MATCH(B1060,BP!$A$5:$A$9,1)),0))</f>
        <v>20</v>
      </c>
      <c r="D1060" s="12" t="str">
        <f aca="false">IF(NOT(ISNUMBER(C1060)),"",INDEX(BP!$F$5:$F$9,MATCH(C1060,BP!$E$5:$E$9,1)))</f>
        <v>ดีมาก</v>
      </c>
      <c r="E1060" s="12" t="n">
        <f aca="false">YEAR(A1060)</f>
        <v>2023</v>
      </c>
      <c r="F1060" s="12" t="n">
        <f aca="false">MONTH(A1060)</f>
        <v>11</v>
      </c>
      <c r="G1060" s="12" t="n">
        <v>17.9</v>
      </c>
      <c r="H1060" s="12" t="n">
        <v>42.8</v>
      </c>
      <c r="I1060" s="12" t="n">
        <v>63</v>
      </c>
      <c r="J1060" s="12" t="n">
        <v>19.1</v>
      </c>
      <c r="K1060" s="12" t="n">
        <v>136.6</v>
      </c>
      <c r="L1060" s="12" t="s">
        <v>35</v>
      </c>
    </row>
    <row r="1061" customFormat="false" ht="15" hidden="false" customHeight="false" outlineLevel="0" collapsed="false">
      <c r="A1061" s="11" t="n">
        <v>45256</v>
      </c>
      <c r="B1061" s="12" t="n">
        <v>8.2</v>
      </c>
      <c r="C1061" s="12" t="n">
        <f aca="false">IF(NOT(ISNUMBER(B1061)),"",ROUND((INDEX(BP!$D$5:$D$9,MATCH(B1061,BP!$A$5:$A$9,1))-INDEX(BP!$C$5:$C$9,MATCH(B1061,BP!$A$5:$A$9,1)))/(INDEX(BP!$B$5:$B$9,MATCH(B1061,BP!$A$5:$A$9,1))-INDEX(BP!$A$5:$A$9,MATCH(B1061,BP!$A$5:$A$9,1)))*(B1061-INDEX(BP!$A$5:$A$9,MATCH(B1061,BP!$A$5:$A$9,1)))+INDEX(BP!$C$5:$C$9,MATCH(B1061,BP!$A$5:$A$9,1)),0))</f>
        <v>14</v>
      </c>
      <c r="D1061" s="12" t="str">
        <f aca="false">IF(NOT(ISNUMBER(C1061)),"",INDEX(BP!$F$5:$F$9,MATCH(C1061,BP!$E$5:$E$9,1)))</f>
        <v>ดีมาก</v>
      </c>
      <c r="E1061" s="12" t="n">
        <f aca="false">YEAR(A1061)</f>
        <v>2023</v>
      </c>
      <c r="F1061" s="12" t="n">
        <f aca="false">MONTH(A1061)</f>
        <v>11</v>
      </c>
      <c r="G1061" s="12" t="n">
        <v>21</v>
      </c>
      <c r="H1061" s="12" t="n">
        <v>40.3</v>
      </c>
      <c r="I1061" s="12" t="n">
        <v>50</v>
      </c>
      <c r="J1061" s="12" t="n">
        <v>85.8</v>
      </c>
      <c r="K1061" s="12" t="n">
        <v>25.6</v>
      </c>
      <c r="L1061" s="12" t="s">
        <v>35</v>
      </c>
    </row>
    <row r="1062" customFormat="false" ht="15" hidden="false" customHeight="false" outlineLevel="0" collapsed="false">
      <c r="A1062" s="11" t="n">
        <v>45257</v>
      </c>
      <c r="B1062" s="12" t="n">
        <v>8.1</v>
      </c>
      <c r="C1062" s="12" t="n">
        <f aca="false">IF(NOT(ISNUMBER(B1062)),"",ROUND((INDEX(BP!$D$5:$D$9,MATCH(B1062,BP!$A$5:$A$9,1))-INDEX(BP!$C$5:$C$9,MATCH(B1062,BP!$A$5:$A$9,1)))/(INDEX(BP!$B$5:$B$9,MATCH(B1062,BP!$A$5:$A$9,1))-INDEX(BP!$A$5:$A$9,MATCH(B1062,BP!$A$5:$A$9,1)))*(B1062-INDEX(BP!$A$5:$A$9,MATCH(B1062,BP!$A$5:$A$9,1)))+INDEX(BP!$C$5:$C$9,MATCH(B1062,BP!$A$5:$A$9,1)),0))</f>
        <v>14</v>
      </c>
      <c r="D1062" s="12" t="str">
        <f aca="false">IF(NOT(ISNUMBER(C1062)),"",INDEX(BP!$F$5:$F$9,MATCH(C1062,BP!$E$5:$E$9,1)))</f>
        <v>ดีมาก</v>
      </c>
      <c r="E1062" s="12" t="n">
        <f aca="false">YEAR(A1062)</f>
        <v>2023</v>
      </c>
      <c r="F1062" s="12" t="n">
        <f aca="false">MONTH(A1062)</f>
        <v>11</v>
      </c>
      <c r="G1062" s="12" t="n">
        <v>19</v>
      </c>
      <c r="H1062" s="12" t="n">
        <v>37.4</v>
      </c>
      <c r="I1062" s="12" t="n">
        <v>96</v>
      </c>
      <c r="J1062" s="12" t="n">
        <v>30.4</v>
      </c>
      <c r="K1062" s="12" t="n">
        <v>8.6</v>
      </c>
      <c r="L1062" s="12" t="s">
        <v>36</v>
      </c>
    </row>
    <row r="1063" customFormat="false" ht="15" hidden="false" customHeight="false" outlineLevel="0" collapsed="false">
      <c r="A1063" s="11" t="n">
        <v>45258</v>
      </c>
      <c r="B1063" s="12" t="n">
        <v>10.4</v>
      </c>
      <c r="C1063" s="12" t="n">
        <f aca="false">IF(NOT(ISNUMBER(B1063)),"",ROUND((INDEX(BP!$D$5:$D$9,MATCH(B1063,BP!$A$5:$A$9,1))-INDEX(BP!$C$5:$C$9,MATCH(B1063,BP!$A$5:$A$9,1)))/(INDEX(BP!$B$5:$B$9,MATCH(B1063,BP!$A$5:$A$9,1))-INDEX(BP!$A$5:$A$9,MATCH(B1063,BP!$A$5:$A$9,1)))*(B1063-INDEX(BP!$A$5:$A$9,MATCH(B1063,BP!$A$5:$A$9,1)))+INDEX(BP!$C$5:$C$9,MATCH(B1063,BP!$A$5:$A$9,1)),0))</f>
        <v>17</v>
      </c>
      <c r="D1063" s="12" t="str">
        <f aca="false">IF(NOT(ISNUMBER(C1063)),"",INDEX(BP!$F$5:$F$9,MATCH(C1063,BP!$E$5:$E$9,1)))</f>
        <v>ดีมาก</v>
      </c>
      <c r="E1063" s="12" t="n">
        <f aca="false">YEAR(A1063)</f>
        <v>2023</v>
      </c>
      <c r="F1063" s="12" t="n">
        <f aca="false">MONTH(A1063)</f>
        <v>11</v>
      </c>
      <c r="G1063" s="12" t="n">
        <v>25.9</v>
      </c>
      <c r="H1063" s="12" t="n">
        <v>54.4</v>
      </c>
      <c r="I1063" s="12" t="n">
        <v>87</v>
      </c>
      <c r="J1063" s="12" t="n">
        <v>20.8</v>
      </c>
      <c r="K1063" s="12" t="n">
        <v>3</v>
      </c>
      <c r="L1063" s="12" t="s">
        <v>36</v>
      </c>
    </row>
    <row r="1064" customFormat="false" ht="15" hidden="false" customHeight="false" outlineLevel="0" collapsed="false">
      <c r="A1064" s="11" t="n">
        <v>45259</v>
      </c>
      <c r="B1064" s="12" t="n">
        <v>9.6</v>
      </c>
      <c r="C1064" s="12" t="n">
        <f aca="false">IF(NOT(ISNUMBER(B1064)),"",ROUND((INDEX(BP!$D$5:$D$9,MATCH(B1064,BP!$A$5:$A$9,1))-INDEX(BP!$C$5:$C$9,MATCH(B1064,BP!$A$5:$A$9,1)))/(INDEX(BP!$B$5:$B$9,MATCH(B1064,BP!$A$5:$A$9,1))-INDEX(BP!$A$5:$A$9,MATCH(B1064,BP!$A$5:$A$9,1)))*(B1064-INDEX(BP!$A$5:$A$9,MATCH(B1064,BP!$A$5:$A$9,1)))+INDEX(BP!$C$5:$C$9,MATCH(B1064,BP!$A$5:$A$9,1)),0))</f>
        <v>16</v>
      </c>
      <c r="D1064" s="12" t="str">
        <f aca="false">IF(NOT(ISNUMBER(C1064)),"",INDEX(BP!$F$5:$F$9,MATCH(C1064,BP!$E$5:$E$9,1)))</f>
        <v>ดีมาก</v>
      </c>
      <c r="E1064" s="12" t="n">
        <f aca="false">YEAR(A1064)</f>
        <v>2023</v>
      </c>
      <c r="F1064" s="12" t="n">
        <f aca="false">MONTH(A1064)</f>
        <v>11</v>
      </c>
      <c r="G1064" s="12" t="n">
        <v>21.6</v>
      </c>
      <c r="H1064" s="12" t="n">
        <v>45.4</v>
      </c>
      <c r="I1064" s="12" t="n">
        <v>83</v>
      </c>
      <c r="J1064" s="12" t="n">
        <v>18.4</v>
      </c>
      <c r="K1064" s="12" t="n">
        <v>67.4</v>
      </c>
      <c r="L1064" s="12" t="s">
        <v>36</v>
      </c>
    </row>
    <row r="1065" customFormat="false" ht="15" hidden="false" customHeight="false" outlineLevel="0" collapsed="false">
      <c r="A1065" s="11" t="n">
        <v>45260</v>
      </c>
      <c r="B1065" s="12" t="n">
        <v>8.9</v>
      </c>
      <c r="C1065" s="12" t="n">
        <f aca="false">IF(NOT(ISNUMBER(B1065)),"",ROUND((INDEX(BP!$D$5:$D$9,MATCH(B1065,BP!$A$5:$A$9,1))-INDEX(BP!$C$5:$C$9,MATCH(B1065,BP!$A$5:$A$9,1)))/(INDEX(BP!$B$5:$B$9,MATCH(B1065,BP!$A$5:$A$9,1))-INDEX(BP!$A$5:$A$9,MATCH(B1065,BP!$A$5:$A$9,1)))*(B1065-INDEX(BP!$A$5:$A$9,MATCH(B1065,BP!$A$5:$A$9,1)))+INDEX(BP!$C$5:$C$9,MATCH(B1065,BP!$A$5:$A$9,1)),0))</f>
        <v>15</v>
      </c>
      <c r="D1065" s="12" t="str">
        <f aca="false">IF(NOT(ISNUMBER(C1065)),"",INDEX(BP!$F$5:$F$9,MATCH(C1065,BP!$E$5:$E$9,1)))</f>
        <v>ดีมาก</v>
      </c>
      <c r="E1065" s="12" t="n">
        <f aca="false">YEAR(A1065)</f>
        <v>2023</v>
      </c>
      <c r="F1065" s="12" t="n">
        <f aca="false">MONTH(A1065)</f>
        <v>11</v>
      </c>
      <c r="G1065" s="12" t="n">
        <v>19.5</v>
      </c>
      <c r="H1065" s="12" t="n">
        <v>36.4</v>
      </c>
      <c r="I1065" s="12" t="n">
        <v>88</v>
      </c>
      <c r="J1065" s="12" t="n">
        <v>10.4</v>
      </c>
      <c r="K1065" s="12" t="n">
        <v>1.4</v>
      </c>
      <c r="L1065" s="12" t="s">
        <v>36</v>
      </c>
    </row>
    <row r="1066" customFormat="false" ht="15" hidden="false" customHeight="false" outlineLevel="0" collapsed="false">
      <c r="A1066" s="11" t="n">
        <v>45261</v>
      </c>
      <c r="B1066" s="12" t="n">
        <v>11.5</v>
      </c>
      <c r="C1066" s="12" t="n">
        <f aca="false">IF(NOT(ISNUMBER(B1066)),"",ROUND((INDEX(BP!$D$5:$D$9,MATCH(B1066,BP!$A$5:$A$9,1))-INDEX(BP!$C$5:$C$9,MATCH(B1066,BP!$A$5:$A$9,1)))/(INDEX(BP!$B$5:$B$9,MATCH(B1066,BP!$A$5:$A$9,1))-INDEX(BP!$A$5:$A$9,MATCH(B1066,BP!$A$5:$A$9,1)))*(B1066-INDEX(BP!$A$5:$A$9,MATCH(B1066,BP!$A$5:$A$9,1)))+INDEX(BP!$C$5:$C$9,MATCH(B1066,BP!$A$5:$A$9,1)),0))</f>
        <v>19</v>
      </c>
      <c r="D1066" s="12" t="str">
        <f aca="false">IF(NOT(ISNUMBER(C1066)),"",INDEX(BP!$F$5:$F$9,MATCH(C1066,BP!$E$5:$E$9,1)))</f>
        <v>ดีมาก</v>
      </c>
      <c r="E1066" s="12" t="n">
        <f aca="false">YEAR(A1066)</f>
        <v>2023</v>
      </c>
      <c r="F1066" s="12" t="n">
        <f aca="false">MONTH(A1066)</f>
        <v>12</v>
      </c>
      <c r="G1066" s="12" t="n">
        <v>22.1</v>
      </c>
      <c r="H1066" s="12" t="n">
        <v>49.7</v>
      </c>
      <c r="I1066" s="12" t="n">
        <v>80</v>
      </c>
      <c r="J1066" s="12" t="n">
        <v>10.7</v>
      </c>
      <c r="K1066" s="12" t="n">
        <v>29</v>
      </c>
      <c r="L1066" s="12" t="s">
        <v>36</v>
      </c>
    </row>
    <row r="1067" customFormat="false" ht="15" hidden="false" customHeight="false" outlineLevel="0" collapsed="false">
      <c r="A1067" s="11" t="n">
        <v>45262</v>
      </c>
      <c r="B1067" s="12" t="n">
        <v>11.4</v>
      </c>
      <c r="C1067" s="12" t="n">
        <f aca="false">IF(NOT(ISNUMBER(B1067)),"",ROUND((INDEX(BP!$D$5:$D$9,MATCH(B1067,BP!$A$5:$A$9,1))-INDEX(BP!$C$5:$C$9,MATCH(B1067,BP!$A$5:$A$9,1)))/(INDEX(BP!$B$5:$B$9,MATCH(B1067,BP!$A$5:$A$9,1))-INDEX(BP!$A$5:$A$9,MATCH(B1067,BP!$A$5:$A$9,1)))*(B1067-INDEX(BP!$A$5:$A$9,MATCH(B1067,BP!$A$5:$A$9,1)))+INDEX(BP!$C$5:$C$9,MATCH(B1067,BP!$A$5:$A$9,1)),0))</f>
        <v>19</v>
      </c>
      <c r="D1067" s="12" t="str">
        <f aca="false">IF(NOT(ISNUMBER(C1067)),"",INDEX(BP!$F$5:$F$9,MATCH(C1067,BP!$E$5:$E$9,1)))</f>
        <v>ดีมาก</v>
      </c>
      <c r="E1067" s="12" t="n">
        <f aca="false">YEAR(A1067)</f>
        <v>2023</v>
      </c>
      <c r="F1067" s="12" t="n">
        <f aca="false">MONTH(A1067)</f>
        <v>12</v>
      </c>
      <c r="G1067" s="12" t="n">
        <v>23.2</v>
      </c>
      <c r="H1067" s="12" t="n">
        <v>49.3</v>
      </c>
      <c r="I1067" s="12" t="n">
        <v>90</v>
      </c>
      <c r="J1067" s="12" t="n">
        <v>8.9</v>
      </c>
      <c r="K1067" s="12" t="n">
        <v>11.6</v>
      </c>
      <c r="L1067" s="12" t="s">
        <v>35</v>
      </c>
    </row>
    <row r="1068" customFormat="false" ht="15" hidden="false" customHeight="false" outlineLevel="0" collapsed="false">
      <c r="A1068" s="11" t="n">
        <v>45263</v>
      </c>
      <c r="B1068" s="12" t="n">
        <v>9.8</v>
      </c>
      <c r="C1068" s="12" t="n">
        <f aca="false">IF(NOT(ISNUMBER(B1068)),"",ROUND((INDEX(BP!$D$5:$D$9,MATCH(B1068,BP!$A$5:$A$9,1))-INDEX(BP!$C$5:$C$9,MATCH(B1068,BP!$A$5:$A$9,1)))/(INDEX(BP!$B$5:$B$9,MATCH(B1068,BP!$A$5:$A$9,1))-INDEX(BP!$A$5:$A$9,MATCH(B1068,BP!$A$5:$A$9,1)))*(B1068-INDEX(BP!$A$5:$A$9,MATCH(B1068,BP!$A$5:$A$9,1)))+INDEX(BP!$C$5:$C$9,MATCH(B1068,BP!$A$5:$A$9,1)),0))</f>
        <v>16</v>
      </c>
      <c r="D1068" s="12" t="str">
        <f aca="false">IF(NOT(ISNUMBER(C1068)),"",INDEX(BP!$F$5:$F$9,MATCH(C1068,BP!$E$5:$E$9,1)))</f>
        <v>ดีมาก</v>
      </c>
      <c r="E1068" s="12" t="n">
        <f aca="false">YEAR(A1068)</f>
        <v>2023</v>
      </c>
      <c r="F1068" s="12" t="n">
        <f aca="false">MONTH(A1068)</f>
        <v>12</v>
      </c>
      <c r="G1068" s="12" t="n">
        <v>17.3</v>
      </c>
      <c r="H1068" s="12" t="n">
        <v>39.6</v>
      </c>
      <c r="I1068" s="12" t="n">
        <v>87</v>
      </c>
      <c r="J1068" s="12" t="n">
        <v>19.4</v>
      </c>
      <c r="K1068" s="12" t="n">
        <v>0.8</v>
      </c>
      <c r="L1068" s="12" t="s">
        <v>35</v>
      </c>
    </row>
    <row r="1069" customFormat="false" ht="15" hidden="false" customHeight="false" outlineLevel="0" collapsed="false">
      <c r="A1069" s="11" t="n">
        <v>45264</v>
      </c>
      <c r="B1069" s="12" t="n">
        <v>8.8</v>
      </c>
      <c r="C1069" s="12" t="n">
        <f aca="false">IF(NOT(ISNUMBER(B1069)),"",ROUND((INDEX(BP!$D$5:$D$9,MATCH(B1069,BP!$A$5:$A$9,1))-INDEX(BP!$C$5:$C$9,MATCH(B1069,BP!$A$5:$A$9,1)))/(INDEX(BP!$B$5:$B$9,MATCH(B1069,BP!$A$5:$A$9,1))-INDEX(BP!$A$5:$A$9,MATCH(B1069,BP!$A$5:$A$9,1)))*(B1069-INDEX(BP!$A$5:$A$9,MATCH(B1069,BP!$A$5:$A$9,1)))+INDEX(BP!$C$5:$C$9,MATCH(B1069,BP!$A$5:$A$9,1)),0))</f>
        <v>15</v>
      </c>
      <c r="D1069" s="12" t="str">
        <f aca="false">IF(NOT(ISNUMBER(C1069)),"",INDEX(BP!$F$5:$F$9,MATCH(C1069,BP!$E$5:$E$9,1)))</f>
        <v>ดีมาก</v>
      </c>
      <c r="E1069" s="12" t="n">
        <f aca="false">YEAR(A1069)</f>
        <v>2023</v>
      </c>
      <c r="F1069" s="12" t="n">
        <f aca="false">MONTH(A1069)</f>
        <v>12</v>
      </c>
      <c r="G1069" s="12" t="n">
        <v>17.1</v>
      </c>
      <c r="H1069" s="12" t="n">
        <v>40</v>
      </c>
      <c r="I1069" s="12" t="n">
        <v>98</v>
      </c>
      <c r="J1069" s="12" t="n">
        <v>1.8</v>
      </c>
      <c r="K1069" s="12" t="n">
        <v>0</v>
      </c>
      <c r="L1069" s="12" t="s">
        <v>36</v>
      </c>
    </row>
    <row r="1070" customFormat="false" ht="15" hidden="false" customHeight="false" outlineLevel="0" collapsed="false">
      <c r="A1070" s="11" t="n">
        <v>45265</v>
      </c>
      <c r="B1070" s="12" t="n">
        <v>10.9</v>
      </c>
      <c r="C1070" s="12" t="n">
        <f aca="false">IF(NOT(ISNUMBER(B1070)),"",ROUND((INDEX(BP!$D$5:$D$9,MATCH(B1070,BP!$A$5:$A$9,1))-INDEX(BP!$C$5:$C$9,MATCH(B1070,BP!$A$5:$A$9,1)))/(INDEX(BP!$B$5:$B$9,MATCH(B1070,BP!$A$5:$A$9,1))-INDEX(BP!$A$5:$A$9,MATCH(B1070,BP!$A$5:$A$9,1)))*(B1070-INDEX(BP!$A$5:$A$9,MATCH(B1070,BP!$A$5:$A$9,1)))+INDEX(BP!$C$5:$C$9,MATCH(B1070,BP!$A$5:$A$9,1)),0))</f>
        <v>18</v>
      </c>
      <c r="D1070" s="12" t="str">
        <f aca="false">IF(NOT(ISNUMBER(C1070)),"",INDEX(BP!$F$5:$F$9,MATCH(C1070,BP!$E$5:$E$9,1)))</f>
        <v>ดีมาก</v>
      </c>
      <c r="E1070" s="12" t="n">
        <f aca="false">YEAR(A1070)</f>
        <v>2023</v>
      </c>
      <c r="F1070" s="12" t="n">
        <f aca="false">MONTH(A1070)</f>
        <v>12</v>
      </c>
      <c r="G1070" s="12" t="n">
        <v>14</v>
      </c>
      <c r="H1070" s="12" t="n">
        <v>34.6</v>
      </c>
      <c r="I1070" s="12" t="n">
        <v>97</v>
      </c>
      <c r="J1070" s="12" t="n">
        <v>2</v>
      </c>
      <c r="K1070" s="12" t="n">
        <v>6.4</v>
      </c>
      <c r="L1070" s="12" t="s">
        <v>34</v>
      </c>
    </row>
    <row r="1071" customFormat="false" ht="15" hidden="false" customHeight="false" outlineLevel="0" collapsed="false">
      <c r="A1071" s="11" t="n">
        <v>45266</v>
      </c>
      <c r="B1071" s="12" t="n">
        <v>12.9</v>
      </c>
      <c r="C1071" s="12" t="n">
        <f aca="false">IF(NOT(ISNUMBER(B1071)),"",ROUND((INDEX(BP!$D$5:$D$9,MATCH(B1071,BP!$A$5:$A$9,1))-INDEX(BP!$C$5:$C$9,MATCH(B1071,BP!$A$5:$A$9,1)))/(INDEX(BP!$B$5:$B$9,MATCH(B1071,BP!$A$5:$A$9,1))-INDEX(BP!$A$5:$A$9,MATCH(B1071,BP!$A$5:$A$9,1)))*(B1071-INDEX(BP!$A$5:$A$9,MATCH(B1071,BP!$A$5:$A$9,1)))+INDEX(BP!$C$5:$C$9,MATCH(B1071,BP!$A$5:$A$9,1)),0))</f>
        <v>22</v>
      </c>
      <c r="D1071" s="12" t="str">
        <f aca="false">IF(NOT(ISNUMBER(C1071)),"",INDEX(BP!$F$5:$F$9,MATCH(C1071,BP!$E$5:$E$9,1)))</f>
        <v>ดีมาก</v>
      </c>
      <c r="E1071" s="12" t="n">
        <f aca="false">YEAR(A1071)</f>
        <v>2023</v>
      </c>
      <c r="F1071" s="12" t="n">
        <f aca="false">MONTH(A1071)</f>
        <v>12</v>
      </c>
      <c r="G1071" s="12" t="n">
        <v>18.8</v>
      </c>
      <c r="H1071" s="12" t="n">
        <v>40.3</v>
      </c>
      <c r="I1071" s="12" t="n">
        <v>80</v>
      </c>
      <c r="J1071" s="12" t="n">
        <v>0.6</v>
      </c>
      <c r="K1071" s="12" t="n">
        <v>1</v>
      </c>
      <c r="L1071" s="12" t="s">
        <v>36</v>
      </c>
    </row>
    <row r="1072" customFormat="false" ht="15" hidden="false" customHeight="false" outlineLevel="0" collapsed="false">
      <c r="A1072" s="11" t="n">
        <v>45267</v>
      </c>
      <c r="B1072" s="12" t="n">
        <v>11.6</v>
      </c>
      <c r="C1072" s="12" t="n">
        <f aca="false">IF(NOT(ISNUMBER(B1072)),"",ROUND((INDEX(BP!$D$5:$D$9,MATCH(B1072,BP!$A$5:$A$9,1))-INDEX(BP!$C$5:$C$9,MATCH(B1072,BP!$A$5:$A$9,1)))/(INDEX(BP!$B$5:$B$9,MATCH(B1072,BP!$A$5:$A$9,1))-INDEX(BP!$A$5:$A$9,MATCH(B1072,BP!$A$5:$A$9,1)))*(B1072-INDEX(BP!$A$5:$A$9,MATCH(B1072,BP!$A$5:$A$9,1)))+INDEX(BP!$C$5:$C$9,MATCH(B1072,BP!$A$5:$A$9,1)),0))</f>
        <v>19</v>
      </c>
      <c r="D1072" s="12" t="str">
        <f aca="false">IF(NOT(ISNUMBER(C1072)),"",INDEX(BP!$F$5:$F$9,MATCH(C1072,BP!$E$5:$E$9,1)))</f>
        <v>ดีมาก</v>
      </c>
      <c r="E1072" s="12" t="n">
        <f aca="false">YEAR(A1072)</f>
        <v>2023</v>
      </c>
      <c r="F1072" s="12" t="n">
        <f aca="false">MONTH(A1072)</f>
        <v>12</v>
      </c>
      <c r="G1072" s="12" t="n">
        <v>17.1</v>
      </c>
      <c r="H1072" s="12" t="n">
        <v>38.5</v>
      </c>
      <c r="I1072" s="12" t="n">
        <v>90</v>
      </c>
      <c r="J1072" s="12" t="n">
        <v>3</v>
      </c>
      <c r="K1072" s="12" t="n">
        <v>16.4</v>
      </c>
      <c r="L1072" s="12" t="s">
        <v>36</v>
      </c>
    </row>
    <row r="1073" customFormat="false" ht="15" hidden="false" customHeight="false" outlineLevel="0" collapsed="false">
      <c r="A1073" s="11" t="n">
        <v>45268</v>
      </c>
      <c r="B1073" s="12" t="n">
        <v>12.5</v>
      </c>
      <c r="C1073" s="12" t="n">
        <f aca="false">IF(NOT(ISNUMBER(B1073)),"",ROUND((INDEX(BP!$D$5:$D$9,MATCH(B1073,BP!$A$5:$A$9,1))-INDEX(BP!$C$5:$C$9,MATCH(B1073,BP!$A$5:$A$9,1)))/(INDEX(BP!$B$5:$B$9,MATCH(B1073,BP!$A$5:$A$9,1))-INDEX(BP!$A$5:$A$9,MATCH(B1073,BP!$A$5:$A$9,1)))*(B1073-INDEX(BP!$A$5:$A$9,MATCH(B1073,BP!$A$5:$A$9,1)))+INDEX(BP!$C$5:$C$9,MATCH(B1073,BP!$A$5:$A$9,1)),0))</f>
        <v>21</v>
      </c>
      <c r="D1073" s="12" t="str">
        <f aca="false">IF(NOT(ISNUMBER(C1073)),"",INDEX(BP!$F$5:$F$9,MATCH(C1073,BP!$E$5:$E$9,1)))</f>
        <v>ดีมาก</v>
      </c>
      <c r="E1073" s="12" t="n">
        <f aca="false">YEAR(A1073)</f>
        <v>2023</v>
      </c>
      <c r="F1073" s="12" t="n">
        <f aca="false">MONTH(A1073)</f>
        <v>12</v>
      </c>
      <c r="G1073" s="12" t="n">
        <v>20.5</v>
      </c>
      <c r="H1073" s="12" t="n">
        <v>43.6</v>
      </c>
      <c r="I1073" s="12" t="n">
        <v>90</v>
      </c>
      <c r="J1073" s="12" t="n">
        <v>2.7</v>
      </c>
      <c r="K1073" s="12" t="n">
        <v>0</v>
      </c>
      <c r="L1073" s="12" t="s">
        <v>36</v>
      </c>
    </row>
    <row r="1074" customFormat="false" ht="15" hidden="false" customHeight="false" outlineLevel="0" collapsed="false">
      <c r="A1074" s="11" t="n">
        <v>45269</v>
      </c>
      <c r="B1074" s="12" t="n">
        <v>13.6</v>
      </c>
      <c r="C1074" s="12" t="n">
        <f aca="false">IF(NOT(ISNUMBER(B1074)),"",ROUND((INDEX(BP!$D$5:$D$9,MATCH(B1074,BP!$A$5:$A$9,1))-INDEX(BP!$C$5:$C$9,MATCH(B1074,BP!$A$5:$A$9,1)))/(INDEX(BP!$B$5:$B$9,MATCH(B1074,BP!$A$5:$A$9,1))-INDEX(BP!$A$5:$A$9,MATCH(B1074,BP!$A$5:$A$9,1)))*(B1074-INDEX(BP!$A$5:$A$9,MATCH(B1074,BP!$A$5:$A$9,1)))+INDEX(BP!$C$5:$C$9,MATCH(B1074,BP!$A$5:$A$9,1)),0))</f>
        <v>23</v>
      </c>
      <c r="D1074" s="12" t="str">
        <f aca="false">IF(NOT(ISNUMBER(C1074)),"",INDEX(BP!$F$5:$F$9,MATCH(C1074,BP!$E$5:$E$9,1)))</f>
        <v>ดีมาก</v>
      </c>
      <c r="E1074" s="12" t="n">
        <f aca="false">YEAR(A1074)</f>
        <v>2023</v>
      </c>
      <c r="F1074" s="12" t="n">
        <f aca="false">MONTH(A1074)</f>
        <v>12</v>
      </c>
      <c r="G1074" s="12" t="n">
        <v>18.9</v>
      </c>
      <c r="H1074" s="12" t="n">
        <v>40</v>
      </c>
      <c r="I1074" s="12" t="n">
        <v>81</v>
      </c>
      <c r="J1074" s="12" t="n">
        <v>1</v>
      </c>
      <c r="K1074" s="12" t="n">
        <v>0</v>
      </c>
      <c r="L1074" s="12" t="s">
        <v>35</v>
      </c>
    </row>
    <row r="1075" customFormat="false" ht="15" hidden="false" customHeight="false" outlineLevel="0" collapsed="false">
      <c r="A1075" s="11" t="n">
        <v>45270</v>
      </c>
      <c r="B1075" s="12" t="n">
        <v>16.7</v>
      </c>
      <c r="C1075" s="12" t="n">
        <f aca="false">IF(NOT(ISNUMBER(B1075)),"",ROUND((INDEX(BP!$D$5:$D$9,MATCH(B1075,BP!$A$5:$A$9,1))-INDEX(BP!$C$5:$C$9,MATCH(B1075,BP!$A$5:$A$9,1)))/(INDEX(BP!$B$5:$B$9,MATCH(B1075,BP!$A$5:$A$9,1))-INDEX(BP!$A$5:$A$9,MATCH(B1075,BP!$A$5:$A$9,1)))*(B1075-INDEX(BP!$A$5:$A$9,MATCH(B1075,BP!$A$5:$A$9,1)))+INDEX(BP!$C$5:$C$9,MATCH(B1075,BP!$A$5:$A$9,1)),0))</f>
        <v>30</v>
      </c>
      <c r="D1075" s="12" t="str">
        <f aca="false">IF(NOT(ISNUMBER(C1075)),"",INDEX(BP!$F$5:$F$9,MATCH(C1075,BP!$E$5:$E$9,1)))</f>
        <v>ดี</v>
      </c>
      <c r="E1075" s="12" t="n">
        <f aca="false">YEAR(A1075)</f>
        <v>2023</v>
      </c>
      <c r="F1075" s="12" t="n">
        <f aca="false">MONTH(A1075)</f>
        <v>12</v>
      </c>
      <c r="G1075" s="12" t="n">
        <v>11.8</v>
      </c>
      <c r="H1075" s="12" t="n">
        <v>28.1</v>
      </c>
      <c r="I1075" s="12" t="n">
        <v>59</v>
      </c>
      <c r="J1075" s="12" t="n">
        <v>1.2</v>
      </c>
      <c r="K1075" s="12" t="n">
        <v>3.8</v>
      </c>
      <c r="L1075" s="12" t="s">
        <v>34</v>
      </c>
    </row>
    <row r="1076" customFormat="false" ht="15" hidden="false" customHeight="false" outlineLevel="0" collapsed="false">
      <c r="A1076" s="11" t="n">
        <v>45271</v>
      </c>
      <c r="B1076" s="12" t="n">
        <v>20</v>
      </c>
      <c r="C1076" s="12" t="n">
        <f aca="false">IF(NOT(ISNUMBER(B1076)),"",ROUND((INDEX(BP!$D$5:$D$9,MATCH(B1076,BP!$A$5:$A$9,1))-INDEX(BP!$C$5:$C$9,MATCH(B1076,BP!$A$5:$A$9,1)))/(INDEX(BP!$B$5:$B$9,MATCH(B1076,BP!$A$5:$A$9,1))-INDEX(BP!$A$5:$A$9,MATCH(B1076,BP!$A$5:$A$9,1)))*(B1076-INDEX(BP!$A$5:$A$9,MATCH(B1076,BP!$A$5:$A$9,1)))+INDEX(BP!$C$5:$C$9,MATCH(B1076,BP!$A$5:$A$9,1)),0))</f>
        <v>38</v>
      </c>
      <c r="D1076" s="12" t="str">
        <f aca="false">IF(NOT(ISNUMBER(C1076)),"",INDEX(BP!$F$5:$F$9,MATCH(C1076,BP!$E$5:$E$9,1)))</f>
        <v>ดี</v>
      </c>
      <c r="E1076" s="12" t="n">
        <f aca="false">YEAR(A1076)</f>
        <v>2023</v>
      </c>
      <c r="F1076" s="12" t="n">
        <f aca="false">MONTH(A1076)</f>
        <v>12</v>
      </c>
      <c r="G1076" s="12" t="n">
        <v>17.1</v>
      </c>
      <c r="H1076" s="12" t="n">
        <v>35.3</v>
      </c>
      <c r="I1076" s="12" t="n">
        <v>67</v>
      </c>
      <c r="J1076" s="12" t="n">
        <v>3.3</v>
      </c>
      <c r="K1076" s="12" t="n">
        <v>0.8</v>
      </c>
      <c r="L1076" s="12" t="s">
        <v>34</v>
      </c>
    </row>
    <row r="1077" customFormat="false" ht="15" hidden="false" customHeight="false" outlineLevel="0" collapsed="false">
      <c r="A1077" s="11" t="n">
        <v>45272</v>
      </c>
      <c r="B1077" s="12" t="n">
        <v>16.6</v>
      </c>
      <c r="C1077" s="12" t="n">
        <f aca="false">IF(NOT(ISNUMBER(B1077)),"",ROUND((INDEX(BP!$D$5:$D$9,MATCH(B1077,BP!$A$5:$A$9,1))-INDEX(BP!$C$5:$C$9,MATCH(B1077,BP!$A$5:$A$9,1)))/(INDEX(BP!$B$5:$B$9,MATCH(B1077,BP!$A$5:$A$9,1))-INDEX(BP!$A$5:$A$9,MATCH(B1077,BP!$A$5:$A$9,1)))*(B1077-INDEX(BP!$A$5:$A$9,MATCH(B1077,BP!$A$5:$A$9,1)))+INDEX(BP!$C$5:$C$9,MATCH(B1077,BP!$A$5:$A$9,1)),0))</f>
        <v>30</v>
      </c>
      <c r="D1077" s="12" t="str">
        <f aca="false">IF(NOT(ISNUMBER(C1077)),"",INDEX(BP!$F$5:$F$9,MATCH(C1077,BP!$E$5:$E$9,1)))</f>
        <v>ดี</v>
      </c>
      <c r="E1077" s="12" t="n">
        <f aca="false">YEAR(A1077)</f>
        <v>2023</v>
      </c>
      <c r="F1077" s="12" t="n">
        <f aca="false">MONTH(A1077)</f>
        <v>12</v>
      </c>
      <c r="G1077" s="12" t="n">
        <v>17.6</v>
      </c>
      <c r="H1077" s="12" t="n">
        <v>37.4</v>
      </c>
      <c r="I1077" s="12" t="n">
        <v>80</v>
      </c>
      <c r="J1077" s="12" t="n">
        <v>0.6</v>
      </c>
      <c r="K1077" s="12" t="n">
        <v>0</v>
      </c>
      <c r="L1077" s="12" t="s">
        <v>36</v>
      </c>
    </row>
    <row r="1078" customFormat="false" ht="15" hidden="false" customHeight="false" outlineLevel="0" collapsed="false">
      <c r="A1078" s="11" t="n">
        <v>45273</v>
      </c>
      <c r="B1078" s="12" t="n">
        <v>18.4</v>
      </c>
      <c r="C1078" s="12" t="n">
        <f aca="false">IF(NOT(ISNUMBER(B1078)),"",ROUND((INDEX(BP!$D$5:$D$9,MATCH(B1078,BP!$A$5:$A$9,1))-INDEX(BP!$C$5:$C$9,MATCH(B1078,BP!$A$5:$A$9,1)))/(INDEX(BP!$B$5:$B$9,MATCH(B1078,BP!$A$5:$A$9,1))-INDEX(BP!$A$5:$A$9,MATCH(B1078,BP!$A$5:$A$9,1)))*(B1078-INDEX(BP!$A$5:$A$9,MATCH(B1078,BP!$A$5:$A$9,1)))+INDEX(BP!$C$5:$C$9,MATCH(B1078,BP!$A$5:$A$9,1)),0))</f>
        <v>34</v>
      </c>
      <c r="D1078" s="12" t="str">
        <f aca="false">IF(NOT(ISNUMBER(C1078)),"",INDEX(BP!$F$5:$F$9,MATCH(C1078,BP!$E$5:$E$9,1)))</f>
        <v>ดี</v>
      </c>
      <c r="E1078" s="12" t="n">
        <f aca="false">YEAR(A1078)</f>
        <v>2023</v>
      </c>
      <c r="F1078" s="12" t="n">
        <f aca="false">MONTH(A1078)</f>
        <v>12</v>
      </c>
      <c r="G1078" s="12" t="n">
        <v>21.4</v>
      </c>
      <c r="H1078" s="12" t="n">
        <v>48.6</v>
      </c>
      <c r="I1078" s="12" t="n">
        <v>85</v>
      </c>
      <c r="J1078" s="12" t="n">
        <v>9.6</v>
      </c>
      <c r="K1078" s="12" t="n">
        <v>16</v>
      </c>
      <c r="L1078" s="12" t="s">
        <v>36</v>
      </c>
    </row>
    <row r="1079" customFormat="false" ht="15" hidden="false" customHeight="false" outlineLevel="0" collapsed="false">
      <c r="A1079" s="11" t="n">
        <v>45274</v>
      </c>
      <c r="B1079" s="12" t="n">
        <v>14</v>
      </c>
      <c r="C1079" s="12" t="n">
        <f aca="false">IF(NOT(ISNUMBER(B1079)),"",ROUND((INDEX(BP!$D$5:$D$9,MATCH(B1079,BP!$A$5:$A$9,1))-INDEX(BP!$C$5:$C$9,MATCH(B1079,BP!$A$5:$A$9,1)))/(INDEX(BP!$B$5:$B$9,MATCH(B1079,BP!$A$5:$A$9,1))-INDEX(BP!$A$5:$A$9,MATCH(B1079,BP!$A$5:$A$9,1)))*(B1079-INDEX(BP!$A$5:$A$9,MATCH(B1079,BP!$A$5:$A$9,1)))+INDEX(BP!$C$5:$C$9,MATCH(B1079,BP!$A$5:$A$9,1)),0))</f>
        <v>23</v>
      </c>
      <c r="D1079" s="12" t="str">
        <f aca="false">IF(NOT(ISNUMBER(C1079)),"",INDEX(BP!$F$5:$F$9,MATCH(C1079,BP!$E$5:$E$9,1)))</f>
        <v>ดีมาก</v>
      </c>
      <c r="E1079" s="12" t="n">
        <f aca="false">YEAR(A1079)</f>
        <v>2023</v>
      </c>
      <c r="F1079" s="12" t="n">
        <f aca="false">MONTH(A1079)</f>
        <v>12</v>
      </c>
      <c r="G1079" s="12" t="n">
        <v>22.3</v>
      </c>
      <c r="H1079" s="12" t="n">
        <v>46.4</v>
      </c>
      <c r="I1079" s="12" t="n">
        <v>85</v>
      </c>
      <c r="J1079" s="12" t="n">
        <v>6.5</v>
      </c>
      <c r="K1079" s="12" t="n">
        <v>17.4</v>
      </c>
      <c r="L1079" s="12" t="s">
        <v>36</v>
      </c>
    </row>
    <row r="1080" customFormat="false" ht="15" hidden="false" customHeight="false" outlineLevel="0" collapsed="false">
      <c r="A1080" s="11" t="n">
        <v>45275</v>
      </c>
      <c r="B1080" s="12" t="n">
        <v>13.6</v>
      </c>
      <c r="C1080" s="12" t="n">
        <f aca="false">IF(NOT(ISNUMBER(B1080)),"",ROUND((INDEX(BP!$D$5:$D$9,MATCH(B1080,BP!$A$5:$A$9,1))-INDEX(BP!$C$5:$C$9,MATCH(B1080,BP!$A$5:$A$9,1)))/(INDEX(BP!$B$5:$B$9,MATCH(B1080,BP!$A$5:$A$9,1))-INDEX(BP!$A$5:$A$9,MATCH(B1080,BP!$A$5:$A$9,1)))*(B1080-INDEX(BP!$A$5:$A$9,MATCH(B1080,BP!$A$5:$A$9,1)))+INDEX(BP!$C$5:$C$9,MATCH(B1080,BP!$A$5:$A$9,1)),0))</f>
        <v>23</v>
      </c>
      <c r="D1080" s="12" t="str">
        <f aca="false">IF(NOT(ISNUMBER(C1080)),"",INDEX(BP!$F$5:$F$9,MATCH(C1080,BP!$E$5:$E$9,1)))</f>
        <v>ดีมาก</v>
      </c>
      <c r="E1080" s="12" t="n">
        <f aca="false">YEAR(A1080)</f>
        <v>2023</v>
      </c>
      <c r="F1080" s="12" t="n">
        <f aca="false">MONTH(A1080)</f>
        <v>12</v>
      </c>
      <c r="G1080" s="12" t="n">
        <v>20.2</v>
      </c>
      <c r="H1080" s="12" t="n">
        <v>40.3</v>
      </c>
      <c r="I1080" s="12" t="n">
        <v>85</v>
      </c>
      <c r="J1080" s="12" t="n">
        <v>13.5</v>
      </c>
      <c r="K1080" s="12" t="n">
        <v>37.8</v>
      </c>
      <c r="L1080" s="12" t="s">
        <v>36</v>
      </c>
    </row>
    <row r="1081" customFormat="false" ht="15" hidden="false" customHeight="false" outlineLevel="0" collapsed="false">
      <c r="A1081" s="11" t="n">
        <v>45276</v>
      </c>
      <c r="B1081" s="12" t="n">
        <v>14</v>
      </c>
      <c r="C1081" s="12" t="n">
        <f aca="false">IF(NOT(ISNUMBER(B1081)),"",ROUND((INDEX(BP!$D$5:$D$9,MATCH(B1081,BP!$A$5:$A$9,1))-INDEX(BP!$C$5:$C$9,MATCH(B1081,BP!$A$5:$A$9,1)))/(INDEX(BP!$B$5:$B$9,MATCH(B1081,BP!$A$5:$A$9,1))-INDEX(BP!$A$5:$A$9,MATCH(B1081,BP!$A$5:$A$9,1)))*(B1081-INDEX(BP!$A$5:$A$9,MATCH(B1081,BP!$A$5:$A$9,1)))+INDEX(BP!$C$5:$C$9,MATCH(B1081,BP!$A$5:$A$9,1)),0))</f>
        <v>23</v>
      </c>
      <c r="D1081" s="12" t="str">
        <f aca="false">IF(NOT(ISNUMBER(C1081)),"",INDEX(BP!$F$5:$F$9,MATCH(C1081,BP!$E$5:$E$9,1)))</f>
        <v>ดีมาก</v>
      </c>
      <c r="E1081" s="12" t="n">
        <f aca="false">YEAR(A1081)</f>
        <v>2023</v>
      </c>
      <c r="F1081" s="12" t="n">
        <f aca="false">MONTH(A1081)</f>
        <v>12</v>
      </c>
      <c r="G1081" s="12" t="n">
        <v>19.2</v>
      </c>
      <c r="H1081" s="12" t="n">
        <v>39.6</v>
      </c>
      <c r="I1081" s="12" t="n">
        <v>82</v>
      </c>
      <c r="J1081" s="12" t="n">
        <v>0.7</v>
      </c>
      <c r="K1081" s="12" t="n">
        <v>0</v>
      </c>
      <c r="L1081" s="12" t="s">
        <v>35</v>
      </c>
    </row>
    <row r="1082" customFormat="false" ht="15" hidden="false" customHeight="false" outlineLevel="0" collapsed="false">
      <c r="A1082" s="11" t="n">
        <v>45277</v>
      </c>
      <c r="B1082" s="12" t="n">
        <v>13.5</v>
      </c>
      <c r="C1082" s="12" t="n">
        <f aca="false">IF(NOT(ISNUMBER(B1082)),"",ROUND((INDEX(BP!$D$5:$D$9,MATCH(B1082,BP!$A$5:$A$9,1))-INDEX(BP!$C$5:$C$9,MATCH(B1082,BP!$A$5:$A$9,1)))/(INDEX(BP!$B$5:$B$9,MATCH(B1082,BP!$A$5:$A$9,1))-INDEX(BP!$A$5:$A$9,MATCH(B1082,BP!$A$5:$A$9,1)))*(B1082-INDEX(BP!$A$5:$A$9,MATCH(B1082,BP!$A$5:$A$9,1)))+INDEX(BP!$C$5:$C$9,MATCH(B1082,BP!$A$5:$A$9,1)),0))</f>
        <v>23</v>
      </c>
      <c r="D1082" s="12" t="str">
        <f aca="false">IF(NOT(ISNUMBER(C1082)),"",INDEX(BP!$F$5:$F$9,MATCH(C1082,BP!$E$5:$E$9,1)))</f>
        <v>ดีมาก</v>
      </c>
      <c r="E1082" s="12" t="n">
        <f aca="false">YEAR(A1082)</f>
        <v>2023</v>
      </c>
      <c r="F1082" s="12" t="n">
        <f aca="false">MONTH(A1082)</f>
        <v>12</v>
      </c>
      <c r="G1082" s="12" t="n">
        <v>23.1</v>
      </c>
      <c r="H1082" s="12" t="n">
        <v>49.3</v>
      </c>
      <c r="I1082" s="12" t="n">
        <v>88</v>
      </c>
      <c r="J1082" s="12" t="n">
        <v>0.7</v>
      </c>
      <c r="K1082" s="12" t="n">
        <v>0</v>
      </c>
      <c r="L1082" s="12" t="s">
        <v>35</v>
      </c>
    </row>
    <row r="1083" customFormat="false" ht="15" hidden="false" customHeight="false" outlineLevel="0" collapsed="false">
      <c r="A1083" s="11" t="n">
        <v>45278</v>
      </c>
      <c r="B1083" s="12" t="n">
        <v>13.5</v>
      </c>
      <c r="C1083" s="12" t="n">
        <f aca="false">IF(NOT(ISNUMBER(B1083)),"",ROUND((INDEX(BP!$D$5:$D$9,MATCH(B1083,BP!$A$5:$A$9,1))-INDEX(BP!$C$5:$C$9,MATCH(B1083,BP!$A$5:$A$9,1)))/(INDEX(BP!$B$5:$B$9,MATCH(B1083,BP!$A$5:$A$9,1))-INDEX(BP!$A$5:$A$9,MATCH(B1083,BP!$A$5:$A$9,1)))*(B1083-INDEX(BP!$A$5:$A$9,MATCH(B1083,BP!$A$5:$A$9,1)))+INDEX(BP!$C$5:$C$9,MATCH(B1083,BP!$A$5:$A$9,1)),0))</f>
        <v>23</v>
      </c>
      <c r="D1083" s="12" t="str">
        <f aca="false">IF(NOT(ISNUMBER(C1083)),"",INDEX(BP!$F$5:$F$9,MATCH(C1083,BP!$E$5:$E$9,1)))</f>
        <v>ดีมาก</v>
      </c>
      <c r="E1083" s="12" t="n">
        <f aca="false">YEAR(A1083)</f>
        <v>2023</v>
      </c>
      <c r="F1083" s="12" t="n">
        <f aca="false">MONTH(A1083)</f>
        <v>12</v>
      </c>
      <c r="G1083" s="12" t="n">
        <v>26.2</v>
      </c>
      <c r="H1083" s="12" t="n">
        <v>52.9</v>
      </c>
      <c r="I1083" s="12" t="n">
        <v>81</v>
      </c>
      <c r="J1083" s="12" t="n">
        <v>1.8</v>
      </c>
      <c r="K1083" s="12" t="n">
        <v>4</v>
      </c>
      <c r="L1083" s="12" t="s">
        <v>36</v>
      </c>
    </row>
    <row r="1084" customFormat="false" ht="15" hidden="false" customHeight="false" outlineLevel="0" collapsed="false">
      <c r="A1084" s="11" t="n">
        <v>45279</v>
      </c>
      <c r="B1084" s="12" t="n">
        <v>14.8</v>
      </c>
      <c r="C1084" s="12" t="n">
        <f aca="false">IF(NOT(ISNUMBER(B1084)),"",ROUND((INDEX(BP!$D$5:$D$9,MATCH(B1084,BP!$A$5:$A$9,1))-INDEX(BP!$C$5:$C$9,MATCH(B1084,BP!$A$5:$A$9,1)))/(INDEX(BP!$B$5:$B$9,MATCH(B1084,BP!$A$5:$A$9,1))-INDEX(BP!$A$5:$A$9,MATCH(B1084,BP!$A$5:$A$9,1)))*(B1084-INDEX(BP!$A$5:$A$9,MATCH(B1084,BP!$A$5:$A$9,1)))+INDEX(BP!$C$5:$C$9,MATCH(B1084,BP!$A$5:$A$9,1)),0))</f>
        <v>25</v>
      </c>
      <c r="D1084" s="12" t="str">
        <f aca="false">IF(NOT(ISNUMBER(C1084)),"",INDEX(BP!$F$5:$F$9,MATCH(C1084,BP!$E$5:$E$9,1)))</f>
        <v>ดีมาก</v>
      </c>
      <c r="E1084" s="12" t="n">
        <f aca="false">YEAR(A1084)</f>
        <v>2023</v>
      </c>
      <c r="F1084" s="12" t="n">
        <f aca="false">MONTH(A1084)</f>
        <v>12</v>
      </c>
      <c r="G1084" s="12" t="n">
        <v>19.7</v>
      </c>
      <c r="H1084" s="12" t="n">
        <v>41.8</v>
      </c>
      <c r="I1084" s="12" t="n">
        <v>68</v>
      </c>
      <c r="J1084" s="12" t="n">
        <v>6.5</v>
      </c>
      <c r="K1084" s="12" t="n">
        <v>11.2</v>
      </c>
      <c r="L1084" s="12" t="s">
        <v>36</v>
      </c>
    </row>
    <row r="1085" customFormat="false" ht="15" hidden="false" customHeight="false" outlineLevel="0" collapsed="false">
      <c r="A1085" s="11" t="n">
        <v>45280</v>
      </c>
      <c r="B1085" s="12" t="n">
        <v>15.3</v>
      </c>
      <c r="C1085" s="12" t="n">
        <f aca="false">IF(NOT(ISNUMBER(B1085)),"",ROUND((INDEX(BP!$D$5:$D$9,MATCH(B1085,BP!$A$5:$A$9,1))-INDEX(BP!$C$5:$C$9,MATCH(B1085,BP!$A$5:$A$9,1)))/(INDEX(BP!$B$5:$B$9,MATCH(B1085,BP!$A$5:$A$9,1))-INDEX(BP!$A$5:$A$9,MATCH(B1085,BP!$A$5:$A$9,1)))*(B1085-INDEX(BP!$A$5:$A$9,MATCH(B1085,BP!$A$5:$A$9,1)))+INDEX(BP!$C$5:$C$9,MATCH(B1085,BP!$A$5:$A$9,1)),0))</f>
        <v>26</v>
      </c>
      <c r="D1085" s="12" t="str">
        <f aca="false">IF(NOT(ISNUMBER(C1085)),"",INDEX(BP!$F$5:$F$9,MATCH(C1085,BP!$E$5:$E$9,1)))</f>
        <v>ดี</v>
      </c>
      <c r="E1085" s="12" t="n">
        <f aca="false">YEAR(A1085)</f>
        <v>2023</v>
      </c>
      <c r="F1085" s="12" t="n">
        <f aca="false">MONTH(A1085)</f>
        <v>12</v>
      </c>
      <c r="G1085" s="12" t="n">
        <v>15</v>
      </c>
      <c r="H1085" s="12" t="n">
        <v>38.2</v>
      </c>
      <c r="I1085" s="12" t="n">
        <v>74</v>
      </c>
      <c r="J1085" s="12" t="n">
        <v>2.9</v>
      </c>
      <c r="K1085" s="12" t="n">
        <v>5.2</v>
      </c>
      <c r="L1085" s="12" t="s">
        <v>36</v>
      </c>
    </row>
    <row r="1086" customFormat="false" ht="15" hidden="false" customHeight="false" outlineLevel="0" collapsed="false">
      <c r="A1086" s="11" t="n">
        <v>45281</v>
      </c>
      <c r="B1086" s="12" t="n">
        <v>15.5</v>
      </c>
      <c r="C1086" s="12" t="n">
        <f aca="false">IF(NOT(ISNUMBER(B1086)),"",ROUND((INDEX(BP!$D$5:$D$9,MATCH(B1086,BP!$A$5:$A$9,1))-INDEX(BP!$C$5:$C$9,MATCH(B1086,BP!$A$5:$A$9,1)))/(INDEX(BP!$B$5:$B$9,MATCH(B1086,BP!$A$5:$A$9,1))-INDEX(BP!$A$5:$A$9,MATCH(B1086,BP!$A$5:$A$9,1)))*(B1086-INDEX(BP!$A$5:$A$9,MATCH(B1086,BP!$A$5:$A$9,1)))+INDEX(BP!$C$5:$C$9,MATCH(B1086,BP!$A$5:$A$9,1)),0))</f>
        <v>27</v>
      </c>
      <c r="D1086" s="12" t="str">
        <f aca="false">IF(NOT(ISNUMBER(C1086)),"",INDEX(BP!$F$5:$F$9,MATCH(C1086,BP!$E$5:$E$9,1)))</f>
        <v>ดี</v>
      </c>
      <c r="E1086" s="12" t="n">
        <f aca="false">YEAR(A1086)</f>
        <v>2023</v>
      </c>
      <c r="F1086" s="12" t="n">
        <f aca="false">MONTH(A1086)</f>
        <v>12</v>
      </c>
      <c r="G1086" s="12" t="n">
        <v>16.8</v>
      </c>
      <c r="H1086" s="12" t="n">
        <v>34.6</v>
      </c>
      <c r="I1086" s="12" t="n">
        <v>63</v>
      </c>
      <c r="J1086" s="12" t="n">
        <v>2.4</v>
      </c>
      <c r="K1086" s="12" t="n">
        <v>8.4</v>
      </c>
      <c r="L1086" s="12" t="s">
        <v>36</v>
      </c>
    </row>
    <row r="1087" customFormat="false" ht="15" hidden="false" customHeight="false" outlineLevel="0" collapsed="false">
      <c r="A1087" s="11" t="n">
        <v>45282</v>
      </c>
      <c r="B1087" s="12" t="n">
        <v>15</v>
      </c>
      <c r="C1087" s="12" t="n">
        <f aca="false">IF(NOT(ISNUMBER(B1087)),"",ROUND((INDEX(BP!$D$5:$D$9,MATCH(B1087,BP!$A$5:$A$9,1))-INDEX(BP!$C$5:$C$9,MATCH(B1087,BP!$A$5:$A$9,1)))/(INDEX(BP!$B$5:$B$9,MATCH(B1087,BP!$A$5:$A$9,1))-INDEX(BP!$A$5:$A$9,MATCH(B1087,BP!$A$5:$A$9,1)))*(B1087-INDEX(BP!$A$5:$A$9,MATCH(B1087,BP!$A$5:$A$9,1)))+INDEX(BP!$C$5:$C$9,MATCH(B1087,BP!$A$5:$A$9,1)),0))</f>
        <v>25</v>
      </c>
      <c r="D1087" s="12" t="str">
        <f aca="false">IF(NOT(ISNUMBER(C1087)),"",INDEX(BP!$F$5:$F$9,MATCH(C1087,BP!$E$5:$E$9,1)))</f>
        <v>ดีมาก</v>
      </c>
      <c r="E1087" s="12" t="n">
        <f aca="false">YEAR(A1087)</f>
        <v>2023</v>
      </c>
      <c r="F1087" s="12" t="n">
        <f aca="false">MONTH(A1087)</f>
        <v>12</v>
      </c>
      <c r="G1087" s="12" t="n">
        <v>28.4</v>
      </c>
      <c r="H1087" s="12" t="n">
        <v>58.3</v>
      </c>
      <c r="I1087" s="12" t="n">
        <v>58</v>
      </c>
      <c r="J1087" s="12" t="n">
        <v>3.4</v>
      </c>
      <c r="K1087" s="12" t="n">
        <v>0</v>
      </c>
      <c r="L1087" s="12" t="s">
        <v>36</v>
      </c>
    </row>
    <row r="1088" customFormat="false" ht="15" hidden="false" customHeight="false" outlineLevel="0" collapsed="false">
      <c r="A1088" s="11" t="n">
        <v>45283</v>
      </c>
      <c r="B1088" s="12" t="n">
        <v>15</v>
      </c>
      <c r="C1088" s="12" t="n">
        <f aca="false">IF(NOT(ISNUMBER(B1088)),"",ROUND((INDEX(BP!$D$5:$D$9,MATCH(B1088,BP!$A$5:$A$9,1))-INDEX(BP!$C$5:$C$9,MATCH(B1088,BP!$A$5:$A$9,1)))/(INDEX(BP!$B$5:$B$9,MATCH(B1088,BP!$A$5:$A$9,1))-INDEX(BP!$A$5:$A$9,MATCH(B1088,BP!$A$5:$A$9,1)))*(B1088-INDEX(BP!$A$5:$A$9,MATCH(B1088,BP!$A$5:$A$9,1)))+INDEX(BP!$C$5:$C$9,MATCH(B1088,BP!$A$5:$A$9,1)),0))</f>
        <v>25</v>
      </c>
      <c r="D1088" s="12" t="str">
        <f aca="false">IF(NOT(ISNUMBER(C1088)),"",INDEX(BP!$F$5:$F$9,MATCH(C1088,BP!$E$5:$E$9,1)))</f>
        <v>ดีมาก</v>
      </c>
      <c r="E1088" s="12" t="n">
        <f aca="false">YEAR(A1088)</f>
        <v>2023</v>
      </c>
      <c r="F1088" s="12" t="n">
        <f aca="false">MONTH(A1088)</f>
        <v>12</v>
      </c>
      <c r="G1088" s="12" t="n">
        <v>29.5</v>
      </c>
      <c r="H1088" s="12" t="n">
        <v>59</v>
      </c>
      <c r="I1088" s="12" t="n">
        <v>46</v>
      </c>
      <c r="J1088" s="12" t="n">
        <v>6.7</v>
      </c>
      <c r="K1088" s="12" t="n">
        <v>17.2</v>
      </c>
      <c r="L1088" s="12" t="s">
        <v>35</v>
      </c>
    </row>
    <row r="1089" customFormat="false" ht="15" hidden="false" customHeight="false" outlineLevel="0" collapsed="false">
      <c r="A1089" s="11" t="n">
        <v>45284</v>
      </c>
      <c r="B1089" s="12" t="n">
        <v>14.2</v>
      </c>
      <c r="C1089" s="12" t="n">
        <f aca="false">IF(NOT(ISNUMBER(B1089)),"",ROUND((INDEX(BP!$D$5:$D$9,MATCH(B1089,BP!$A$5:$A$9,1))-INDEX(BP!$C$5:$C$9,MATCH(B1089,BP!$A$5:$A$9,1)))/(INDEX(BP!$B$5:$B$9,MATCH(B1089,BP!$A$5:$A$9,1))-INDEX(BP!$A$5:$A$9,MATCH(B1089,BP!$A$5:$A$9,1)))*(B1089-INDEX(BP!$A$5:$A$9,MATCH(B1089,BP!$A$5:$A$9,1)))+INDEX(BP!$C$5:$C$9,MATCH(B1089,BP!$A$5:$A$9,1)),0))</f>
        <v>24</v>
      </c>
      <c r="D1089" s="12" t="str">
        <f aca="false">IF(NOT(ISNUMBER(C1089)),"",INDEX(BP!$F$5:$F$9,MATCH(C1089,BP!$E$5:$E$9,1)))</f>
        <v>ดีมาก</v>
      </c>
      <c r="E1089" s="12" t="n">
        <f aca="false">YEAR(A1089)</f>
        <v>2023</v>
      </c>
      <c r="F1089" s="12" t="n">
        <f aca="false">MONTH(A1089)</f>
        <v>12</v>
      </c>
      <c r="G1089" s="12" t="n">
        <v>30.5</v>
      </c>
      <c r="H1089" s="12" t="n">
        <v>59.8</v>
      </c>
      <c r="I1089" s="12" t="n">
        <v>66</v>
      </c>
      <c r="J1089" s="12" t="n">
        <v>47.3</v>
      </c>
      <c r="K1089" s="12" t="n">
        <v>75</v>
      </c>
      <c r="L1089" s="12" t="s">
        <v>35</v>
      </c>
    </row>
    <row r="1090" customFormat="false" ht="15" hidden="false" customHeight="false" outlineLevel="0" collapsed="false">
      <c r="A1090" s="11" t="n">
        <v>45285</v>
      </c>
      <c r="B1090" s="12" t="n">
        <v>12.1</v>
      </c>
      <c r="C1090" s="12" t="n">
        <f aca="false">IF(NOT(ISNUMBER(B1090)),"",ROUND((INDEX(BP!$D$5:$D$9,MATCH(B1090,BP!$A$5:$A$9,1))-INDEX(BP!$C$5:$C$9,MATCH(B1090,BP!$A$5:$A$9,1)))/(INDEX(BP!$B$5:$B$9,MATCH(B1090,BP!$A$5:$A$9,1))-INDEX(BP!$A$5:$A$9,MATCH(B1090,BP!$A$5:$A$9,1)))*(B1090-INDEX(BP!$A$5:$A$9,MATCH(B1090,BP!$A$5:$A$9,1)))+INDEX(BP!$C$5:$C$9,MATCH(B1090,BP!$A$5:$A$9,1)),0))</f>
        <v>20</v>
      </c>
      <c r="D1090" s="12" t="str">
        <f aca="false">IF(NOT(ISNUMBER(C1090)),"",INDEX(BP!$F$5:$F$9,MATCH(C1090,BP!$E$5:$E$9,1)))</f>
        <v>ดีมาก</v>
      </c>
      <c r="E1090" s="12" t="n">
        <f aca="false">YEAR(A1090)</f>
        <v>2023</v>
      </c>
      <c r="F1090" s="12" t="n">
        <f aca="false">MONTH(A1090)</f>
        <v>12</v>
      </c>
      <c r="G1090" s="12" t="n">
        <v>24.2</v>
      </c>
      <c r="H1090" s="12" t="n">
        <v>46.4</v>
      </c>
      <c r="I1090" s="12" t="n">
        <v>77</v>
      </c>
      <c r="J1090" s="12" t="n">
        <v>47</v>
      </c>
      <c r="K1090" s="12" t="n">
        <v>23.4</v>
      </c>
      <c r="L1090" s="12" t="s">
        <v>36</v>
      </c>
    </row>
    <row r="1091" customFormat="false" ht="15" hidden="false" customHeight="false" outlineLevel="0" collapsed="false">
      <c r="A1091" s="11" t="n">
        <v>45286</v>
      </c>
      <c r="B1091" s="12" t="n">
        <v>17.2</v>
      </c>
      <c r="C1091" s="12" t="n">
        <f aca="false">IF(NOT(ISNUMBER(B1091)),"",ROUND((INDEX(BP!$D$5:$D$9,MATCH(B1091,BP!$A$5:$A$9,1))-INDEX(BP!$C$5:$C$9,MATCH(B1091,BP!$A$5:$A$9,1)))/(INDEX(BP!$B$5:$B$9,MATCH(B1091,BP!$A$5:$A$9,1))-INDEX(BP!$A$5:$A$9,MATCH(B1091,BP!$A$5:$A$9,1)))*(B1091-INDEX(BP!$A$5:$A$9,MATCH(B1091,BP!$A$5:$A$9,1)))+INDEX(BP!$C$5:$C$9,MATCH(B1091,BP!$A$5:$A$9,1)),0))</f>
        <v>31</v>
      </c>
      <c r="D1091" s="12" t="str">
        <f aca="false">IF(NOT(ISNUMBER(C1091)),"",INDEX(BP!$F$5:$F$9,MATCH(C1091,BP!$E$5:$E$9,1)))</f>
        <v>ดี</v>
      </c>
      <c r="E1091" s="12" t="n">
        <f aca="false">YEAR(A1091)</f>
        <v>2023</v>
      </c>
      <c r="F1091" s="12" t="n">
        <f aca="false">MONTH(A1091)</f>
        <v>12</v>
      </c>
      <c r="G1091" s="12" t="n">
        <v>25</v>
      </c>
      <c r="H1091" s="12" t="n">
        <v>49.3</v>
      </c>
      <c r="I1091" s="12" t="n">
        <v>69</v>
      </c>
      <c r="J1091" s="12" t="n">
        <v>8.3</v>
      </c>
      <c r="K1091" s="12" t="n">
        <v>3</v>
      </c>
      <c r="L1091" s="12" t="s">
        <v>36</v>
      </c>
    </row>
    <row r="1092" customFormat="false" ht="15" hidden="false" customHeight="false" outlineLevel="0" collapsed="false">
      <c r="A1092" s="11" t="n">
        <v>45287</v>
      </c>
      <c r="B1092" s="12" t="n">
        <v>17.2</v>
      </c>
      <c r="C1092" s="12" t="n">
        <f aca="false">IF(NOT(ISNUMBER(B1092)),"",ROUND((INDEX(BP!$D$5:$D$9,MATCH(B1092,BP!$A$5:$A$9,1))-INDEX(BP!$C$5:$C$9,MATCH(B1092,BP!$A$5:$A$9,1)))/(INDEX(BP!$B$5:$B$9,MATCH(B1092,BP!$A$5:$A$9,1))-INDEX(BP!$A$5:$A$9,MATCH(B1092,BP!$A$5:$A$9,1)))*(B1092-INDEX(BP!$A$5:$A$9,MATCH(B1092,BP!$A$5:$A$9,1)))+INDEX(BP!$C$5:$C$9,MATCH(B1092,BP!$A$5:$A$9,1)),0))</f>
        <v>31</v>
      </c>
      <c r="D1092" s="12" t="str">
        <f aca="false">IF(NOT(ISNUMBER(C1092)),"",INDEX(BP!$F$5:$F$9,MATCH(C1092,BP!$E$5:$E$9,1)))</f>
        <v>ดี</v>
      </c>
      <c r="E1092" s="12" t="n">
        <f aca="false">YEAR(A1092)</f>
        <v>2023</v>
      </c>
      <c r="F1092" s="12" t="n">
        <f aca="false">MONTH(A1092)</f>
        <v>12</v>
      </c>
      <c r="G1092" s="12" t="n">
        <v>25.9</v>
      </c>
      <c r="H1092" s="12" t="n">
        <v>52.2</v>
      </c>
      <c r="I1092" s="12" t="n">
        <v>69</v>
      </c>
      <c r="J1092" s="12" t="n">
        <v>1.4</v>
      </c>
      <c r="K1092" s="12" t="n">
        <v>3.4</v>
      </c>
      <c r="L1092" s="12" t="s">
        <v>36</v>
      </c>
    </row>
    <row r="1093" customFormat="false" ht="15" hidden="false" customHeight="false" outlineLevel="0" collapsed="false">
      <c r="A1093" s="11" t="n">
        <v>45288</v>
      </c>
      <c r="B1093" s="12" t="n">
        <v>15.7</v>
      </c>
      <c r="C1093" s="12" t="n">
        <f aca="false">IF(NOT(ISNUMBER(B1093)),"",ROUND((INDEX(BP!$D$5:$D$9,MATCH(B1093,BP!$A$5:$A$9,1))-INDEX(BP!$C$5:$C$9,MATCH(B1093,BP!$A$5:$A$9,1)))/(INDEX(BP!$B$5:$B$9,MATCH(B1093,BP!$A$5:$A$9,1))-INDEX(BP!$A$5:$A$9,MATCH(B1093,BP!$A$5:$A$9,1)))*(B1093-INDEX(BP!$A$5:$A$9,MATCH(B1093,BP!$A$5:$A$9,1)))+INDEX(BP!$C$5:$C$9,MATCH(B1093,BP!$A$5:$A$9,1)),0))</f>
        <v>27</v>
      </c>
      <c r="D1093" s="12" t="str">
        <f aca="false">IF(NOT(ISNUMBER(C1093)),"",INDEX(BP!$F$5:$F$9,MATCH(C1093,BP!$E$5:$E$9,1)))</f>
        <v>ดี</v>
      </c>
      <c r="E1093" s="12" t="n">
        <f aca="false">YEAR(A1093)</f>
        <v>2023</v>
      </c>
      <c r="F1093" s="12" t="n">
        <f aca="false">MONTH(A1093)</f>
        <v>12</v>
      </c>
      <c r="G1093" s="12" t="n">
        <v>27.7</v>
      </c>
      <c r="H1093" s="12" t="n">
        <v>55.4</v>
      </c>
      <c r="I1093" s="12" t="n">
        <v>67</v>
      </c>
      <c r="J1093" s="12" t="n">
        <v>4.6</v>
      </c>
      <c r="K1093" s="12" t="n">
        <v>6.6</v>
      </c>
      <c r="L1093" s="12" t="s">
        <v>36</v>
      </c>
    </row>
    <row r="1094" customFormat="false" ht="15" hidden="false" customHeight="false" outlineLevel="0" collapsed="false">
      <c r="A1094" s="11" t="n">
        <v>45289</v>
      </c>
      <c r="B1094" s="12" t="n">
        <v>13</v>
      </c>
      <c r="C1094" s="12" t="n">
        <f aca="false">IF(NOT(ISNUMBER(B1094)),"",ROUND((INDEX(BP!$D$5:$D$9,MATCH(B1094,BP!$A$5:$A$9,1))-INDEX(BP!$C$5:$C$9,MATCH(B1094,BP!$A$5:$A$9,1)))/(INDEX(BP!$B$5:$B$9,MATCH(B1094,BP!$A$5:$A$9,1))-INDEX(BP!$A$5:$A$9,MATCH(B1094,BP!$A$5:$A$9,1)))*(B1094-INDEX(BP!$A$5:$A$9,MATCH(B1094,BP!$A$5:$A$9,1)))+INDEX(BP!$C$5:$C$9,MATCH(B1094,BP!$A$5:$A$9,1)),0))</f>
        <v>22</v>
      </c>
      <c r="D1094" s="12" t="str">
        <f aca="false">IF(NOT(ISNUMBER(C1094)),"",INDEX(BP!$F$5:$F$9,MATCH(C1094,BP!$E$5:$E$9,1)))</f>
        <v>ดีมาก</v>
      </c>
      <c r="E1094" s="12" t="n">
        <f aca="false">YEAR(A1094)</f>
        <v>2023</v>
      </c>
      <c r="F1094" s="12" t="n">
        <f aca="false">MONTH(A1094)</f>
        <v>12</v>
      </c>
      <c r="G1094" s="12" t="n">
        <v>25.4</v>
      </c>
      <c r="H1094" s="12" t="n">
        <v>53.3</v>
      </c>
      <c r="I1094" s="12" t="n">
        <v>82</v>
      </c>
      <c r="J1094" s="12" t="n">
        <v>6.6</v>
      </c>
      <c r="K1094" s="12" t="n">
        <v>8.8</v>
      </c>
      <c r="L1094" s="12" t="s">
        <v>34</v>
      </c>
    </row>
    <row r="1095" customFormat="false" ht="15" hidden="false" customHeight="false" outlineLevel="0" collapsed="false">
      <c r="A1095" s="11" t="n">
        <v>45290</v>
      </c>
      <c r="B1095" s="12" t="n">
        <v>14</v>
      </c>
      <c r="C1095" s="12" t="n">
        <f aca="false">IF(NOT(ISNUMBER(B1095)),"",ROUND((INDEX(BP!$D$5:$D$9,MATCH(B1095,BP!$A$5:$A$9,1))-INDEX(BP!$C$5:$C$9,MATCH(B1095,BP!$A$5:$A$9,1)))/(INDEX(BP!$B$5:$B$9,MATCH(B1095,BP!$A$5:$A$9,1))-INDEX(BP!$A$5:$A$9,MATCH(B1095,BP!$A$5:$A$9,1)))*(B1095-INDEX(BP!$A$5:$A$9,MATCH(B1095,BP!$A$5:$A$9,1)))+INDEX(BP!$C$5:$C$9,MATCH(B1095,BP!$A$5:$A$9,1)),0))</f>
        <v>23</v>
      </c>
      <c r="D1095" s="12" t="str">
        <f aca="false">IF(NOT(ISNUMBER(C1095)),"",INDEX(BP!$F$5:$F$9,MATCH(C1095,BP!$E$5:$E$9,1)))</f>
        <v>ดีมาก</v>
      </c>
      <c r="E1095" s="12" t="n">
        <f aca="false">YEAR(A1095)</f>
        <v>2023</v>
      </c>
      <c r="F1095" s="12" t="n">
        <f aca="false">MONTH(A1095)</f>
        <v>12</v>
      </c>
      <c r="G1095" s="12" t="n">
        <v>21</v>
      </c>
      <c r="H1095" s="12" t="n">
        <v>46.8</v>
      </c>
      <c r="I1095" s="12" t="n">
        <v>80</v>
      </c>
      <c r="J1095" s="12" t="n">
        <v>5.6</v>
      </c>
      <c r="K1095" s="12" t="n">
        <v>0.2</v>
      </c>
      <c r="L1095" s="12" t="s">
        <v>35</v>
      </c>
    </row>
    <row r="1096" customFormat="false" ht="15" hidden="false" customHeight="false" outlineLevel="0" collapsed="false">
      <c r="A1096" s="11" t="n">
        <v>45291</v>
      </c>
      <c r="B1096" s="12" t="n">
        <v>13.3</v>
      </c>
      <c r="C1096" s="12" t="n">
        <f aca="false">IF(NOT(ISNUMBER(B1096)),"",ROUND((INDEX(BP!$D$5:$D$9,MATCH(B1096,BP!$A$5:$A$9,1))-INDEX(BP!$C$5:$C$9,MATCH(B1096,BP!$A$5:$A$9,1)))/(INDEX(BP!$B$5:$B$9,MATCH(B1096,BP!$A$5:$A$9,1))-INDEX(BP!$A$5:$A$9,MATCH(B1096,BP!$A$5:$A$9,1)))*(B1096-INDEX(BP!$A$5:$A$9,MATCH(B1096,BP!$A$5:$A$9,1)))+INDEX(BP!$C$5:$C$9,MATCH(B1096,BP!$A$5:$A$9,1)),0))</f>
        <v>22</v>
      </c>
      <c r="D1096" s="12" t="str">
        <f aca="false">IF(NOT(ISNUMBER(C1096)),"",INDEX(BP!$F$5:$F$9,MATCH(C1096,BP!$E$5:$E$9,1)))</f>
        <v>ดีมาก</v>
      </c>
      <c r="E1096" s="12" t="n">
        <f aca="false">YEAR(A1096)</f>
        <v>2023</v>
      </c>
      <c r="F1096" s="12" t="n">
        <f aca="false">MONTH(A1096)</f>
        <v>12</v>
      </c>
      <c r="G1096" s="12" t="n">
        <v>21.1</v>
      </c>
      <c r="H1096" s="12" t="n">
        <v>43.9</v>
      </c>
      <c r="I1096" s="12" t="n">
        <v>82</v>
      </c>
      <c r="J1096" s="12" t="n">
        <v>1.3</v>
      </c>
      <c r="K1096" s="12" t="n">
        <v>0</v>
      </c>
      <c r="L1096" s="12" t="s">
        <v>34</v>
      </c>
    </row>
    <row r="1097" customFormat="false" ht="15" hidden="false" customHeight="false" outlineLevel="0" collapsed="false">
      <c r="A1097" s="11" t="n">
        <v>45292</v>
      </c>
      <c r="B1097" s="12" t="n">
        <v>17</v>
      </c>
      <c r="C1097" s="12" t="n">
        <f aca="false">IF(NOT(ISNUMBER(B1097)),"",ROUND((INDEX(BP!$D$5:$D$9,MATCH(B1097,BP!$A$5:$A$9,1))-INDEX(BP!$C$5:$C$9,MATCH(B1097,BP!$A$5:$A$9,1)))/(INDEX(BP!$B$5:$B$9,MATCH(B1097,BP!$A$5:$A$9,1))-INDEX(BP!$A$5:$A$9,MATCH(B1097,BP!$A$5:$A$9,1)))*(B1097-INDEX(BP!$A$5:$A$9,MATCH(B1097,BP!$A$5:$A$9,1)))+INDEX(BP!$C$5:$C$9,MATCH(B1097,BP!$A$5:$A$9,1)),0))</f>
        <v>31</v>
      </c>
      <c r="D1097" s="12" t="str">
        <f aca="false">IF(NOT(ISNUMBER(C1097)),"",INDEX(BP!$F$5:$F$9,MATCH(C1097,BP!$E$5:$E$9,1)))</f>
        <v>ดี</v>
      </c>
      <c r="E1097" s="12" t="n">
        <f aca="false">YEAR(A1097)</f>
        <v>2024</v>
      </c>
      <c r="F1097" s="12" t="n">
        <f aca="false">MONTH(A1097)</f>
        <v>1</v>
      </c>
      <c r="G1097" s="12" t="n">
        <v>21.6</v>
      </c>
      <c r="H1097" s="12" t="n">
        <v>44.6</v>
      </c>
      <c r="I1097" s="12" t="n">
        <v>90</v>
      </c>
      <c r="J1097" s="12" t="n">
        <v>0</v>
      </c>
      <c r="K1097" s="12" t="n">
        <v>0</v>
      </c>
      <c r="L1097" s="12" t="s">
        <v>34</v>
      </c>
    </row>
    <row r="1098" customFormat="false" ht="15" hidden="false" customHeight="false" outlineLevel="0" collapsed="false">
      <c r="A1098" s="11" t="n">
        <v>45293</v>
      </c>
      <c r="B1098" s="12" t="n">
        <v>13.3</v>
      </c>
      <c r="C1098" s="12" t="n">
        <f aca="false">IF(NOT(ISNUMBER(B1098)),"",ROUND((INDEX(BP!$D$5:$D$9,MATCH(B1098,BP!$A$5:$A$9,1))-INDEX(BP!$C$5:$C$9,MATCH(B1098,BP!$A$5:$A$9,1)))/(INDEX(BP!$B$5:$B$9,MATCH(B1098,BP!$A$5:$A$9,1))-INDEX(BP!$A$5:$A$9,MATCH(B1098,BP!$A$5:$A$9,1)))*(B1098-INDEX(BP!$A$5:$A$9,MATCH(B1098,BP!$A$5:$A$9,1)))+INDEX(BP!$C$5:$C$9,MATCH(B1098,BP!$A$5:$A$9,1)),0))</f>
        <v>22</v>
      </c>
      <c r="D1098" s="12" t="str">
        <f aca="false">IF(NOT(ISNUMBER(C1098)),"",INDEX(BP!$F$5:$F$9,MATCH(C1098,BP!$E$5:$E$9,1)))</f>
        <v>ดีมาก</v>
      </c>
      <c r="E1098" s="12" t="n">
        <f aca="false">YEAR(A1098)</f>
        <v>2024</v>
      </c>
      <c r="F1098" s="12" t="n">
        <f aca="false">MONTH(A1098)</f>
        <v>1</v>
      </c>
      <c r="G1098" s="12" t="n">
        <v>18.5</v>
      </c>
      <c r="H1098" s="12" t="n">
        <v>39.2</v>
      </c>
      <c r="I1098" s="12" t="n">
        <v>84</v>
      </c>
      <c r="J1098" s="12" t="n">
        <v>0.1</v>
      </c>
      <c r="K1098" s="12" t="n">
        <v>0</v>
      </c>
      <c r="L1098" s="12" t="s">
        <v>34</v>
      </c>
    </row>
    <row r="1099" customFormat="false" ht="15" hidden="false" customHeight="false" outlineLevel="0" collapsed="false">
      <c r="A1099" s="11" t="n">
        <v>45294</v>
      </c>
      <c r="B1099" s="12" t="n">
        <v>15.5</v>
      </c>
      <c r="C1099" s="12" t="n">
        <f aca="false">IF(NOT(ISNUMBER(B1099)),"",ROUND((INDEX(BP!$D$5:$D$9,MATCH(B1099,BP!$A$5:$A$9,1))-INDEX(BP!$C$5:$C$9,MATCH(B1099,BP!$A$5:$A$9,1)))/(INDEX(BP!$B$5:$B$9,MATCH(B1099,BP!$A$5:$A$9,1))-INDEX(BP!$A$5:$A$9,MATCH(B1099,BP!$A$5:$A$9,1)))*(B1099-INDEX(BP!$A$5:$A$9,MATCH(B1099,BP!$A$5:$A$9,1)))+INDEX(BP!$C$5:$C$9,MATCH(B1099,BP!$A$5:$A$9,1)),0))</f>
        <v>27</v>
      </c>
      <c r="D1099" s="12" t="str">
        <f aca="false">IF(NOT(ISNUMBER(C1099)),"",INDEX(BP!$F$5:$F$9,MATCH(C1099,BP!$E$5:$E$9,1)))</f>
        <v>ดี</v>
      </c>
      <c r="E1099" s="12" t="n">
        <f aca="false">YEAR(A1099)</f>
        <v>2024</v>
      </c>
      <c r="F1099" s="12" t="n">
        <f aca="false">MONTH(A1099)</f>
        <v>1</v>
      </c>
      <c r="G1099" s="12" t="n">
        <v>19</v>
      </c>
      <c r="H1099" s="12" t="n">
        <v>40.3</v>
      </c>
      <c r="I1099" s="12" t="n">
        <v>89</v>
      </c>
      <c r="J1099" s="12" t="n">
        <v>0.4</v>
      </c>
      <c r="K1099" s="12" t="n">
        <v>0</v>
      </c>
      <c r="L1099" s="12" t="s">
        <v>36</v>
      </c>
    </row>
    <row r="1100" customFormat="false" ht="15" hidden="false" customHeight="false" outlineLevel="0" collapsed="false">
      <c r="A1100" s="11" t="n">
        <v>45295</v>
      </c>
      <c r="B1100" s="12" t="n">
        <v>17.2</v>
      </c>
      <c r="C1100" s="12" t="n">
        <f aca="false">IF(NOT(ISNUMBER(B1100)),"",ROUND((INDEX(BP!$D$5:$D$9,MATCH(B1100,BP!$A$5:$A$9,1))-INDEX(BP!$C$5:$C$9,MATCH(B1100,BP!$A$5:$A$9,1)))/(INDEX(BP!$B$5:$B$9,MATCH(B1100,BP!$A$5:$A$9,1))-INDEX(BP!$A$5:$A$9,MATCH(B1100,BP!$A$5:$A$9,1)))*(B1100-INDEX(BP!$A$5:$A$9,MATCH(B1100,BP!$A$5:$A$9,1)))+INDEX(BP!$C$5:$C$9,MATCH(B1100,BP!$A$5:$A$9,1)),0))</f>
        <v>31</v>
      </c>
      <c r="D1100" s="12" t="str">
        <f aca="false">IF(NOT(ISNUMBER(C1100)),"",INDEX(BP!$F$5:$F$9,MATCH(C1100,BP!$E$5:$E$9,1)))</f>
        <v>ดี</v>
      </c>
      <c r="E1100" s="12" t="n">
        <f aca="false">YEAR(A1100)</f>
        <v>2024</v>
      </c>
      <c r="F1100" s="12" t="n">
        <f aca="false">MONTH(A1100)</f>
        <v>1</v>
      </c>
      <c r="G1100" s="12" t="n">
        <v>24.9</v>
      </c>
      <c r="H1100" s="12" t="n">
        <v>50.8</v>
      </c>
      <c r="I1100" s="12" t="n">
        <v>97</v>
      </c>
      <c r="J1100" s="12" t="n">
        <v>0.4</v>
      </c>
      <c r="K1100" s="12" t="n">
        <v>0</v>
      </c>
      <c r="L1100" s="12" t="s">
        <v>36</v>
      </c>
    </row>
    <row r="1101" customFormat="false" ht="15" hidden="false" customHeight="false" outlineLevel="0" collapsed="false">
      <c r="A1101" s="11" t="n">
        <v>45296</v>
      </c>
      <c r="B1101" s="12" t="n">
        <v>17.7</v>
      </c>
      <c r="C1101" s="12" t="n">
        <f aca="false">IF(NOT(ISNUMBER(B1101)),"",ROUND((INDEX(BP!$D$5:$D$9,MATCH(B1101,BP!$A$5:$A$9,1))-INDEX(BP!$C$5:$C$9,MATCH(B1101,BP!$A$5:$A$9,1)))/(INDEX(BP!$B$5:$B$9,MATCH(B1101,BP!$A$5:$A$9,1))-INDEX(BP!$A$5:$A$9,MATCH(B1101,BP!$A$5:$A$9,1)))*(B1101-INDEX(BP!$A$5:$A$9,MATCH(B1101,BP!$A$5:$A$9,1)))+INDEX(BP!$C$5:$C$9,MATCH(B1101,BP!$A$5:$A$9,1)),0))</f>
        <v>32</v>
      </c>
      <c r="D1101" s="12" t="str">
        <f aca="false">IF(NOT(ISNUMBER(C1101)),"",INDEX(BP!$F$5:$F$9,MATCH(C1101,BP!$E$5:$E$9,1)))</f>
        <v>ดี</v>
      </c>
      <c r="E1101" s="12" t="n">
        <f aca="false">YEAR(A1101)</f>
        <v>2024</v>
      </c>
      <c r="F1101" s="12" t="n">
        <f aca="false">MONTH(A1101)</f>
        <v>1</v>
      </c>
      <c r="G1101" s="12" t="n">
        <v>23.1</v>
      </c>
      <c r="H1101" s="12" t="n">
        <v>47.9</v>
      </c>
      <c r="I1101" s="12" t="n">
        <v>95</v>
      </c>
      <c r="J1101" s="12" t="n">
        <v>0</v>
      </c>
      <c r="K1101" s="12" t="n">
        <v>0</v>
      </c>
      <c r="L1101" s="12" t="s">
        <v>36</v>
      </c>
    </row>
    <row r="1102" customFormat="false" ht="15" hidden="false" customHeight="false" outlineLevel="0" collapsed="false">
      <c r="A1102" s="11" t="n">
        <v>45297</v>
      </c>
      <c r="B1102" s="12" t="n">
        <v>20.7</v>
      </c>
      <c r="C1102" s="12" t="n">
        <f aca="false">IF(NOT(ISNUMBER(B1102)),"",ROUND((INDEX(BP!$D$5:$D$9,MATCH(B1102,BP!$A$5:$A$9,1))-INDEX(BP!$C$5:$C$9,MATCH(B1102,BP!$A$5:$A$9,1)))/(INDEX(BP!$B$5:$B$9,MATCH(B1102,BP!$A$5:$A$9,1))-INDEX(BP!$A$5:$A$9,MATCH(B1102,BP!$A$5:$A$9,1)))*(B1102-INDEX(BP!$A$5:$A$9,MATCH(B1102,BP!$A$5:$A$9,1)))+INDEX(BP!$C$5:$C$9,MATCH(B1102,BP!$A$5:$A$9,1)),0))</f>
        <v>40</v>
      </c>
      <c r="D1102" s="12" t="str">
        <f aca="false">IF(NOT(ISNUMBER(C1102)),"",INDEX(BP!$F$5:$F$9,MATCH(C1102,BP!$E$5:$E$9,1)))</f>
        <v>ดี</v>
      </c>
      <c r="E1102" s="12" t="n">
        <f aca="false">YEAR(A1102)</f>
        <v>2024</v>
      </c>
      <c r="F1102" s="12" t="n">
        <f aca="false">MONTH(A1102)</f>
        <v>1</v>
      </c>
      <c r="G1102" s="12" t="n">
        <v>22.1</v>
      </c>
      <c r="H1102" s="12" t="n">
        <v>45.4</v>
      </c>
      <c r="I1102" s="12" t="n">
        <v>80</v>
      </c>
      <c r="J1102" s="12" t="n">
        <v>2</v>
      </c>
      <c r="K1102" s="12" t="n">
        <v>32.6</v>
      </c>
      <c r="L1102" s="12" t="s">
        <v>35</v>
      </c>
    </row>
    <row r="1103" customFormat="false" ht="15" hidden="false" customHeight="false" outlineLevel="0" collapsed="false">
      <c r="A1103" s="11" t="n">
        <v>45298</v>
      </c>
      <c r="B1103" s="12" t="n">
        <v>16.7</v>
      </c>
      <c r="C1103" s="12" t="n">
        <f aca="false">IF(NOT(ISNUMBER(B1103)),"",ROUND((INDEX(BP!$D$5:$D$9,MATCH(B1103,BP!$A$5:$A$9,1))-INDEX(BP!$C$5:$C$9,MATCH(B1103,BP!$A$5:$A$9,1)))/(INDEX(BP!$B$5:$B$9,MATCH(B1103,BP!$A$5:$A$9,1))-INDEX(BP!$A$5:$A$9,MATCH(B1103,BP!$A$5:$A$9,1)))*(B1103-INDEX(BP!$A$5:$A$9,MATCH(B1103,BP!$A$5:$A$9,1)))+INDEX(BP!$C$5:$C$9,MATCH(B1103,BP!$A$5:$A$9,1)),0))</f>
        <v>30</v>
      </c>
      <c r="D1103" s="12" t="str">
        <f aca="false">IF(NOT(ISNUMBER(C1103)),"",INDEX(BP!$F$5:$F$9,MATCH(C1103,BP!$E$5:$E$9,1)))</f>
        <v>ดี</v>
      </c>
      <c r="E1103" s="12" t="n">
        <f aca="false">YEAR(A1103)</f>
        <v>2024</v>
      </c>
      <c r="F1103" s="12" t="n">
        <f aca="false">MONTH(A1103)</f>
        <v>1</v>
      </c>
      <c r="G1103" s="12" t="n">
        <v>26</v>
      </c>
      <c r="H1103" s="12" t="n">
        <v>52.6</v>
      </c>
      <c r="I1103" s="12" t="n">
        <v>84</v>
      </c>
      <c r="J1103" s="12" t="n">
        <v>10.1</v>
      </c>
      <c r="K1103" s="12" t="n">
        <v>6</v>
      </c>
      <c r="L1103" s="12" t="s">
        <v>35</v>
      </c>
    </row>
    <row r="1104" customFormat="false" ht="15" hidden="false" customHeight="false" outlineLevel="0" collapsed="false">
      <c r="A1104" s="11" t="n">
        <v>45299</v>
      </c>
      <c r="B1104" s="12" t="n">
        <v>14.8</v>
      </c>
      <c r="C1104" s="12" t="n">
        <f aca="false">IF(NOT(ISNUMBER(B1104)),"",ROUND((INDEX(BP!$D$5:$D$9,MATCH(B1104,BP!$A$5:$A$9,1))-INDEX(BP!$C$5:$C$9,MATCH(B1104,BP!$A$5:$A$9,1)))/(INDEX(BP!$B$5:$B$9,MATCH(B1104,BP!$A$5:$A$9,1))-INDEX(BP!$A$5:$A$9,MATCH(B1104,BP!$A$5:$A$9,1)))*(B1104-INDEX(BP!$A$5:$A$9,MATCH(B1104,BP!$A$5:$A$9,1)))+INDEX(BP!$C$5:$C$9,MATCH(B1104,BP!$A$5:$A$9,1)),0))</f>
        <v>25</v>
      </c>
      <c r="D1104" s="12" t="str">
        <f aca="false">IF(NOT(ISNUMBER(C1104)),"",INDEX(BP!$F$5:$F$9,MATCH(C1104,BP!$E$5:$E$9,1)))</f>
        <v>ดีมาก</v>
      </c>
      <c r="E1104" s="12" t="n">
        <f aca="false">YEAR(A1104)</f>
        <v>2024</v>
      </c>
      <c r="F1104" s="12" t="n">
        <f aca="false">MONTH(A1104)</f>
        <v>1</v>
      </c>
      <c r="G1104" s="12" t="n">
        <v>26.3</v>
      </c>
      <c r="H1104" s="12" t="n">
        <v>52.6</v>
      </c>
      <c r="I1104" s="12" t="n">
        <v>85</v>
      </c>
      <c r="J1104" s="12" t="n">
        <v>3.5</v>
      </c>
      <c r="K1104" s="12" t="n">
        <v>1</v>
      </c>
      <c r="L1104" s="12" t="s">
        <v>36</v>
      </c>
    </row>
    <row r="1105" customFormat="false" ht="15" hidden="false" customHeight="false" outlineLevel="0" collapsed="false">
      <c r="A1105" s="11" t="n">
        <v>45300</v>
      </c>
      <c r="B1105" s="12" t="n">
        <v>14.6</v>
      </c>
      <c r="C1105" s="12" t="n">
        <f aca="false">IF(NOT(ISNUMBER(B1105)),"",ROUND((INDEX(BP!$D$5:$D$9,MATCH(B1105,BP!$A$5:$A$9,1))-INDEX(BP!$C$5:$C$9,MATCH(B1105,BP!$A$5:$A$9,1)))/(INDEX(BP!$B$5:$B$9,MATCH(B1105,BP!$A$5:$A$9,1))-INDEX(BP!$A$5:$A$9,MATCH(B1105,BP!$A$5:$A$9,1)))*(B1105-INDEX(BP!$A$5:$A$9,MATCH(B1105,BP!$A$5:$A$9,1)))+INDEX(BP!$C$5:$C$9,MATCH(B1105,BP!$A$5:$A$9,1)),0))</f>
        <v>24</v>
      </c>
      <c r="D1105" s="12" t="str">
        <f aca="false">IF(NOT(ISNUMBER(C1105)),"",INDEX(BP!$F$5:$F$9,MATCH(C1105,BP!$E$5:$E$9,1)))</f>
        <v>ดีมาก</v>
      </c>
      <c r="E1105" s="12" t="n">
        <f aca="false">YEAR(A1105)</f>
        <v>2024</v>
      </c>
      <c r="F1105" s="12" t="n">
        <f aca="false">MONTH(A1105)</f>
        <v>1</v>
      </c>
      <c r="G1105" s="12" t="n">
        <v>21.8</v>
      </c>
      <c r="H1105" s="12" t="n">
        <v>46.8</v>
      </c>
      <c r="I1105" s="12" t="n">
        <v>77</v>
      </c>
      <c r="J1105" s="12" t="n">
        <v>3.3</v>
      </c>
      <c r="K1105" s="12" t="n">
        <v>0.2</v>
      </c>
      <c r="L1105" s="12" t="s">
        <v>36</v>
      </c>
    </row>
    <row r="1106" customFormat="false" ht="15" hidden="false" customHeight="false" outlineLevel="0" collapsed="false">
      <c r="A1106" s="11" t="n">
        <v>45301</v>
      </c>
      <c r="B1106" s="12" t="n">
        <v>14.5</v>
      </c>
      <c r="C1106" s="12" t="n">
        <f aca="false">IF(NOT(ISNUMBER(B1106)),"",ROUND((INDEX(BP!$D$5:$D$9,MATCH(B1106,BP!$A$5:$A$9,1))-INDEX(BP!$C$5:$C$9,MATCH(B1106,BP!$A$5:$A$9,1)))/(INDEX(BP!$B$5:$B$9,MATCH(B1106,BP!$A$5:$A$9,1))-INDEX(BP!$A$5:$A$9,MATCH(B1106,BP!$A$5:$A$9,1)))*(B1106-INDEX(BP!$A$5:$A$9,MATCH(B1106,BP!$A$5:$A$9,1)))+INDEX(BP!$C$5:$C$9,MATCH(B1106,BP!$A$5:$A$9,1)),0))</f>
        <v>24</v>
      </c>
      <c r="D1106" s="12" t="str">
        <f aca="false">IF(NOT(ISNUMBER(C1106)),"",INDEX(BP!$F$5:$F$9,MATCH(C1106,BP!$E$5:$E$9,1)))</f>
        <v>ดีมาก</v>
      </c>
      <c r="E1106" s="12" t="n">
        <f aca="false">YEAR(A1106)</f>
        <v>2024</v>
      </c>
      <c r="F1106" s="12" t="n">
        <f aca="false">MONTH(A1106)</f>
        <v>1</v>
      </c>
      <c r="G1106" s="12" t="n">
        <v>21.4</v>
      </c>
      <c r="H1106" s="12" t="n">
        <v>44.6</v>
      </c>
      <c r="I1106" s="12" t="n">
        <v>82</v>
      </c>
      <c r="J1106" s="12" t="n">
        <v>1.7</v>
      </c>
      <c r="K1106" s="12" t="n">
        <v>1.6</v>
      </c>
      <c r="L1106" s="12" t="s">
        <v>36</v>
      </c>
    </row>
    <row r="1107" customFormat="false" ht="15" hidden="false" customHeight="false" outlineLevel="0" collapsed="false">
      <c r="A1107" s="11" t="n">
        <v>45302</v>
      </c>
      <c r="B1107" s="12" t="n">
        <v>15.2</v>
      </c>
      <c r="C1107" s="12" t="n">
        <f aca="false">IF(NOT(ISNUMBER(B1107)),"",ROUND((INDEX(BP!$D$5:$D$9,MATCH(B1107,BP!$A$5:$A$9,1))-INDEX(BP!$C$5:$C$9,MATCH(B1107,BP!$A$5:$A$9,1)))/(INDEX(BP!$B$5:$B$9,MATCH(B1107,BP!$A$5:$A$9,1))-INDEX(BP!$A$5:$A$9,MATCH(B1107,BP!$A$5:$A$9,1)))*(B1107-INDEX(BP!$A$5:$A$9,MATCH(B1107,BP!$A$5:$A$9,1)))+INDEX(BP!$C$5:$C$9,MATCH(B1107,BP!$A$5:$A$9,1)),0))</f>
        <v>26</v>
      </c>
      <c r="D1107" s="12" t="str">
        <f aca="false">IF(NOT(ISNUMBER(C1107)),"",INDEX(BP!$F$5:$F$9,MATCH(C1107,BP!$E$5:$E$9,1)))</f>
        <v>ดี</v>
      </c>
      <c r="E1107" s="12" t="n">
        <f aca="false">YEAR(A1107)</f>
        <v>2024</v>
      </c>
      <c r="F1107" s="12" t="n">
        <f aca="false">MONTH(A1107)</f>
        <v>1</v>
      </c>
      <c r="G1107" s="12" t="n">
        <v>20.9</v>
      </c>
      <c r="H1107" s="12" t="n">
        <v>42.5</v>
      </c>
      <c r="I1107" s="12" t="n">
        <v>85</v>
      </c>
      <c r="J1107" s="12" t="n">
        <v>0.9</v>
      </c>
      <c r="K1107" s="12" t="n">
        <v>0</v>
      </c>
      <c r="L1107" s="12" t="s">
        <v>36</v>
      </c>
    </row>
    <row r="1108" customFormat="false" ht="15" hidden="false" customHeight="false" outlineLevel="0" collapsed="false">
      <c r="A1108" s="11" t="n">
        <v>45303</v>
      </c>
      <c r="B1108" s="12" t="n">
        <v>19.2</v>
      </c>
      <c r="C1108" s="12" t="n">
        <f aca="false">IF(NOT(ISNUMBER(B1108)),"",ROUND((INDEX(BP!$D$5:$D$9,MATCH(B1108,BP!$A$5:$A$9,1))-INDEX(BP!$C$5:$C$9,MATCH(B1108,BP!$A$5:$A$9,1)))/(INDEX(BP!$B$5:$B$9,MATCH(B1108,BP!$A$5:$A$9,1))-INDEX(BP!$A$5:$A$9,MATCH(B1108,BP!$A$5:$A$9,1)))*(B1108-INDEX(BP!$A$5:$A$9,MATCH(B1108,BP!$A$5:$A$9,1)))+INDEX(BP!$C$5:$C$9,MATCH(B1108,BP!$A$5:$A$9,1)),0))</f>
        <v>36</v>
      </c>
      <c r="D1108" s="12" t="str">
        <f aca="false">IF(NOT(ISNUMBER(C1108)),"",INDEX(BP!$F$5:$F$9,MATCH(C1108,BP!$E$5:$E$9,1)))</f>
        <v>ดี</v>
      </c>
      <c r="E1108" s="12" t="n">
        <f aca="false">YEAR(A1108)</f>
        <v>2024</v>
      </c>
      <c r="F1108" s="12" t="n">
        <f aca="false">MONTH(A1108)</f>
        <v>1</v>
      </c>
      <c r="G1108" s="12" t="n">
        <v>18.4</v>
      </c>
      <c r="H1108" s="12" t="n">
        <v>40.7</v>
      </c>
      <c r="I1108" s="12" t="n">
        <v>89</v>
      </c>
      <c r="J1108" s="12" t="n">
        <v>0.4</v>
      </c>
      <c r="K1108" s="12" t="n">
        <v>0</v>
      </c>
      <c r="L1108" s="12" t="s">
        <v>36</v>
      </c>
    </row>
    <row r="1109" customFormat="false" ht="15" hidden="false" customHeight="false" outlineLevel="0" collapsed="false">
      <c r="A1109" s="11" t="n">
        <v>45304</v>
      </c>
      <c r="B1109" s="12" t="n">
        <v>20.8</v>
      </c>
      <c r="C1109" s="12" t="n">
        <f aca="false">IF(NOT(ISNUMBER(B1109)),"",ROUND((INDEX(BP!$D$5:$D$9,MATCH(B1109,BP!$A$5:$A$9,1))-INDEX(BP!$C$5:$C$9,MATCH(B1109,BP!$A$5:$A$9,1)))/(INDEX(BP!$B$5:$B$9,MATCH(B1109,BP!$A$5:$A$9,1))-INDEX(BP!$A$5:$A$9,MATCH(B1109,BP!$A$5:$A$9,1)))*(B1109-INDEX(BP!$A$5:$A$9,MATCH(B1109,BP!$A$5:$A$9,1)))+INDEX(BP!$C$5:$C$9,MATCH(B1109,BP!$A$5:$A$9,1)),0))</f>
        <v>40</v>
      </c>
      <c r="D1109" s="12" t="str">
        <f aca="false">IF(NOT(ISNUMBER(C1109)),"",INDEX(BP!$F$5:$F$9,MATCH(C1109,BP!$E$5:$E$9,1)))</f>
        <v>ดี</v>
      </c>
      <c r="E1109" s="12" t="n">
        <f aca="false">YEAR(A1109)</f>
        <v>2024</v>
      </c>
      <c r="F1109" s="12" t="n">
        <f aca="false">MONTH(A1109)</f>
        <v>1</v>
      </c>
      <c r="G1109" s="12" t="n">
        <v>20</v>
      </c>
      <c r="H1109" s="12" t="n">
        <v>42.8</v>
      </c>
      <c r="I1109" s="12" t="n">
        <v>96</v>
      </c>
      <c r="J1109" s="12" t="n">
        <v>0.3</v>
      </c>
      <c r="K1109" s="12" t="n">
        <v>0</v>
      </c>
      <c r="L1109" s="12" t="s">
        <v>35</v>
      </c>
    </row>
    <row r="1110" customFormat="false" ht="15" hidden="false" customHeight="false" outlineLevel="0" collapsed="false">
      <c r="A1110" s="11" t="n">
        <v>45305</v>
      </c>
      <c r="B1110" s="12" t="n">
        <v>23.6</v>
      </c>
      <c r="C1110" s="12" t="n">
        <f aca="false">IF(NOT(ISNUMBER(B1110)),"",ROUND((INDEX(BP!$D$5:$D$9,MATCH(B1110,BP!$A$5:$A$9,1))-INDEX(BP!$C$5:$C$9,MATCH(B1110,BP!$A$5:$A$9,1)))/(INDEX(BP!$B$5:$B$9,MATCH(B1110,BP!$A$5:$A$9,1))-INDEX(BP!$A$5:$A$9,MATCH(B1110,BP!$A$5:$A$9,1)))*(B1110-INDEX(BP!$A$5:$A$9,MATCH(B1110,BP!$A$5:$A$9,1)))+INDEX(BP!$C$5:$C$9,MATCH(B1110,BP!$A$5:$A$9,1)),0))</f>
        <v>47</v>
      </c>
      <c r="D1110" s="12" t="str">
        <f aca="false">IF(NOT(ISNUMBER(C1110)),"",INDEX(BP!$F$5:$F$9,MATCH(C1110,BP!$E$5:$E$9,1)))</f>
        <v>ดี</v>
      </c>
      <c r="E1110" s="12" t="n">
        <f aca="false">YEAR(A1110)</f>
        <v>2024</v>
      </c>
      <c r="F1110" s="12" t="n">
        <f aca="false">MONTH(A1110)</f>
        <v>1</v>
      </c>
      <c r="G1110" s="12" t="n">
        <v>21.4</v>
      </c>
      <c r="H1110" s="12" t="n">
        <v>45.4</v>
      </c>
      <c r="I1110" s="12" t="n">
        <v>83</v>
      </c>
      <c r="J1110" s="12" t="n">
        <v>0.2</v>
      </c>
      <c r="K1110" s="12" t="n">
        <v>0</v>
      </c>
      <c r="L1110" s="12" t="s">
        <v>35</v>
      </c>
    </row>
    <row r="1111" customFormat="false" ht="15" hidden="false" customHeight="false" outlineLevel="0" collapsed="false">
      <c r="A1111" s="11" t="n">
        <v>45306</v>
      </c>
      <c r="B1111" s="12" t="n">
        <v>16.5</v>
      </c>
      <c r="C1111" s="12" t="n">
        <f aca="false">IF(NOT(ISNUMBER(B1111)),"",ROUND((INDEX(BP!$D$5:$D$9,MATCH(B1111,BP!$A$5:$A$9,1))-INDEX(BP!$C$5:$C$9,MATCH(B1111,BP!$A$5:$A$9,1)))/(INDEX(BP!$B$5:$B$9,MATCH(B1111,BP!$A$5:$A$9,1))-INDEX(BP!$A$5:$A$9,MATCH(B1111,BP!$A$5:$A$9,1)))*(B1111-INDEX(BP!$A$5:$A$9,MATCH(B1111,BP!$A$5:$A$9,1)))+INDEX(BP!$C$5:$C$9,MATCH(B1111,BP!$A$5:$A$9,1)),0))</f>
        <v>29</v>
      </c>
      <c r="D1111" s="12" t="str">
        <f aca="false">IF(NOT(ISNUMBER(C1111)),"",INDEX(BP!$F$5:$F$9,MATCH(C1111,BP!$E$5:$E$9,1)))</f>
        <v>ดี</v>
      </c>
      <c r="E1111" s="12" t="n">
        <f aca="false">YEAR(A1111)</f>
        <v>2024</v>
      </c>
      <c r="F1111" s="12" t="n">
        <f aca="false">MONTH(A1111)</f>
        <v>1</v>
      </c>
      <c r="G1111" s="12" t="n">
        <v>19</v>
      </c>
      <c r="H1111" s="12" t="n">
        <v>43.9</v>
      </c>
      <c r="I1111" s="12" t="n">
        <v>80</v>
      </c>
      <c r="J1111" s="12" t="n">
        <v>1.2</v>
      </c>
      <c r="K1111" s="12" t="n">
        <v>0.8</v>
      </c>
      <c r="L1111" s="12" t="s">
        <v>36</v>
      </c>
    </row>
    <row r="1112" customFormat="false" ht="15" hidden="false" customHeight="false" outlineLevel="0" collapsed="false">
      <c r="A1112" s="11" t="n">
        <v>45307</v>
      </c>
      <c r="B1112" s="12" t="n">
        <v>19</v>
      </c>
      <c r="C1112" s="12" t="n">
        <f aca="false">IF(NOT(ISNUMBER(B1112)),"",ROUND((INDEX(BP!$D$5:$D$9,MATCH(B1112,BP!$A$5:$A$9,1))-INDEX(BP!$C$5:$C$9,MATCH(B1112,BP!$A$5:$A$9,1)))/(INDEX(BP!$B$5:$B$9,MATCH(B1112,BP!$A$5:$A$9,1))-INDEX(BP!$A$5:$A$9,MATCH(B1112,BP!$A$5:$A$9,1)))*(B1112-INDEX(BP!$A$5:$A$9,MATCH(B1112,BP!$A$5:$A$9,1)))+INDEX(BP!$C$5:$C$9,MATCH(B1112,BP!$A$5:$A$9,1)),0))</f>
        <v>35</v>
      </c>
      <c r="D1112" s="12" t="str">
        <f aca="false">IF(NOT(ISNUMBER(C1112)),"",INDEX(BP!$F$5:$F$9,MATCH(C1112,BP!$E$5:$E$9,1)))</f>
        <v>ดี</v>
      </c>
      <c r="E1112" s="12" t="n">
        <f aca="false">YEAR(A1112)</f>
        <v>2024</v>
      </c>
      <c r="F1112" s="12" t="n">
        <f aca="false">MONTH(A1112)</f>
        <v>1</v>
      </c>
      <c r="G1112" s="12" t="n">
        <v>25.6</v>
      </c>
      <c r="H1112" s="12" t="n">
        <v>51.8</v>
      </c>
      <c r="I1112" s="12" t="n">
        <v>85</v>
      </c>
      <c r="J1112" s="12" t="n">
        <v>5.2</v>
      </c>
      <c r="K1112" s="12" t="n">
        <v>0</v>
      </c>
      <c r="L1112" s="12" t="s">
        <v>36</v>
      </c>
    </row>
    <row r="1113" customFormat="false" ht="15" hidden="false" customHeight="false" outlineLevel="0" collapsed="false">
      <c r="A1113" s="11" t="n">
        <v>45308</v>
      </c>
      <c r="B1113" s="12" t="n">
        <v>16.4</v>
      </c>
      <c r="C1113" s="12" t="n">
        <f aca="false">IF(NOT(ISNUMBER(B1113)),"",ROUND((INDEX(BP!$D$5:$D$9,MATCH(B1113,BP!$A$5:$A$9,1))-INDEX(BP!$C$5:$C$9,MATCH(B1113,BP!$A$5:$A$9,1)))/(INDEX(BP!$B$5:$B$9,MATCH(B1113,BP!$A$5:$A$9,1))-INDEX(BP!$A$5:$A$9,MATCH(B1113,BP!$A$5:$A$9,1)))*(B1113-INDEX(BP!$A$5:$A$9,MATCH(B1113,BP!$A$5:$A$9,1)))+INDEX(BP!$C$5:$C$9,MATCH(B1113,BP!$A$5:$A$9,1)),0))</f>
        <v>29</v>
      </c>
      <c r="D1113" s="12" t="str">
        <f aca="false">IF(NOT(ISNUMBER(C1113)),"",INDEX(BP!$F$5:$F$9,MATCH(C1113,BP!$E$5:$E$9,1)))</f>
        <v>ดี</v>
      </c>
      <c r="E1113" s="12" t="n">
        <f aca="false">YEAR(A1113)</f>
        <v>2024</v>
      </c>
      <c r="F1113" s="12" t="n">
        <f aca="false">MONTH(A1113)</f>
        <v>1</v>
      </c>
      <c r="G1113" s="12" t="n">
        <v>26.4</v>
      </c>
      <c r="H1113" s="12" t="n">
        <v>56.2</v>
      </c>
      <c r="I1113" s="12" t="n">
        <v>92</v>
      </c>
      <c r="J1113" s="12" t="n">
        <v>2.1</v>
      </c>
      <c r="K1113" s="12" t="n">
        <v>0</v>
      </c>
      <c r="L1113" s="12" t="s">
        <v>36</v>
      </c>
    </row>
    <row r="1114" customFormat="false" ht="15" hidden="false" customHeight="false" outlineLevel="0" collapsed="false">
      <c r="A1114" s="11" t="n">
        <v>45309</v>
      </c>
      <c r="B1114" s="12" t="n">
        <v>15.4</v>
      </c>
      <c r="C1114" s="12" t="n">
        <f aca="false">IF(NOT(ISNUMBER(B1114)),"",ROUND((INDEX(BP!$D$5:$D$9,MATCH(B1114,BP!$A$5:$A$9,1))-INDEX(BP!$C$5:$C$9,MATCH(B1114,BP!$A$5:$A$9,1)))/(INDEX(BP!$B$5:$B$9,MATCH(B1114,BP!$A$5:$A$9,1))-INDEX(BP!$A$5:$A$9,MATCH(B1114,BP!$A$5:$A$9,1)))*(B1114-INDEX(BP!$A$5:$A$9,MATCH(B1114,BP!$A$5:$A$9,1)))+INDEX(BP!$C$5:$C$9,MATCH(B1114,BP!$A$5:$A$9,1)),0))</f>
        <v>27</v>
      </c>
      <c r="D1114" s="12" t="str">
        <f aca="false">IF(NOT(ISNUMBER(C1114)),"",INDEX(BP!$F$5:$F$9,MATCH(C1114,BP!$E$5:$E$9,1)))</f>
        <v>ดี</v>
      </c>
      <c r="E1114" s="12" t="n">
        <f aca="false">YEAR(A1114)</f>
        <v>2024</v>
      </c>
      <c r="F1114" s="12" t="n">
        <f aca="false">MONTH(A1114)</f>
        <v>1</v>
      </c>
      <c r="G1114" s="12" t="n">
        <v>25.8</v>
      </c>
      <c r="H1114" s="12" t="n">
        <v>52.2</v>
      </c>
      <c r="I1114" s="12" t="n">
        <v>78</v>
      </c>
      <c r="J1114" s="12" t="n">
        <v>2</v>
      </c>
      <c r="K1114" s="12" t="n">
        <v>0</v>
      </c>
      <c r="L1114" s="12" t="s">
        <v>36</v>
      </c>
    </row>
    <row r="1115" customFormat="false" ht="15" hidden="false" customHeight="false" outlineLevel="0" collapsed="false">
      <c r="A1115" s="11" t="n">
        <v>45310</v>
      </c>
      <c r="B1115" s="12" t="n">
        <v>17.5</v>
      </c>
      <c r="C1115" s="12" t="n">
        <f aca="false">IF(NOT(ISNUMBER(B1115)),"",ROUND((INDEX(BP!$D$5:$D$9,MATCH(B1115,BP!$A$5:$A$9,1))-INDEX(BP!$C$5:$C$9,MATCH(B1115,BP!$A$5:$A$9,1)))/(INDEX(BP!$B$5:$B$9,MATCH(B1115,BP!$A$5:$A$9,1))-INDEX(BP!$A$5:$A$9,MATCH(B1115,BP!$A$5:$A$9,1)))*(B1115-INDEX(BP!$A$5:$A$9,MATCH(B1115,BP!$A$5:$A$9,1)))+INDEX(BP!$C$5:$C$9,MATCH(B1115,BP!$A$5:$A$9,1)),0))</f>
        <v>32</v>
      </c>
      <c r="D1115" s="12" t="str">
        <f aca="false">IF(NOT(ISNUMBER(C1115)),"",INDEX(BP!$F$5:$F$9,MATCH(C1115,BP!$E$5:$E$9,1)))</f>
        <v>ดี</v>
      </c>
      <c r="E1115" s="12" t="n">
        <f aca="false">YEAR(A1115)</f>
        <v>2024</v>
      </c>
      <c r="F1115" s="12" t="n">
        <f aca="false">MONTH(A1115)</f>
        <v>1</v>
      </c>
      <c r="G1115" s="12" t="n">
        <v>19.3</v>
      </c>
      <c r="H1115" s="12" t="n">
        <v>40</v>
      </c>
      <c r="I1115" s="12" t="n">
        <v>77</v>
      </c>
      <c r="J1115" s="12" t="n">
        <v>1</v>
      </c>
      <c r="K1115" s="12" t="n">
        <v>0</v>
      </c>
      <c r="L1115" s="12" t="s">
        <v>36</v>
      </c>
    </row>
    <row r="1116" customFormat="false" ht="15" hidden="false" customHeight="false" outlineLevel="0" collapsed="false">
      <c r="A1116" s="11" t="n">
        <v>45311</v>
      </c>
      <c r="B1116" s="12" t="n">
        <v>22.5</v>
      </c>
      <c r="C1116" s="12" t="n">
        <f aca="false">IF(NOT(ISNUMBER(B1116)),"",ROUND((INDEX(BP!$D$5:$D$9,MATCH(B1116,BP!$A$5:$A$9,1))-INDEX(BP!$C$5:$C$9,MATCH(B1116,BP!$A$5:$A$9,1)))/(INDEX(BP!$B$5:$B$9,MATCH(B1116,BP!$A$5:$A$9,1))-INDEX(BP!$A$5:$A$9,MATCH(B1116,BP!$A$5:$A$9,1)))*(B1116-INDEX(BP!$A$5:$A$9,MATCH(B1116,BP!$A$5:$A$9,1)))+INDEX(BP!$C$5:$C$9,MATCH(B1116,BP!$A$5:$A$9,1)),0))</f>
        <v>44</v>
      </c>
      <c r="D1116" s="12" t="str">
        <f aca="false">IF(NOT(ISNUMBER(C1116)),"",INDEX(BP!$F$5:$F$9,MATCH(C1116,BP!$E$5:$E$9,1)))</f>
        <v>ดี</v>
      </c>
      <c r="E1116" s="12" t="n">
        <f aca="false">YEAR(A1116)</f>
        <v>2024</v>
      </c>
      <c r="F1116" s="12" t="n">
        <f aca="false">MONTH(A1116)</f>
        <v>1</v>
      </c>
      <c r="G1116" s="12" t="n">
        <v>13.8</v>
      </c>
      <c r="H1116" s="12" t="n">
        <v>31</v>
      </c>
      <c r="I1116" s="12" t="n">
        <v>85</v>
      </c>
      <c r="J1116" s="12" t="n">
        <v>0.2</v>
      </c>
      <c r="K1116" s="12" t="n">
        <v>0</v>
      </c>
      <c r="L1116" s="12" t="s">
        <v>35</v>
      </c>
    </row>
    <row r="1117" customFormat="false" ht="15" hidden="false" customHeight="false" outlineLevel="0" collapsed="false">
      <c r="A1117" s="11" t="n">
        <v>45312</v>
      </c>
      <c r="B1117" s="12" t="n">
        <v>26.4</v>
      </c>
      <c r="C1117" s="12" t="n">
        <f aca="false">IF(NOT(ISNUMBER(B1117)),"",ROUND((INDEX(BP!$D$5:$D$9,MATCH(B1117,BP!$A$5:$A$9,1))-INDEX(BP!$C$5:$C$9,MATCH(B1117,BP!$A$5:$A$9,1)))/(INDEX(BP!$B$5:$B$9,MATCH(B1117,BP!$A$5:$A$9,1))-INDEX(BP!$A$5:$A$9,MATCH(B1117,BP!$A$5:$A$9,1)))*(B1117-INDEX(BP!$A$5:$A$9,MATCH(B1117,BP!$A$5:$A$9,1)))+INDEX(BP!$C$5:$C$9,MATCH(B1117,BP!$A$5:$A$9,1)),0))</f>
        <v>56</v>
      </c>
      <c r="D1117" s="12" t="str">
        <f aca="false">IF(NOT(ISNUMBER(C1117)),"",INDEX(BP!$F$5:$F$9,MATCH(C1117,BP!$E$5:$E$9,1)))</f>
        <v>ปานกลาง</v>
      </c>
      <c r="E1117" s="12" t="n">
        <f aca="false">YEAR(A1117)</f>
        <v>2024</v>
      </c>
      <c r="F1117" s="12" t="n">
        <f aca="false">MONTH(A1117)</f>
        <v>1</v>
      </c>
      <c r="G1117" s="12" t="n">
        <v>14.9</v>
      </c>
      <c r="H1117" s="12" t="n">
        <v>34.9</v>
      </c>
      <c r="I1117" s="12" t="n">
        <v>70</v>
      </c>
      <c r="J1117" s="12" t="n">
        <v>0.5</v>
      </c>
      <c r="K1117" s="12" t="n">
        <v>0</v>
      </c>
      <c r="L1117" s="12" t="s">
        <v>35</v>
      </c>
    </row>
    <row r="1118" customFormat="false" ht="15" hidden="false" customHeight="false" outlineLevel="0" collapsed="false">
      <c r="A1118" s="11" t="n">
        <v>45313</v>
      </c>
      <c r="B1118" s="12" t="n">
        <v>17.2</v>
      </c>
      <c r="C1118" s="12" t="n">
        <f aca="false">IF(NOT(ISNUMBER(B1118)),"",ROUND((INDEX(BP!$D$5:$D$9,MATCH(B1118,BP!$A$5:$A$9,1))-INDEX(BP!$C$5:$C$9,MATCH(B1118,BP!$A$5:$A$9,1)))/(INDEX(BP!$B$5:$B$9,MATCH(B1118,BP!$A$5:$A$9,1))-INDEX(BP!$A$5:$A$9,MATCH(B1118,BP!$A$5:$A$9,1)))*(B1118-INDEX(BP!$A$5:$A$9,MATCH(B1118,BP!$A$5:$A$9,1)))+INDEX(BP!$C$5:$C$9,MATCH(B1118,BP!$A$5:$A$9,1)),0))</f>
        <v>31</v>
      </c>
      <c r="D1118" s="12" t="str">
        <f aca="false">IF(NOT(ISNUMBER(C1118)),"",INDEX(BP!$F$5:$F$9,MATCH(C1118,BP!$E$5:$E$9,1)))</f>
        <v>ดี</v>
      </c>
      <c r="E1118" s="12" t="n">
        <f aca="false">YEAR(A1118)</f>
        <v>2024</v>
      </c>
      <c r="F1118" s="12" t="n">
        <f aca="false">MONTH(A1118)</f>
        <v>1</v>
      </c>
      <c r="G1118" s="12" t="n">
        <v>18.4</v>
      </c>
      <c r="H1118" s="12" t="n">
        <v>39.6</v>
      </c>
      <c r="I1118" s="12" t="n">
        <v>91</v>
      </c>
      <c r="J1118" s="12" t="n">
        <v>5.7</v>
      </c>
      <c r="K1118" s="12" t="n">
        <v>2.6</v>
      </c>
      <c r="L1118" s="12" t="s">
        <v>36</v>
      </c>
    </row>
    <row r="1119" customFormat="false" ht="15" hidden="false" customHeight="false" outlineLevel="0" collapsed="false">
      <c r="A1119" s="11" t="n">
        <v>45314</v>
      </c>
      <c r="B1119" s="12" t="n">
        <v>11.8</v>
      </c>
      <c r="C1119" s="12" t="n">
        <f aca="false">IF(NOT(ISNUMBER(B1119)),"",ROUND((INDEX(BP!$D$5:$D$9,MATCH(B1119,BP!$A$5:$A$9,1))-INDEX(BP!$C$5:$C$9,MATCH(B1119,BP!$A$5:$A$9,1)))/(INDEX(BP!$B$5:$B$9,MATCH(B1119,BP!$A$5:$A$9,1))-INDEX(BP!$A$5:$A$9,MATCH(B1119,BP!$A$5:$A$9,1)))*(B1119-INDEX(BP!$A$5:$A$9,MATCH(B1119,BP!$A$5:$A$9,1)))+INDEX(BP!$C$5:$C$9,MATCH(B1119,BP!$A$5:$A$9,1)),0))</f>
        <v>20</v>
      </c>
      <c r="D1119" s="12" t="str">
        <f aca="false">IF(NOT(ISNUMBER(C1119)),"",INDEX(BP!$F$5:$F$9,MATCH(C1119,BP!$E$5:$E$9,1)))</f>
        <v>ดีมาก</v>
      </c>
      <c r="E1119" s="12" t="n">
        <f aca="false">YEAR(A1119)</f>
        <v>2024</v>
      </c>
      <c r="F1119" s="12" t="n">
        <f aca="false">MONTH(A1119)</f>
        <v>1</v>
      </c>
      <c r="G1119" s="12" t="n">
        <v>20.4</v>
      </c>
      <c r="H1119" s="12" t="n">
        <v>40</v>
      </c>
      <c r="I1119" s="12" t="n">
        <v>92</v>
      </c>
      <c r="J1119" s="12" t="n">
        <v>10.8</v>
      </c>
      <c r="K1119" s="12" t="n">
        <v>0.2</v>
      </c>
      <c r="L1119" s="12" t="s">
        <v>36</v>
      </c>
    </row>
    <row r="1120" customFormat="false" ht="15" hidden="false" customHeight="false" outlineLevel="0" collapsed="false">
      <c r="A1120" s="11" t="n">
        <v>45315</v>
      </c>
      <c r="B1120" s="12" t="n">
        <v>14.1</v>
      </c>
      <c r="C1120" s="12" t="n">
        <f aca="false">IF(NOT(ISNUMBER(B1120)),"",ROUND((INDEX(BP!$D$5:$D$9,MATCH(B1120,BP!$A$5:$A$9,1))-INDEX(BP!$C$5:$C$9,MATCH(B1120,BP!$A$5:$A$9,1)))/(INDEX(BP!$B$5:$B$9,MATCH(B1120,BP!$A$5:$A$9,1))-INDEX(BP!$A$5:$A$9,MATCH(B1120,BP!$A$5:$A$9,1)))*(B1120-INDEX(BP!$A$5:$A$9,MATCH(B1120,BP!$A$5:$A$9,1)))+INDEX(BP!$C$5:$C$9,MATCH(B1120,BP!$A$5:$A$9,1)),0))</f>
        <v>24</v>
      </c>
      <c r="D1120" s="12" t="str">
        <f aca="false">IF(NOT(ISNUMBER(C1120)),"",INDEX(BP!$F$5:$F$9,MATCH(C1120,BP!$E$5:$E$9,1)))</f>
        <v>ดีมาก</v>
      </c>
      <c r="E1120" s="12" t="n">
        <f aca="false">YEAR(A1120)</f>
        <v>2024</v>
      </c>
      <c r="F1120" s="12" t="n">
        <f aca="false">MONTH(A1120)</f>
        <v>1</v>
      </c>
      <c r="G1120" s="12" t="n">
        <v>26.4</v>
      </c>
      <c r="H1120" s="12" t="n">
        <v>55.1</v>
      </c>
      <c r="I1120" s="12" t="n">
        <v>105</v>
      </c>
      <c r="J1120" s="12" t="n">
        <v>3.7</v>
      </c>
      <c r="K1120" s="12" t="n">
        <v>3.4</v>
      </c>
      <c r="L1120" s="12" t="s">
        <v>36</v>
      </c>
    </row>
    <row r="1121" customFormat="false" ht="15" hidden="false" customHeight="false" outlineLevel="0" collapsed="false">
      <c r="A1121" s="11" t="n">
        <v>45316</v>
      </c>
      <c r="B1121" s="12" t="n">
        <v>13.1</v>
      </c>
      <c r="C1121" s="12" t="n">
        <f aca="false">IF(NOT(ISNUMBER(B1121)),"",ROUND((INDEX(BP!$D$5:$D$9,MATCH(B1121,BP!$A$5:$A$9,1))-INDEX(BP!$C$5:$C$9,MATCH(B1121,BP!$A$5:$A$9,1)))/(INDEX(BP!$B$5:$B$9,MATCH(B1121,BP!$A$5:$A$9,1))-INDEX(BP!$A$5:$A$9,MATCH(B1121,BP!$A$5:$A$9,1)))*(B1121-INDEX(BP!$A$5:$A$9,MATCH(B1121,BP!$A$5:$A$9,1)))+INDEX(BP!$C$5:$C$9,MATCH(B1121,BP!$A$5:$A$9,1)),0))</f>
        <v>22</v>
      </c>
      <c r="D1121" s="12" t="str">
        <f aca="false">IF(NOT(ISNUMBER(C1121)),"",INDEX(BP!$F$5:$F$9,MATCH(C1121,BP!$E$5:$E$9,1)))</f>
        <v>ดีมาก</v>
      </c>
      <c r="E1121" s="12" t="n">
        <f aca="false">YEAR(A1121)</f>
        <v>2024</v>
      </c>
      <c r="F1121" s="12" t="n">
        <f aca="false">MONTH(A1121)</f>
        <v>1</v>
      </c>
      <c r="G1121" s="12" t="n">
        <v>26.3</v>
      </c>
      <c r="H1121" s="12" t="n">
        <v>54.4</v>
      </c>
      <c r="I1121" s="12" t="n">
        <v>101</v>
      </c>
      <c r="J1121" s="12" t="n">
        <v>6.3</v>
      </c>
      <c r="K1121" s="12" t="n">
        <v>6.2</v>
      </c>
      <c r="L1121" s="12" t="s">
        <v>36</v>
      </c>
    </row>
    <row r="1122" customFormat="false" ht="15" hidden="false" customHeight="false" outlineLevel="0" collapsed="false">
      <c r="A1122" s="11" t="n">
        <v>45317</v>
      </c>
      <c r="B1122" s="12" t="n">
        <v>15.9</v>
      </c>
      <c r="C1122" s="12" t="n">
        <f aca="false">IF(NOT(ISNUMBER(B1122)),"",ROUND((INDEX(BP!$D$5:$D$9,MATCH(B1122,BP!$A$5:$A$9,1))-INDEX(BP!$C$5:$C$9,MATCH(B1122,BP!$A$5:$A$9,1)))/(INDEX(BP!$B$5:$B$9,MATCH(B1122,BP!$A$5:$A$9,1))-INDEX(BP!$A$5:$A$9,MATCH(B1122,BP!$A$5:$A$9,1)))*(B1122-INDEX(BP!$A$5:$A$9,MATCH(B1122,BP!$A$5:$A$9,1)))+INDEX(BP!$C$5:$C$9,MATCH(B1122,BP!$A$5:$A$9,1)),0))</f>
        <v>28</v>
      </c>
      <c r="D1122" s="12" t="str">
        <f aca="false">IF(NOT(ISNUMBER(C1122)),"",INDEX(BP!$F$5:$F$9,MATCH(C1122,BP!$E$5:$E$9,1)))</f>
        <v>ดี</v>
      </c>
      <c r="E1122" s="12" t="n">
        <f aca="false">YEAR(A1122)</f>
        <v>2024</v>
      </c>
      <c r="F1122" s="12" t="n">
        <f aca="false">MONTH(A1122)</f>
        <v>1</v>
      </c>
      <c r="G1122" s="12" t="n">
        <v>29.2</v>
      </c>
      <c r="H1122" s="12" t="n">
        <v>61.2</v>
      </c>
      <c r="I1122" s="12" t="n">
        <v>93</v>
      </c>
      <c r="J1122" s="12" t="n">
        <v>1.9</v>
      </c>
      <c r="K1122" s="12" t="n">
        <v>0.4</v>
      </c>
      <c r="L1122" s="12" t="s">
        <v>36</v>
      </c>
    </row>
    <row r="1123" customFormat="false" ht="15" hidden="false" customHeight="false" outlineLevel="0" collapsed="false">
      <c r="A1123" s="11" t="n">
        <v>45318</v>
      </c>
      <c r="B1123" s="12" t="n">
        <v>16.7</v>
      </c>
      <c r="C1123" s="12" t="n">
        <f aca="false">IF(NOT(ISNUMBER(B1123)),"",ROUND((INDEX(BP!$D$5:$D$9,MATCH(B1123,BP!$A$5:$A$9,1))-INDEX(BP!$C$5:$C$9,MATCH(B1123,BP!$A$5:$A$9,1)))/(INDEX(BP!$B$5:$B$9,MATCH(B1123,BP!$A$5:$A$9,1))-INDEX(BP!$A$5:$A$9,MATCH(B1123,BP!$A$5:$A$9,1)))*(B1123-INDEX(BP!$A$5:$A$9,MATCH(B1123,BP!$A$5:$A$9,1)))+INDEX(BP!$C$5:$C$9,MATCH(B1123,BP!$A$5:$A$9,1)),0))</f>
        <v>30</v>
      </c>
      <c r="D1123" s="12" t="str">
        <f aca="false">IF(NOT(ISNUMBER(C1123)),"",INDEX(BP!$F$5:$F$9,MATCH(C1123,BP!$E$5:$E$9,1)))</f>
        <v>ดี</v>
      </c>
      <c r="E1123" s="12" t="n">
        <f aca="false">YEAR(A1123)</f>
        <v>2024</v>
      </c>
      <c r="F1123" s="12" t="n">
        <f aca="false">MONTH(A1123)</f>
        <v>1</v>
      </c>
      <c r="G1123" s="12" t="n">
        <v>25.8</v>
      </c>
      <c r="H1123" s="12" t="n">
        <v>53.3</v>
      </c>
      <c r="I1123" s="12" t="n">
        <v>89</v>
      </c>
      <c r="J1123" s="12" t="n">
        <v>0.9</v>
      </c>
      <c r="K1123" s="12" t="n">
        <v>0.2</v>
      </c>
      <c r="L1123" s="12" t="s">
        <v>35</v>
      </c>
    </row>
    <row r="1124" customFormat="false" ht="15" hidden="false" customHeight="false" outlineLevel="0" collapsed="false">
      <c r="A1124" s="11" t="n">
        <v>45319</v>
      </c>
      <c r="B1124" s="12" t="n">
        <v>17.2</v>
      </c>
      <c r="C1124" s="12" t="n">
        <f aca="false">IF(NOT(ISNUMBER(B1124)),"",ROUND((INDEX(BP!$D$5:$D$9,MATCH(B1124,BP!$A$5:$A$9,1))-INDEX(BP!$C$5:$C$9,MATCH(B1124,BP!$A$5:$A$9,1)))/(INDEX(BP!$B$5:$B$9,MATCH(B1124,BP!$A$5:$A$9,1))-INDEX(BP!$A$5:$A$9,MATCH(B1124,BP!$A$5:$A$9,1)))*(B1124-INDEX(BP!$A$5:$A$9,MATCH(B1124,BP!$A$5:$A$9,1)))+INDEX(BP!$C$5:$C$9,MATCH(B1124,BP!$A$5:$A$9,1)),0))</f>
        <v>31</v>
      </c>
      <c r="D1124" s="12" t="str">
        <f aca="false">IF(NOT(ISNUMBER(C1124)),"",INDEX(BP!$F$5:$F$9,MATCH(C1124,BP!$E$5:$E$9,1)))</f>
        <v>ดี</v>
      </c>
      <c r="E1124" s="12" t="n">
        <f aca="false">YEAR(A1124)</f>
        <v>2024</v>
      </c>
      <c r="F1124" s="12" t="n">
        <f aca="false">MONTH(A1124)</f>
        <v>1</v>
      </c>
      <c r="G1124" s="12" t="n">
        <v>26.6</v>
      </c>
      <c r="H1124" s="12" t="n">
        <v>55.1</v>
      </c>
      <c r="I1124" s="12" t="n">
        <v>94</v>
      </c>
      <c r="J1124" s="12" t="n">
        <v>1.6</v>
      </c>
      <c r="K1124" s="12" t="n">
        <v>0.2</v>
      </c>
      <c r="L1124" s="12" t="s">
        <v>35</v>
      </c>
    </row>
    <row r="1125" customFormat="false" ht="15" hidden="false" customHeight="false" outlineLevel="0" collapsed="false">
      <c r="A1125" s="11" t="n">
        <v>45320</v>
      </c>
      <c r="B1125" s="12" t="n">
        <v>17.1</v>
      </c>
      <c r="C1125" s="12" t="n">
        <f aca="false">IF(NOT(ISNUMBER(B1125)),"",ROUND((INDEX(BP!$D$5:$D$9,MATCH(B1125,BP!$A$5:$A$9,1))-INDEX(BP!$C$5:$C$9,MATCH(B1125,BP!$A$5:$A$9,1)))/(INDEX(BP!$B$5:$B$9,MATCH(B1125,BP!$A$5:$A$9,1))-INDEX(BP!$A$5:$A$9,MATCH(B1125,BP!$A$5:$A$9,1)))*(B1125-INDEX(BP!$A$5:$A$9,MATCH(B1125,BP!$A$5:$A$9,1)))+INDEX(BP!$C$5:$C$9,MATCH(B1125,BP!$A$5:$A$9,1)),0))</f>
        <v>31</v>
      </c>
      <c r="D1125" s="12" t="str">
        <f aca="false">IF(NOT(ISNUMBER(C1125)),"",INDEX(BP!$F$5:$F$9,MATCH(C1125,BP!$E$5:$E$9,1)))</f>
        <v>ดี</v>
      </c>
      <c r="E1125" s="12" t="n">
        <f aca="false">YEAR(A1125)</f>
        <v>2024</v>
      </c>
      <c r="F1125" s="12" t="n">
        <f aca="false">MONTH(A1125)</f>
        <v>1</v>
      </c>
      <c r="G1125" s="12" t="n">
        <v>24.1</v>
      </c>
      <c r="H1125" s="12" t="n">
        <v>49.3</v>
      </c>
      <c r="I1125" s="12" t="n">
        <v>89</v>
      </c>
      <c r="J1125" s="12" t="n">
        <v>0.5</v>
      </c>
      <c r="K1125" s="12" t="n">
        <v>0</v>
      </c>
      <c r="L1125" s="12" t="s">
        <v>36</v>
      </c>
    </row>
    <row r="1126" customFormat="false" ht="15" hidden="false" customHeight="false" outlineLevel="0" collapsed="false">
      <c r="A1126" s="11" t="n">
        <v>45321</v>
      </c>
      <c r="B1126" s="12" t="n">
        <v>16.1</v>
      </c>
      <c r="C1126" s="12" t="n">
        <f aca="false">IF(NOT(ISNUMBER(B1126)),"",ROUND((INDEX(BP!$D$5:$D$9,MATCH(B1126,BP!$A$5:$A$9,1))-INDEX(BP!$C$5:$C$9,MATCH(B1126,BP!$A$5:$A$9,1)))/(INDEX(BP!$B$5:$B$9,MATCH(B1126,BP!$A$5:$A$9,1))-INDEX(BP!$A$5:$A$9,MATCH(B1126,BP!$A$5:$A$9,1)))*(B1126-INDEX(BP!$A$5:$A$9,MATCH(B1126,BP!$A$5:$A$9,1)))+INDEX(BP!$C$5:$C$9,MATCH(B1126,BP!$A$5:$A$9,1)),0))</f>
        <v>28</v>
      </c>
      <c r="D1126" s="12" t="str">
        <f aca="false">IF(NOT(ISNUMBER(C1126)),"",INDEX(BP!$F$5:$F$9,MATCH(C1126,BP!$E$5:$E$9,1)))</f>
        <v>ดี</v>
      </c>
      <c r="E1126" s="12" t="n">
        <f aca="false">YEAR(A1126)</f>
        <v>2024</v>
      </c>
      <c r="F1126" s="12" t="n">
        <f aca="false">MONTH(A1126)</f>
        <v>1</v>
      </c>
      <c r="G1126" s="12" t="n">
        <v>19.8</v>
      </c>
      <c r="H1126" s="12" t="n">
        <v>41.8</v>
      </c>
      <c r="I1126" s="12" t="n">
        <v>92</v>
      </c>
      <c r="J1126" s="12" t="n">
        <v>0</v>
      </c>
      <c r="K1126" s="12" t="n">
        <v>0</v>
      </c>
      <c r="L1126" s="12" t="s">
        <v>36</v>
      </c>
    </row>
    <row r="1127" customFormat="false" ht="15" hidden="false" customHeight="false" outlineLevel="0" collapsed="false">
      <c r="A1127" s="11" t="n">
        <v>45322</v>
      </c>
      <c r="B1127" s="12" t="n">
        <v>16.9</v>
      </c>
      <c r="C1127" s="12" t="n">
        <f aca="false">IF(NOT(ISNUMBER(B1127)),"",ROUND((INDEX(BP!$D$5:$D$9,MATCH(B1127,BP!$A$5:$A$9,1))-INDEX(BP!$C$5:$C$9,MATCH(B1127,BP!$A$5:$A$9,1)))/(INDEX(BP!$B$5:$B$9,MATCH(B1127,BP!$A$5:$A$9,1))-INDEX(BP!$A$5:$A$9,MATCH(B1127,BP!$A$5:$A$9,1)))*(B1127-INDEX(BP!$A$5:$A$9,MATCH(B1127,BP!$A$5:$A$9,1)))+INDEX(BP!$C$5:$C$9,MATCH(B1127,BP!$A$5:$A$9,1)),0))</f>
        <v>30</v>
      </c>
      <c r="D1127" s="12" t="str">
        <f aca="false">IF(NOT(ISNUMBER(C1127)),"",INDEX(BP!$F$5:$F$9,MATCH(C1127,BP!$E$5:$E$9,1)))</f>
        <v>ดี</v>
      </c>
      <c r="E1127" s="12" t="n">
        <f aca="false">YEAR(A1127)</f>
        <v>2024</v>
      </c>
      <c r="F1127" s="12" t="n">
        <f aca="false">MONTH(A1127)</f>
        <v>1</v>
      </c>
      <c r="G1127" s="12" t="n">
        <v>19.1</v>
      </c>
      <c r="H1127" s="12" t="n">
        <v>40.7</v>
      </c>
      <c r="I1127" s="12" t="n">
        <v>83</v>
      </c>
      <c r="J1127" s="12" t="n">
        <v>0</v>
      </c>
      <c r="K1127" s="12" t="n">
        <v>0</v>
      </c>
      <c r="L1127" s="12" t="s">
        <v>36</v>
      </c>
    </row>
    <row r="1128" customFormat="false" ht="15" hidden="false" customHeight="false" outlineLevel="0" collapsed="false">
      <c r="A1128" s="11" t="n">
        <v>45323</v>
      </c>
      <c r="B1128" s="12" t="n">
        <v>19.6</v>
      </c>
      <c r="C1128" s="12" t="n">
        <f aca="false">IF(NOT(ISNUMBER(B1128)),"",ROUND((INDEX(BP!$D$5:$D$9,MATCH(B1128,BP!$A$5:$A$9,1))-INDEX(BP!$C$5:$C$9,MATCH(B1128,BP!$A$5:$A$9,1)))/(INDEX(BP!$B$5:$B$9,MATCH(B1128,BP!$A$5:$A$9,1))-INDEX(BP!$A$5:$A$9,MATCH(B1128,BP!$A$5:$A$9,1)))*(B1128-INDEX(BP!$A$5:$A$9,MATCH(B1128,BP!$A$5:$A$9,1)))+INDEX(BP!$C$5:$C$9,MATCH(B1128,BP!$A$5:$A$9,1)),0))</f>
        <v>37</v>
      </c>
      <c r="D1128" s="12" t="str">
        <f aca="false">IF(NOT(ISNUMBER(C1128)),"",INDEX(BP!$F$5:$F$9,MATCH(C1128,BP!$E$5:$E$9,1)))</f>
        <v>ดี</v>
      </c>
      <c r="E1128" s="12" t="n">
        <f aca="false">YEAR(A1128)</f>
        <v>2024</v>
      </c>
      <c r="F1128" s="12" t="n">
        <f aca="false">MONTH(A1128)</f>
        <v>2</v>
      </c>
      <c r="G1128" s="12" t="n">
        <v>16.3</v>
      </c>
      <c r="H1128" s="12" t="n">
        <v>36.4</v>
      </c>
      <c r="I1128" s="12" t="n">
        <v>78</v>
      </c>
      <c r="J1128" s="12" t="n">
        <v>0.2</v>
      </c>
      <c r="K1128" s="12" t="n">
        <v>0</v>
      </c>
      <c r="L1128" s="12" t="s">
        <v>36</v>
      </c>
    </row>
    <row r="1129" customFormat="false" ht="15" hidden="false" customHeight="false" outlineLevel="0" collapsed="false">
      <c r="A1129" s="11" t="n">
        <v>45324</v>
      </c>
      <c r="B1129" s="12" t="n">
        <v>21.3</v>
      </c>
      <c r="C1129" s="12" t="n">
        <f aca="false">IF(NOT(ISNUMBER(B1129)),"",ROUND((INDEX(BP!$D$5:$D$9,MATCH(B1129,BP!$A$5:$A$9,1))-INDEX(BP!$C$5:$C$9,MATCH(B1129,BP!$A$5:$A$9,1)))/(INDEX(BP!$B$5:$B$9,MATCH(B1129,BP!$A$5:$A$9,1))-INDEX(BP!$A$5:$A$9,MATCH(B1129,BP!$A$5:$A$9,1)))*(B1129-INDEX(BP!$A$5:$A$9,MATCH(B1129,BP!$A$5:$A$9,1)))+INDEX(BP!$C$5:$C$9,MATCH(B1129,BP!$A$5:$A$9,1)),0))</f>
        <v>41</v>
      </c>
      <c r="D1129" s="12" t="str">
        <f aca="false">IF(NOT(ISNUMBER(C1129)),"",INDEX(BP!$F$5:$F$9,MATCH(C1129,BP!$E$5:$E$9,1)))</f>
        <v>ดี</v>
      </c>
      <c r="E1129" s="12" t="n">
        <f aca="false">YEAR(A1129)</f>
        <v>2024</v>
      </c>
      <c r="F1129" s="12" t="n">
        <f aca="false">MONTH(A1129)</f>
        <v>2</v>
      </c>
      <c r="G1129" s="12" t="n">
        <v>15</v>
      </c>
      <c r="H1129" s="12" t="n">
        <v>34.9</v>
      </c>
      <c r="I1129" s="12" t="n">
        <v>70</v>
      </c>
      <c r="J1129" s="12" t="n">
        <v>0.3</v>
      </c>
      <c r="K1129" s="12" t="n">
        <v>0</v>
      </c>
      <c r="L1129" s="12" t="s">
        <v>36</v>
      </c>
    </row>
    <row r="1130" customFormat="false" ht="15" hidden="false" customHeight="false" outlineLevel="0" collapsed="false">
      <c r="A1130" s="11" t="n">
        <v>45325</v>
      </c>
      <c r="B1130" s="12" t="n">
        <v>17.4</v>
      </c>
      <c r="C1130" s="12" t="n">
        <f aca="false">IF(NOT(ISNUMBER(B1130)),"",ROUND((INDEX(BP!$D$5:$D$9,MATCH(B1130,BP!$A$5:$A$9,1))-INDEX(BP!$C$5:$C$9,MATCH(B1130,BP!$A$5:$A$9,1)))/(INDEX(BP!$B$5:$B$9,MATCH(B1130,BP!$A$5:$A$9,1))-INDEX(BP!$A$5:$A$9,MATCH(B1130,BP!$A$5:$A$9,1)))*(B1130-INDEX(BP!$A$5:$A$9,MATCH(B1130,BP!$A$5:$A$9,1)))+INDEX(BP!$C$5:$C$9,MATCH(B1130,BP!$A$5:$A$9,1)),0))</f>
        <v>32</v>
      </c>
      <c r="D1130" s="12" t="str">
        <f aca="false">IF(NOT(ISNUMBER(C1130)),"",INDEX(BP!$F$5:$F$9,MATCH(C1130,BP!$E$5:$E$9,1)))</f>
        <v>ดี</v>
      </c>
      <c r="E1130" s="12" t="n">
        <f aca="false">YEAR(A1130)</f>
        <v>2024</v>
      </c>
      <c r="F1130" s="12" t="n">
        <f aca="false">MONTH(A1130)</f>
        <v>2</v>
      </c>
      <c r="G1130" s="12" t="n">
        <v>14.8</v>
      </c>
      <c r="H1130" s="12" t="n">
        <v>33.5</v>
      </c>
      <c r="I1130" s="12" t="n">
        <v>70</v>
      </c>
      <c r="J1130" s="12" t="n">
        <v>0.7</v>
      </c>
      <c r="K1130" s="12" t="n">
        <v>0</v>
      </c>
      <c r="L1130" s="12" t="s">
        <v>35</v>
      </c>
    </row>
    <row r="1131" customFormat="false" ht="15" hidden="false" customHeight="false" outlineLevel="0" collapsed="false">
      <c r="A1131" s="11" t="n">
        <v>45326</v>
      </c>
      <c r="B1131" s="12" t="n">
        <v>19.8</v>
      </c>
      <c r="C1131" s="12" t="n">
        <f aca="false">IF(NOT(ISNUMBER(B1131)),"",ROUND((INDEX(BP!$D$5:$D$9,MATCH(B1131,BP!$A$5:$A$9,1))-INDEX(BP!$C$5:$C$9,MATCH(B1131,BP!$A$5:$A$9,1)))/(INDEX(BP!$B$5:$B$9,MATCH(B1131,BP!$A$5:$A$9,1))-INDEX(BP!$A$5:$A$9,MATCH(B1131,BP!$A$5:$A$9,1)))*(B1131-INDEX(BP!$A$5:$A$9,MATCH(B1131,BP!$A$5:$A$9,1)))+INDEX(BP!$C$5:$C$9,MATCH(B1131,BP!$A$5:$A$9,1)),0))</f>
        <v>37</v>
      </c>
      <c r="D1131" s="12" t="str">
        <f aca="false">IF(NOT(ISNUMBER(C1131)),"",INDEX(BP!$F$5:$F$9,MATCH(C1131,BP!$E$5:$E$9,1)))</f>
        <v>ดี</v>
      </c>
      <c r="E1131" s="12" t="n">
        <f aca="false">YEAR(A1131)</f>
        <v>2024</v>
      </c>
      <c r="F1131" s="12" t="n">
        <f aca="false">MONTH(A1131)</f>
        <v>2</v>
      </c>
      <c r="G1131" s="12" t="n">
        <v>14.3</v>
      </c>
      <c r="H1131" s="12" t="n">
        <v>32.8</v>
      </c>
      <c r="I1131" s="12" t="n">
        <v>77</v>
      </c>
      <c r="J1131" s="12" t="n">
        <v>0</v>
      </c>
      <c r="K1131" s="12" t="n">
        <v>0</v>
      </c>
      <c r="L1131" s="12" t="s">
        <v>35</v>
      </c>
    </row>
    <row r="1132" customFormat="false" ht="15" hidden="false" customHeight="false" outlineLevel="0" collapsed="false">
      <c r="A1132" s="11" t="n">
        <v>45327</v>
      </c>
      <c r="B1132" s="12" t="n">
        <v>25.8</v>
      </c>
      <c r="C1132" s="12" t="n">
        <f aca="false">IF(NOT(ISNUMBER(B1132)),"",ROUND((INDEX(BP!$D$5:$D$9,MATCH(B1132,BP!$A$5:$A$9,1))-INDEX(BP!$C$5:$C$9,MATCH(B1132,BP!$A$5:$A$9,1)))/(INDEX(BP!$B$5:$B$9,MATCH(B1132,BP!$A$5:$A$9,1))-INDEX(BP!$A$5:$A$9,MATCH(B1132,BP!$A$5:$A$9,1)))*(B1132-INDEX(BP!$A$5:$A$9,MATCH(B1132,BP!$A$5:$A$9,1)))+INDEX(BP!$C$5:$C$9,MATCH(B1132,BP!$A$5:$A$9,1)),0))</f>
        <v>54</v>
      </c>
      <c r="D1132" s="12" t="str">
        <f aca="false">IF(NOT(ISNUMBER(C1132)),"",INDEX(BP!$F$5:$F$9,MATCH(C1132,BP!$E$5:$E$9,1)))</f>
        <v>ปานกลาง</v>
      </c>
      <c r="E1132" s="12" t="n">
        <f aca="false">YEAR(A1132)</f>
        <v>2024</v>
      </c>
      <c r="F1132" s="12" t="n">
        <f aca="false">MONTH(A1132)</f>
        <v>2</v>
      </c>
      <c r="G1132" s="12" t="n">
        <v>14.6</v>
      </c>
      <c r="H1132" s="12" t="n">
        <v>34.9</v>
      </c>
      <c r="I1132" s="12" t="n">
        <v>73</v>
      </c>
      <c r="J1132" s="12" t="n">
        <v>0.1</v>
      </c>
      <c r="K1132" s="12" t="n">
        <v>0</v>
      </c>
      <c r="L1132" s="12" t="s">
        <v>36</v>
      </c>
    </row>
    <row r="1133" customFormat="false" ht="15" hidden="false" customHeight="false" outlineLevel="0" collapsed="false">
      <c r="A1133" s="11" t="n">
        <v>45328</v>
      </c>
      <c r="B1133" s="12" t="n">
        <v>20.3</v>
      </c>
      <c r="C1133" s="12" t="n">
        <f aca="false">IF(NOT(ISNUMBER(B1133)),"",ROUND((INDEX(BP!$D$5:$D$9,MATCH(B1133,BP!$A$5:$A$9,1))-INDEX(BP!$C$5:$C$9,MATCH(B1133,BP!$A$5:$A$9,1)))/(INDEX(BP!$B$5:$B$9,MATCH(B1133,BP!$A$5:$A$9,1))-INDEX(BP!$A$5:$A$9,MATCH(B1133,BP!$A$5:$A$9,1)))*(B1133-INDEX(BP!$A$5:$A$9,MATCH(B1133,BP!$A$5:$A$9,1)))+INDEX(BP!$C$5:$C$9,MATCH(B1133,BP!$A$5:$A$9,1)),0))</f>
        <v>39</v>
      </c>
      <c r="D1133" s="12" t="str">
        <f aca="false">IF(NOT(ISNUMBER(C1133)),"",INDEX(BP!$F$5:$F$9,MATCH(C1133,BP!$E$5:$E$9,1)))</f>
        <v>ดี</v>
      </c>
      <c r="E1133" s="12" t="n">
        <f aca="false">YEAR(A1133)</f>
        <v>2024</v>
      </c>
      <c r="F1133" s="12" t="n">
        <f aca="false">MONTH(A1133)</f>
        <v>2</v>
      </c>
      <c r="G1133" s="12" t="n">
        <v>13.8</v>
      </c>
      <c r="H1133" s="12" t="n">
        <v>35.3</v>
      </c>
      <c r="I1133" s="12" t="n">
        <v>64</v>
      </c>
      <c r="J1133" s="12" t="n">
        <v>0.5</v>
      </c>
      <c r="K1133" s="12" t="n">
        <v>0</v>
      </c>
      <c r="L1133" s="12" t="s">
        <v>36</v>
      </c>
    </row>
    <row r="1134" customFormat="false" ht="15" hidden="false" customHeight="false" outlineLevel="0" collapsed="false">
      <c r="A1134" s="11" t="n">
        <v>45329</v>
      </c>
      <c r="B1134" s="12" t="n">
        <v>20.7</v>
      </c>
      <c r="C1134" s="12" t="n">
        <f aca="false">IF(NOT(ISNUMBER(B1134)),"",ROUND((INDEX(BP!$D$5:$D$9,MATCH(B1134,BP!$A$5:$A$9,1))-INDEX(BP!$C$5:$C$9,MATCH(B1134,BP!$A$5:$A$9,1)))/(INDEX(BP!$B$5:$B$9,MATCH(B1134,BP!$A$5:$A$9,1))-INDEX(BP!$A$5:$A$9,MATCH(B1134,BP!$A$5:$A$9,1)))*(B1134-INDEX(BP!$A$5:$A$9,MATCH(B1134,BP!$A$5:$A$9,1)))+INDEX(BP!$C$5:$C$9,MATCH(B1134,BP!$A$5:$A$9,1)),0))</f>
        <v>40</v>
      </c>
      <c r="D1134" s="12" t="str">
        <f aca="false">IF(NOT(ISNUMBER(C1134)),"",INDEX(BP!$F$5:$F$9,MATCH(C1134,BP!$E$5:$E$9,1)))</f>
        <v>ดี</v>
      </c>
      <c r="E1134" s="12" t="n">
        <f aca="false">YEAR(A1134)</f>
        <v>2024</v>
      </c>
      <c r="F1134" s="12" t="n">
        <f aca="false">MONTH(A1134)</f>
        <v>2</v>
      </c>
      <c r="G1134" s="12" t="n">
        <v>15</v>
      </c>
      <c r="H1134" s="12" t="n">
        <v>35.6</v>
      </c>
      <c r="I1134" s="12" t="n">
        <v>64</v>
      </c>
      <c r="J1134" s="12" t="n">
        <v>0.4</v>
      </c>
      <c r="K1134" s="12" t="n">
        <v>0</v>
      </c>
      <c r="L1134" s="12" t="s">
        <v>36</v>
      </c>
    </row>
    <row r="1135" customFormat="false" ht="15" hidden="false" customHeight="false" outlineLevel="0" collapsed="false">
      <c r="A1135" s="11" t="n">
        <v>45330</v>
      </c>
      <c r="B1135" s="12" t="n">
        <v>21</v>
      </c>
      <c r="C1135" s="12" t="n">
        <f aca="false">IF(NOT(ISNUMBER(B1135)),"",ROUND((INDEX(BP!$D$5:$D$9,MATCH(B1135,BP!$A$5:$A$9,1))-INDEX(BP!$C$5:$C$9,MATCH(B1135,BP!$A$5:$A$9,1)))/(INDEX(BP!$B$5:$B$9,MATCH(B1135,BP!$A$5:$A$9,1))-INDEX(BP!$A$5:$A$9,MATCH(B1135,BP!$A$5:$A$9,1)))*(B1135-INDEX(BP!$A$5:$A$9,MATCH(B1135,BP!$A$5:$A$9,1)))+INDEX(BP!$C$5:$C$9,MATCH(B1135,BP!$A$5:$A$9,1)),0))</f>
        <v>40</v>
      </c>
      <c r="D1135" s="12" t="str">
        <f aca="false">IF(NOT(ISNUMBER(C1135)),"",INDEX(BP!$F$5:$F$9,MATCH(C1135,BP!$E$5:$E$9,1)))</f>
        <v>ดี</v>
      </c>
      <c r="E1135" s="12" t="n">
        <f aca="false">YEAR(A1135)</f>
        <v>2024</v>
      </c>
      <c r="F1135" s="12" t="n">
        <f aca="false">MONTH(A1135)</f>
        <v>2</v>
      </c>
      <c r="G1135" s="12" t="n">
        <v>14.8</v>
      </c>
      <c r="H1135" s="12" t="n">
        <v>34.6</v>
      </c>
      <c r="I1135" s="12" t="n">
        <v>74</v>
      </c>
      <c r="J1135" s="12" t="n">
        <v>0.1</v>
      </c>
      <c r="K1135" s="12" t="n">
        <v>0</v>
      </c>
      <c r="L1135" s="12" t="s">
        <v>36</v>
      </c>
    </row>
    <row r="1136" customFormat="false" ht="15" hidden="false" customHeight="false" outlineLevel="0" collapsed="false">
      <c r="A1136" s="11" t="n">
        <v>45331</v>
      </c>
      <c r="B1136" s="12" t="n">
        <v>23.2</v>
      </c>
      <c r="C1136" s="12" t="n">
        <f aca="false">IF(NOT(ISNUMBER(B1136)),"",ROUND((INDEX(BP!$D$5:$D$9,MATCH(B1136,BP!$A$5:$A$9,1))-INDEX(BP!$C$5:$C$9,MATCH(B1136,BP!$A$5:$A$9,1)))/(INDEX(BP!$B$5:$B$9,MATCH(B1136,BP!$A$5:$A$9,1))-INDEX(BP!$A$5:$A$9,MATCH(B1136,BP!$A$5:$A$9,1)))*(B1136-INDEX(BP!$A$5:$A$9,MATCH(B1136,BP!$A$5:$A$9,1)))+INDEX(BP!$C$5:$C$9,MATCH(B1136,BP!$A$5:$A$9,1)),0))</f>
        <v>46</v>
      </c>
      <c r="D1136" s="12" t="str">
        <f aca="false">IF(NOT(ISNUMBER(C1136)),"",INDEX(BP!$F$5:$F$9,MATCH(C1136,BP!$E$5:$E$9,1)))</f>
        <v>ดี</v>
      </c>
      <c r="E1136" s="12" t="n">
        <f aca="false">YEAR(A1136)</f>
        <v>2024</v>
      </c>
      <c r="F1136" s="12" t="n">
        <f aca="false">MONTH(A1136)</f>
        <v>2</v>
      </c>
      <c r="G1136" s="12" t="n">
        <v>19</v>
      </c>
      <c r="H1136" s="12" t="n">
        <v>42.1</v>
      </c>
      <c r="I1136" s="12" t="n">
        <v>89</v>
      </c>
      <c r="J1136" s="12" t="n">
        <v>0.7</v>
      </c>
      <c r="K1136" s="12" t="n">
        <v>0</v>
      </c>
      <c r="L1136" s="12" t="s">
        <v>36</v>
      </c>
    </row>
    <row r="1137" customFormat="false" ht="15" hidden="false" customHeight="false" outlineLevel="0" collapsed="false">
      <c r="A1137" s="11" t="n">
        <v>45332</v>
      </c>
      <c r="B1137" s="12" t="n">
        <v>19.9</v>
      </c>
      <c r="C1137" s="12" t="n">
        <f aca="false">IF(NOT(ISNUMBER(B1137)),"",ROUND((INDEX(BP!$D$5:$D$9,MATCH(B1137,BP!$A$5:$A$9,1))-INDEX(BP!$C$5:$C$9,MATCH(B1137,BP!$A$5:$A$9,1)))/(INDEX(BP!$B$5:$B$9,MATCH(B1137,BP!$A$5:$A$9,1))-INDEX(BP!$A$5:$A$9,MATCH(B1137,BP!$A$5:$A$9,1)))*(B1137-INDEX(BP!$A$5:$A$9,MATCH(B1137,BP!$A$5:$A$9,1)))+INDEX(BP!$C$5:$C$9,MATCH(B1137,BP!$A$5:$A$9,1)),0))</f>
        <v>38</v>
      </c>
      <c r="D1137" s="12" t="str">
        <f aca="false">IF(NOT(ISNUMBER(C1137)),"",INDEX(BP!$F$5:$F$9,MATCH(C1137,BP!$E$5:$E$9,1)))</f>
        <v>ดี</v>
      </c>
      <c r="E1137" s="12" t="n">
        <f aca="false">YEAR(A1137)</f>
        <v>2024</v>
      </c>
      <c r="F1137" s="12" t="n">
        <f aca="false">MONTH(A1137)</f>
        <v>2</v>
      </c>
      <c r="G1137" s="12" t="n">
        <v>30.2</v>
      </c>
      <c r="H1137" s="12" t="n">
        <v>61.9</v>
      </c>
      <c r="I1137" s="12" t="n">
        <v>95</v>
      </c>
      <c r="J1137" s="12" t="n">
        <v>0.9</v>
      </c>
      <c r="K1137" s="12" t="n">
        <v>0</v>
      </c>
      <c r="L1137" s="12" t="s">
        <v>35</v>
      </c>
    </row>
    <row r="1138" customFormat="false" ht="15" hidden="false" customHeight="false" outlineLevel="0" collapsed="false">
      <c r="A1138" s="11" t="n">
        <v>45333</v>
      </c>
      <c r="B1138" s="12" t="n">
        <v>20</v>
      </c>
      <c r="C1138" s="12" t="n">
        <f aca="false">IF(NOT(ISNUMBER(B1138)),"",ROUND((INDEX(BP!$D$5:$D$9,MATCH(B1138,BP!$A$5:$A$9,1))-INDEX(BP!$C$5:$C$9,MATCH(B1138,BP!$A$5:$A$9,1)))/(INDEX(BP!$B$5:$B$9,MATCH(B1138,BP!$A$5:$A$9,1))-INDEX(BP!$A$5:$A$9,MATCH(B1138,BP!$A$5:$A$9,1)))*(B1138-INDEX(BP!$A$5:$A$9,MATCH(B1138,BP!$A$5:$A$9,1)))+INDEX(BP!$C$5:$C$9,MATCH(B1138,BP!$A$5:$A$9,1)),0))</f>
        <v>38</v>
      </c>
      <c r="D1138" s="12" t="str">
        <f aca="false">IF(NOT(ISNUMBER(C1138)),"",INDEX(BP!$F$5:$F$9,MATCH(C1138,BP!$E$5:$E$9,1)))</f>
        <v>ดี</v>
      </c>
      <c r="E1138" s="12" t="n">
        <f aca="false">YEAR(A1138)</f>
        <v>2024</v>
      </c>
      <c r="F1138" s="12" t="n">
        <f aca="false">MONTH(A1138)</f>
        <v>2</v>
      </c>
      <c r="G1138" s="12" t="n">
        <v>33.8</v>
      </c>
      <c r="H1138" s="12" t="n">
        <v>70.6</v>
      </c>
      <c r="I1138" s="12" t="n">
        <v>94</v>
      </c>
      <c r="J1138" s="12" t="n">
        <v>0.9</v>
      </c>
      <c r="K1138" s="12" t="n">
        <v>0</v>
      </c>
      <c r="L1138" s="12" t="s">
        <v>35</v>
      </c>
    </row>
    <row r="1139" customFormat="false" ht="15" hidden="false" customHeight="false" outlineLevel="0" collapsed="false">
      <c r="A1139" s="11" t="n">
        <v>45334</v>
      </c>
      <c r="B1139" s="12" t="n">
        <v>21.5</v>
      </c>
      <c r="C1139" s="12" t="n">
        <f aca="false">IF(NOT(ISNUMBER(B1139)),"",ROUND((INDEX(BP!$D$5:$D$9,MATCH(B1139,BP!$A$5:$A$9,1))-INDEX(BP!$C$5:$C$9,MATCH(B1139,BP!$A$5:$A$9,1)))/(INDEX(BP!$B$5:$B$9,MATCH(B1139,BP!$A$5:$A$9,1))-INDEX(BP!$A$5:$A$9,MATCH(B1139,BP!$A$5:$A$9,1)))*(B1139-INDEX(BP!$A$5:$A$9,MATCH(B1139,BP!$A$5:$A$9,1)))+INDEX(BP!$C$5:$C$9,MATCH(B1139,BP!$A$5:$A$9,1)),0))</f>
        <v>42</v>
      </c>
      <c r="D1139" s="12" t="str">
        <f aca="false">IF(NOT(ISNUMBER(C1139)),"",INDEX(BP!$F$5:$F$9,MATCH(C1139,BP!$E$5:$E$9,1)))</f>
        <v>ดี</v>
      </c>
      <c r="E1139" s="12" t="n">
        <f aca="false">YEAR(A1139)</f>
        <v>2024</v>
      </c>
      <c r="F1139" s="12" t="n">
        <f aca="false">MONTH(A1139)</f>
        <v>2</v>
      </c>
      <c r="G1139" s="12" t="n">
        <v>29.2</v>
      </c>
      <c r="H1139" s="12" t="n">
        <v>61.2</v>
      </c>
      <c r="I1139" s="12" t="n">
        <v>88</v>
      </c>
      <c r="J1139" s="12" t="n">
        <v>2.5</v>
      </c>
      <c r="K1139" s="12" t="n">
        <v>0</v>
      </c>
      <c r="L1139" s="12" t="s">
        <v>36</v>
      </c>
    </row>
    <row r="1140" customFormat="false" ht="15" hidden="false" customHeight="false" outlineLevel="0" collapsed="false">
      <c r="A1140" s="11" t="n">
        <v>45335</v>
      </c>
      <c r="B1140" s="12" t="n">
        <v>19.8</v>
      </c>
      <c r="C1140" s="12" t="n">
        <f aca="false">IF(NOT(ISNUMBER(B1140)),"",ROUND((INDEX(BP!$D$5:$D$9,MATCH(B1140,BP!$A$5:$A$9,1))-INDEX(BP!$C$5:$C$9,MATCH(B1140,BP!$A$5:$A$9,1)))/(INDEX(BP!$B$5:$B$9,MATCH(B1140,BP!$A$5:$A$9,1))-INDEX(BP!$A$5:$A$9,MATCH(B1140,BP!$A$5:$A$9,1)))*(B1140-INDEX(BP!$A$5:$A$9,MATCH(B1140,BP!$A$5:$A$9,1)))+INDEX(BP!$C$5:$C$9,MATCH(B1140,BP!$A$5:$A$9,1)),0))</f>
        <v>37</v>
      </c>
      <c r="D1140" s="12" t="str">
        <f aca="false">IF(NOT(ISNUMBER(C1140)),"",INDEX(BP!$F$5:$F$9,MATCH(C1140,BP!$E$5:$E$9,1)))</f>
        <v>ดี</v>
      </c>
      <c r="E1140" s="12" t="n">
        <f aca="false">YEAR(A1140)</f>
        <v>2024</v>
      </c>
      <c r="F1140" s="12" t="n">
        <f aca="false">MONTH(A1140)</f>
        <v>2</v>
      </c>
      <c r="G1140" s="12" t="n">
        <v>29.3</v>
      </c>
      <c r="H1140" s="12" t="n">
        <v>60.5</v>
      </c>
      <c r="I1140" s="12" t="n">
        <v>85</v>
      </c>
      <c r="J1140" s="12" t="n">
        <v>0.6</v>
      </c>
      <c r="K1140" s="12" t="n">
        <v>7.8</v>
      </c>
      <c r="L1140" s="12" t="s">
        <v>36</v>
      </c>
    </row>
    <row r="1141" customFormat="false" ht="15" hidden="false" customHeight="false" outlineLevel="0" collapsed="false">
      <c r="A1141" s="11" t="n">
        <v>45336</v>
      </c>
      <c r="B1141" s="12" t="n">
        <v>18.4</v>
      </c>
      <c r="C1141" s="12" t="n">
        <f aca="false">IF(NOT(ISNUMBER(B1141)),"",ROUND((INDEX(BP!$D$5:$D$9,MATCH(B1141,BP!$A$5:$A$9,1))-INDEX(BP!$C$5:$C$9,MATCH(B1141,BP!$A$5:$A$9,1)))/(INDEX(BP!$B$5:$B$9,MATCH(B1141,BP!$A$5:$A$9,1))-INDEX(BP!$A$5:$A$9,MATCH(B1141,BP!$A$5:$A$9,1)))*(B1141-INDEX(BP!$A$5:$A$9,MATCH(B1141,BP!$A$5:$A$9,1)))+INDEX(BP!$C$5:$C$9,MATCH(B1141,BP!$A$5:$A$9,1)),0))</f>
        <v>34</v>
      </c>
      <c r="D1141" s="12" t="str">
        <f aca="false">IF(NOT(ISNUMBER(C1141)),"",INDEX(BP!$F$5:$F$9,MATCH(C1141,BP!$E$5:$E$9,1)))</f>
        <v>ดี</v>
      </c>
      <c r="E1141" s="12" t="n">
        <f aca="false">YEAR(A1141)</f>
        <v>2024</v>
      </c>
      <c r="F1141" s="12" t="n">
        <f aca="false">MONTH(A1141)</f>
        <v>2</v>
      </c>
      <c r="G1141" s="12" t="n">
        <v>27.3</v>
      </c>
      <c r="H1141" s="12" t="n">
        <v>55.8</v>
      </c>
      <c r="I1141" s="12" t="n">
        <v>81</v>
      </c>
      <c r="J1141" s="12" t="n">
        <v>1.8</v>
      </c>
      <c r="K1141" s="12" t="n">
        <v>0.6</v>
      </c>
      <c r="L1141" s="12" t="s">
        <v>36</v>
      </c>
    </row>
    <row r="1142" customFormat="false" ht="15" hidden="false" customHeight="false" outlineLevel="0" collapsed="false">
      <c r="A1142" s="11" t="n">
        <v>45337</v>
      </c>
      <c r="B1142" s="12" t="n">
        <v>17.4</v>
      </c>
      <c r="C1142" s="12" t="n">
        <f aca="false">IF(NOT(ISNUMBER(B1142)),"",ROUND((INDEX(BP!$D$5:$D$9,MATCH(B1142,BP!$A$5:$A$9,1))-INDEX(BP!$C$5:$C$9,MATCH(B1142,BP!$A$5:$A$9,1)))/(INDEX(BP!$B$5:$B$9,MATCH(B1142,BP!$A$5:$A$9,1))-INDEX(BP!$A$5:$A$9,MATCH(B1142,BP!$A$5:$A$9,1)))*(B1142-INDEX(BP!$A$5:$A$9,MATCH(B1142,BP!$A$5:$A$9,1)))+INDEX(BP!$C$5:$C$9,MATCH(B1142,BP!$A$5:$A$9,1)),0))</f>
        <v>32</v>
      </c>
      <c r="D1142" s="12" t="str">
        <f aca="false">IF(NOT(ISNUMBER(C1142)),"",INDEX(BP!$F$5:$F$9,MATCH(C1142,BP!$E$5:$E$9,1)))</f>
        <v>ดี</v>
      </c>
      <c r="E1142" s="12" t="n">
        <f aca="false">YEAR(A1142)</f>
        <v>2024</v>
      </c>
      <c r="F1142" s="12" t="n">
        <f aca="false">MONTH(A1142)</f>
        <v>2</v>
      </c>
      <c r="G1142" s="12" t="n">
        <v>24</v>
      </c>
      <c r="H1142" s="12" t="n">
        <v>52.2</v>
      </c>
      <c r="I1142" s="12" t="n">
        <v>88</v>
      </c>
      <c r="J1142" s="12" t="n">
        <v>0.2</v>
      </c>
      <c r="K1142" s="12" t="n">
        <v>0</v>
      </c>
      <c r="L1142" s="12" t="s">
        <v>36</v>
      </c>
    </row>
    <row r="1143" customFormat="false" ht="15" hidden="false" customHeight="false" outlineLevel="0" collapsed="false">
      <c r="A1143" s="11" t="n">
        <v>45338</v>
      </c>
      <c r="B1143" s="12" t="n">
        <v>16.8</v>
      </c>
      <c r="C1143" s="12" t="n">
        <f aca="false">IF(NOT(ISNUMBER(B1143)),"",ROUND((INDEX(BP!$D$5:$D$9,MATCH(B1143,BP!$A$5:$A$9,1))-INDEX(BP!$C$5:$C$9,MATCH(B1143,BP!$A$5:$A$9,1)))/(INDEX(BP!$B$5:$B$9,MATCH(B1143,BP!$A$5:$A$9,1))-INDEX(BP!$A$5:$A$9,MATCH(B1143,BP!$A$5:$A$9,1)))*(B1143-INDEX(BP!$A$5:$A$9,MATCH(B1143,BP!$A$5:$A$9,1)))+INDEX(BP!$C$5:$C$9,MATCH(B1143,BP!$A$5:$A$9,1)),0))</f>
        <v>30</v>
      </c>
      <c r="D1143" s="12" t="str">
        <f aca="false">IF(NOT(ISNUMBER(C1143)),"",INDEX(BP!$F$5:$F$9,MATCH(C1143,BP!$E$5:$E$9,1)))</f>
        <v>ดี</v>
      </c>
      <c r="E1143" s="12" t="n">
        <f aca="false">YEAR(A1143)</f>
        <v>2024</v>
      </c>
      <c r="F1143" s="12" t="n">
        <f aca="false">MONTH(A1143)</f>
        <v>2</v>
      </c>
      <c r="G1143" s="12" t="n">
        <v>25.2</v>
      </c>
      <c r="H1143" s="12" t="n">
        <v>53.3</v>
      </c>
      <c r="I1143" s="12" t="n">
        <v>86</v>
      </c>
      <c r="J1143" s="12" t="n">
        <v>0.3</v>
      </c>
      <c r="K1143" s="12" t="n">
        <v>0</v>
      </c>
      <c r="L1143" s="12" t="s">
        <v>36</v>
      </c>
    </row>
    <row r="1144" customFormat="false" ht="15" hidden="false" customHeight="false" outlineLevel="0" collapsed="false">
      <c r="A1144" s="11" t="n">
        <v>45339</v>
      </c>
      <c r="B1144" s="12" t="n">
        <v>18.7</v>
      </c>
      <c r="C1144" s="12" t="n">
        <f aca="false">IF(NOT(ISNUMBER(B1144)),"",ROUND((INDEX(BP!$D$5:$D$9,MATCH(B1144,BP!$A$5:$A$9,1))-INDEX(BP!$C$5:$C$9,MATCH(B1144,BP!$A$5:$A$9,1)))/(INDEX(BP!$B$5:$B$9,MATCH(B1144,BP!$A$5:$A$9,1))-INDEX(BP!$A$5:$A$9,MATCH(B1144,BP!$A$5:$A$9,1)))*(B1144-INDEX(BP!$A$5:$A$9,MATCH(B1144,BP!$A$5:$A$9,1)))+INDEX(BP!$C$5:$C$9,MATCH(B1144,BP!$A$5:$A$9,1)),0))</f>
        <v>35</v>
      </c>
      <c r="D1144" s="12" t="str">
        <f aca="false">IF(NOT(ISNUMBER(C1144)),"",INDEX(BP!$F$5:$F$9,MATCH(C1144,BP!$E$5:$E$9,1)))</f>
        <v>ดี</v>
      </c>
      <c r="E1144" s="12" t="n">
        <f aca="false">YEAR(A1144)</f>
        <v>2024</v>
      </c>
      <c r="F1144" s="12" t="n">
        <f aca="false">MONTH(A1144)</f>
        <v>2</v>
      </c>
      <c r="G1144" s="12" t="n">
        <v>22.7</v>
      </c>
      <c r="H1144" s="12" t="n">
        <v>49</v>
      </c>
      <c r="I1144" s="12" t="n">
        <v>90</v>
      </c>
      <c r="J1144" s="12" t="n">
        <v>0</v>
      </c>
      <c r="K1144" s="12" t="n">
        <v>0</v>
      </c>
      <c r="L1144" s="12" t="s">
        <v>35</v>
      </c>
    </row>
    <row r="1145" customFormat="false" ht="15" hidden="false" customHeight="false" outlineLevel="0" collapsed="false">
      <c r="A1145" s="11" t="n">
        <v>45340</v>
      </c>
      <c r="B1145" s="12" t="n">
        <v>18.9</v>
      </c>
      <c r="C1145" s="12" t="n">
        <f aca="false">IF(NOT(ISNUMBER(B1145)),"",ROUND((INDEX(BP!$D$5:$D$9,MATCH(B1145,BP!$A$5:$A$9,1))-INDEX(BP!$C$5:$C$9,MATCH(B1145,BP!$A$5:$A$9,1)))/(INDEX(BP!$B$5:$B$9,MATCH(B1145,BP!$A$5:$A$9,1))-INDEX(BP!$A$5:$A$9,MATCH(B1145,BP!$A$5:$A$9,1)))*(B1145-INDEX(BP!$A$5:$A$9,MATCH(B1145,BP!$A$5:$A$9,1)))+INDEX(BP!$C$5:$C$9,MATCH(B1145,BP!$A$5:$A$9,1)),0))</f>
        <v>35</v>
      </c>
      <c r="D1145" s="12" t="str">
        <f aca="false">IF(NOT(ISNUMBER(C1145)),"",INDEX(BP!$F$5:$F$9,MATCH(C1145,BP!$E$5:$E$9,1)))</f>
        <v>ดี</v>
      </c>
      <c r="E1145" s="12" t="n">
        <f aca="false">YEAR(A1145)</f>
        <v>2024</v>
      </c>
      <c r="F1145" s="12" t="n">
        <f aca="false">MONTH(A1145)</f>
        <v>2</v>
      </c>
      <c r="G1145" s="12" t="n">
        <v>19.9</v>
      </c>
      <c r="H1145" s="12" t="n">
        <v>42.5</v>
      </c>
      <c r="I1145" s="12" t="n">
        <v>90</v>
      </c>
      <c r="J1145" s="12" t="n">
        <v>7.5</v>
      </c>
      <c r="K1145" s="12" t="n">
        <v>0</v>
      </c>
      <c r="L1145" s="12" t="s">
        <v>35</v>
      </c>
    </row>
    <row r="1146" customFormat="false" ht="15" hidden="false" customHeight="false" outlineLevel="0" collapsed="false">
      <c r="A1146" s="11" t="n">
        <v>45341</v>
      </c>
      <c r="B1146" s="12" t="n">
        <v>14.8</v>
      </c>
      <c r="C1146" s="12" t="n">
        <f aca="false">IF(NOT(ISNUMBER(B1146)),"",ROUND((INDEX(BP!$D$5:$D$9,MATCH(B1146,BP!$A$5:$A$9,1))-INDEX(BP!$C$5:$C$9,MATCH(B1146,BP!$A$5:$A$9,1)))/(INDEX(BP!$B$5:$B$9,MATCH(B1146,BP!$A$5:$A$9,1))-INDEX(BP!$A$5:$A$9,MATCH(B1146,BP!$A$5:$A$9,1)))*(B1146-INDEX(BP!$A$5:$A$9,MATCH(B1146,BP!$A$5:$A$9,1)))+INDEX(BP!$C$5:$C$9,MATCH(B1146,BP!$A$5:$A$9,1)),0))</f>
        <v>25</v>
      </c>
      <c r="D1146" s="12" t="str">
        <f aca="false">IF(NOT(ISNUMBER(C1146)),"",INDEX(BP!$F$5:$F$9,MATCH(C1146,BP!$E$5:$E$9,1)))</f>
        <v>ดีมาก</v>
      </c>
      <c r="E1146" s="12" t="n">
        <f aca="false">YEAR(A1146)</f>
        <v>2024</v>
      </c>
      <c r="F1146" s="12" t="n">
        <f aca="false">MONTH(A1146)</f>
        <v>2</v>
      </c>
      <c r="G1146" s="12" t="n">
        <v>18.6</v>
      </c>
      <c r="H1146" s="12" t="n">
        <v>40</v>
      </c>
      <c r="I1146" s="12" t="n">
        <v>87</v>
      </c>
      <c r="J1146" s="12" t="n">
        <v>0.7</v>
      </c>
      <c r="K1146" s="12" t="n">
        <v>0</v>
      </c>
      <c r="L1146" s="12" t="s">
        <v>36</v>
      </c>
    </row>
    <row r="1147" customFormat="false" ht="15" hidden="false" customHeight="false" outlineLevel="0" collapsed="false">
      <c r="A1147" s="11" t="n">
        <v>45342</v>
      </c>
      <c r="B1147" s="12" t="n">
        <v>16.2</v>
      </c>
      <c r="C1147" s="12" t="n">
        <f aca="false">IF(NOT(ISNUMBER(B1147)),"",ROUND((INDEX(BP!$D$5:$D$9,MATCH(B1147,BP!$A$5:$A$9,1))-INDEX(BP!$C$5:$C$9,MATCH(B1147,BP!$A$5:$A$9,1)))/(INDEX(BP!$B$5:$B$9,MATCH(B1147,BP!$A$5:$A$9,1))-INDEX(BP!$A$5:$A$9,MATCH(B1147,BP!$A$5:$A$9,1)))*(B1147-INDEX(BP!$A$5:$A$9,MATCH(B1147,BP!$A$5:$A$9,1)))+INDEX(BP!$C$5:$C$9,MATCH(B1147,BP!$A$5:$A$9,1)),0))</f>
        <v>29</v>
      </c>
      <c r="D1147" s="12" t="str">
        <f aca="false">IF(NOT(ISNUMBER(C1147)),"",INDEX(BP!$F$5:$F$9,MATCH(C1147,BP!$E$5:$E$9,1)))</f>
        <v>ดี</v>
      </c>
      <c r="E1147" s="12" t="n">
        <f aca="false">YEAR(A1147)</f>
        <v>2024</v>
      </c>
      <c r="F1147" s="12" t="n">
        <f aca="false">MONTH(A1147)</f>
        <v>2</v>
      </c>
      <c r="G1147" s="12" t="n">
        <v>16.5</v>
      </c>
      <c r="H1147" s="12" t="n">
        <v>37.1</v>
      </c>
      <c r="I1147" s="12" t="n">
        <v>87</v>
      </c>
      <c r="J1147" s="12" t="n">
        <v>0.2</v>
      </c>
      <c r="K1147" s="12" t="n">
        <v>0</v>
      </c>
      <c r="L1147" s="12" t="s">
        <v>36</v>
      </c>
    </row>
    <row r="1148" customFormat="false" ht="15" hidden="false" customHeight="false" outlineLevel="0" collapsed="false">
      <c r="A1148" s="11" t="n">
        <v>45343</v>
      </c>
      <c r="B1148" s="12" t="n">
        <v>15.8</v>
      </c>
      <c r="C1148" s="12" t="n">
        <f aca="false">IF(NOT(ISNUMBER(B1148)),"",ROUND((INDEX(BP!$D$5:$D$9,MATCH(B1148,BP!$A$5:$A$9,1))-INDEX(BP!$C$5:$C$9,MATCH(B1148,BP!$A$5:$A$9,1)))/(INDEX(BP!$B$5:$B$9,MATCH(B1148,BP!$A$5:$A$9,1))-INDEX(BP!$A$5:$A$9,MATCH(B1148,BP!$A$5:$A$9,1)))*(B1148-INDEX(BP!$A$5:$A$9,MATCH(B1148,BP!$A$5:$A$9,1)))+INDEX(BP!$C$5:$C$9,MATCH(B1148,BP!$A$5:$A$9,1)),0))</f>
        <v>28</v>
      </c>
      <c r="D1148" s="12" t="str">
        <f aca="false">IF(NOT(ISNUMBER(C1148)),"",INDEX(BP!$F$5:$F$9,MATCH(C1148,BP!$E$5:$E$9,1)))</f>
        <v>ดี</v>
      </c>
      <c r="E1148" s="12" t="n">
        <f aca="false">YEAR(A1148)</f>
        <v>2024</v>
      </c>
      <c r="F1148" s="12" t="n">
        <f aca="false">MONTH(A1148)</f>
        <v>2</v>
      </c>
      <c r="G1148" s="12" t="n">
        <v>16.9</v>
      </c>
      <c r="H1148" s="12" t="n">
        <v>38.5</v>
      </c>
      <c r="I1148" s="12" t="n">
        <v>87</v>
      </c>
      <c r="J1148" s="12" t="n">
        <v>0</v>
      </c>
      <c r="K1148" s="12" t="n">
        <v>0</v>
      </c>
      <c r="L1148" s="12" t="s">
        <v>36</v>
      </c>
    </row>
    <row r="1149" customFormat="false" ht="15" hidden="false" customHeight="false" outlineLevel="0" collapsed="false">
      <c r="A1149" s="11" t="n">
        <v>45344</v>
      </c>
      <c r="B1149" s="12" t="n">
        <v>13.7</v>
      </c>
      <c r="C1149" s="12" t="n">
        <f aca="false">IF(NOT(ISNUMBER(B1149)),"",ROUND((INDEX(BP!$D$5:$D$9,MATCH(B1149,BP!$A$5:$A$9,1))-INDEX(BP!$C$5:$C$9,MATCH(B1149,BP!$A$5:$A$9,1)))/(INDEX(BP!$B$5:$B$9,MATCH(B1149,BP!$A$5:$A$9,1))-INDEX(BP!$A$5:$A$9,MATCH(B1149,BP!$A$5:$A$9,1)))*(B1149-INDEX(BP!$A$5:$A$9,MATCH(B1149,BP!$A$5:$A$9,1)))+INDEX(BP!$C$5:$C$9,MATCH(B1149,BP!$A$5:$A$9,1)),0))</f>
        <v>23</v>
      </c>
      <c r="D1149" s="12" t="str">
        <f aca="false">IF(NOT(ISNUMBER(C1149)),"",INDEX(BP!$F$5:$F$9,MATCH(C1149,BP!$E$5:$E$9,1)))</f>
        <v>ดีมาก</v>
      </c>
      <c r="E1149" s="12" t="n">
        <f aca="false">YEAR(A1149)</f>
        <v>2024</v>
      </c>
      <c r="F1149" s="12" t="n">
        <f aca="false">MONTH(A1149)</f>
        <v>2</v>
      </c>
      <c r="G1149" s="12" t="n">
        <v>18</v>
      </c>
      <c r="H1149" s="12" t="n">
        <v>40.3</v>
      </c>
      <c r="I1149" s="12" t="n">
        <v>81</v>
      </c>
      <c r="J1149" s="12" t="n">
        <v>0</v>
      </c>
      <c r="K1149" s="12" t="n">
        <v>0</v>
      </c>
      <c r="L1149" s="12" t="s">
        <v>36</v>
      </c>
    </row>
    <row r="1150" customFormat="false" ht="15" hidden="false" customHeight="false" outlineLevel="0" collapsed="false">
      <c r="A1150" s="11" t="n">
        <v>45345</v>
      </c>
      <c r="B1150" s="12" t="n">
        <v>12.6</v>
      </c>
      <c r="C1150" s="12" t="n">
        <f aca="false">IF(NOT(ISNUMBER(B1150)),"",ROUND((INDEX(BP!$D$5:$D$9,MATCH(B1150,BP!$A$5:$A$9,1))-INDEX(BP!$C$5:$C$9,MATCH(B1150,BP!$A$5:$A$9,1)))/(INDEX(BP!$B$5:$B$9,MATCH(B1150,BP!$A$5:$A$9,1))-INDEX(BP!$A$5:$A$9,MATCH(B1150,BP!$A$5:$A$9,1)))*(B1150-INDEX(BP!$A$5:$A$9,MATCH(B1150,BP!$A$5:$A$9,1)))+INDEX(BP!$C$5:$C$9,MATCH(B1150,BP!$A$5:$A$9,1)),0))</f>
        <v>21</v>
      </c>
      <c r="D1150" s="12" t="str">
        <f aca="false">IF(NOT(ISNUMBER(C1150)),"",INDEX(BP!$F$5:$F$9,MATCH(C1150,BP!$E$5:$E$9,1)))</f>
        <v>ดีมาก</v>
      </c>
      <c r="E1150" s="12" t="n">
        <f aca="false">YEAR(A1150)</f>
        <v>2024</v>
      </c>
      <c r="F1150" s="12" t="n">
        <f aca="false">MONTH(A1150)</f>
        <v>2</v>
      </c>
      <c r="G1150" s="12" t="n">
        <v>18</v>
      </c>
      <c r="H1150" s="12" t="n">
        <v>40.7</v>
      </c>
      <c r="I1150" s="12" t="n">
        <v>71</v>
      </c>
      <c r="J1150" s="12" t="n">
        <v>0</v>
      </c>
      <c r="K1150" s="12" t="n">
        <v>0</v>
      </c>
      <c r="L1150" s="12" t="s">
        <v>36</v>
      </c>
    </row>
    <row r="1151" customFormat="false" ht="15" hidden="false" customHeight="false" outlineLevel="0" collapsed="false">
      <c r="A1151" s="11" t="n">
        <v>45346</v>
      </c>
      <c r="B1151" s="12" t="n">
        <v>11.8</v>
      </c>
      <c r="C1151" s="12" t="n">
        <f aca="false">IF(NOT(ISNUMBER(B1151)),"",ROUND((INDEX(BP!$D$5:$D$9,MATCH(B1151,BP!$A$5:$A$9,1))-INDEX(BP!$C$5:$C$9,MATCH(B1151,BP!$A$5:$A$9,1)))/(INDEX(BP!$B$5:$B$9,MATCH(B1151,BP!$A$5:$A$9,1))-INDEX(BP!$A$5:$A$9,MATCH(B1151,BP!$A$5:$A$9,1)))*(B1151-INDEX(BP!$A$5:$A$9,MATCH(B1151,BP!$A$5:$A$9,1)))+INDEX(BP!$C$5:$C$9,MATCH(B1151,BP!$A$5:$A$9,1)),0))</f>
        <v>20</v>
      </c>
      <c r="D1151" s="12" t="str">
        <f aca="false">IF(NOT(ISNUMBER(C1151)),"",INDEX(BP!$F$5:$F$9,MATCH(C1151,BP!$E$5:$E$9,1)))</f>
        <v>ดีมาก</v>
      </c>
      <c r="E1151" s="12" t="n">
        <f aca="false">YEAR(A1151)</f>
        <v>2024</v>
      </c>
      <c r="F1151" s="12" t="n">
        <f aca="false">MONTH(A1151)</f>
        <v>2</v>
      </c>
      <c r="G1151" s="12" t="n">
        <v>21.4</v>
      </c>
      <c r="H1151" s="12" t="n">
        <v>46.8</v>
      </c>
      <c r="I1151" s="12" t="n">
        <v>78</v>
      </c>
      <c r="J1151" s="12" t="n">
        <v>0.1</v>
      </c>
      <c r="K1151" s="12" t="n">
        <v>0</v>
      </c>
      <c r="L1151" s="12" t="s">
        <v>34</v>
      </c>
    </row>
    <row r="1152" customFormat="false" ht="15" hidden="false" customHeight="false" outlineLevel="0" collapsed="false">
      <c r="A1152" s="11" t="n">
        <v>45347</v>
      </c>
      <c r="B1152" s="12" t="n">
        <v>15.8</v>
      </c>
      <c r="C1152" s="12" t="n">
        <f aca="false">IF(NOT(ISNUMBER(B1152)),"",ROUND((INDEX(BP!$D$5:$D$9,MATCH(B1152,BP!$A$5:$A$9,1))-INDEX(BP!$C$5:$C$9,MATCH(B1152,BP!$A$5:$A$9,1)))/(INDEX(BP!$B$5:$B$9,MATCH(B1152,BP!$A$5:$A$9,1))-INDEX(BP!$A$5:$A$9,MATCH(B1152,BP!$A$5:$A$9,1)))*(B1152-INDEX(BP!$A$5:$A$9,MATCH(B1152,BP!$A$5:$A$9,1)))+INDEX(BP!$C$5:$C$9,MATCH(B1152,BP!$A$5:$A$9,1)),0))</f>
        <v>28</v>
      </c>
      <c r="D1152" s="12" t="str">
        <f aca="false">IF(NOT(ISNUMBER(C1152)),"",INDEX(BP!$F$5:$F$9,MATCH(C1152,BP!$E$5:$E$9,1)))</f>
        <v>ดี</v>
      </c>
      <c r="E1152" s="12" t="n">
        <f aca="false">YEAR(A1152)</f>
        <v>2024</v>
      </c>
      <c r="F1152" s="12" t="n">
        <f aca="false">MONTH(A1152)</f>
        <v>2</v>
      </c>
      <c r="G1152" s="12" t="n">
        <v>22.8</v>
      </c>
      <c r="H1152" s="12" t="n">
        <v>49.3</v>
      </c>
      <c r="I1152" s="12" t="n">
        <v>90</v>
      </c>
      <c r="J1152" s="12" t="n">
        <v>0.6</v>
      </c>
      <c r="K1152" s="12" t="n">
        <v>0</v>
      </c>
      <c r="L1152" s="12" t="s">
        <v>35</v>
      </c>
    </row>
    <row r="1153" customFormat="false" ht="15" hidden="false" customHeight="false" outlineLevel="0" collapsed="false">
      <c r="A1153" s="11" t="n">
        <v>45348</v>
      </c>
      <c r="B1153" s="12" t="n">
        <v>19</v>
      </c>
      <c r="C1153" s="12" t="n">
        <f aca="false">IF(NOT(ISNUMBER(B1153)),"",ROUND((INDEX(BP!$D$5:$D$9,MATCH(B1153,BP!$A$5:$A$9,1))-INDEX(BP!$C$5:$C$9,MATCH(B1153,BP!$A$5:$A$9,1)))/(INDEX(BP!$B$5:$B$9,MATCH(B1153,BP!$A$5:$A$9,1))-INDEX(BP!$A$5:$A$9,MATCH(B1153,BP!$A$5:$A$9,1)))*(B1153-INDEX(BP!$A$5:$A$9,MATCH(B1153,BP!$A$5:$A$9,1)))+INDEX(BP!$C$5:$C$9,MATCH(B1153,BP!$A$5:$A$9,1)),0))</f>
        <v>35</v>
      </c>
      <c r="D1153" s="12" t="str">
        <f aca="false">IF(NOT(ISNUMBER(C1153)),"",INDEX(BP!$F$5:$F$9,MATCH(C1153,BP!$E$5:$E$9,1)))</f>
        <v>ดี</v>
      </c>
      <c r="E1153" s="12" t="n">
        <f aca="false">YEAR(A1153)</f>
        <v>2024</v>
      </c>
      <c r="F1153" s="12" t="n">
        <f aca="false">MONTH(A1153)</f>
        <v>2</v>
      </c>
      <c r="G1153" s="12" t="n">
        <v>26.7</v>
      </c>
      <c r="H1153" s="12" t="n">
        <v>56.9</v>
      </c>
      <c r="I1153" s="12" t="n">
        <v>90</v>
      </c>
      <c r="J1153" s="12" t="n">
        <v>0.2</v>
      </c>
      <c r="K1153" s="12" t="n">
        <v>0</v>
      </c>
      <c r="L1153" s="12" t="s">
        <v>34</v>
      </c>
    </row>
    <row r="1154" customFormat="false" ht="15" hidden="false" customHeight="false" outlineLevel="0" collapsed="false">
      <c r="A1154" s="11" t="n">
        <v>45349</v>
      </c>
      <c r="B1154" s="12" t="n">
        <v>16.4</v>
      </c>
      <c r="C1154" s="12" t="n">
        <f aca="false">IF(NOT(ISNUMBER(B1154)),"",ROUND((INDEX(BP!$D$5:$D$9,MATCH(B1154,BP!$A$5:$A$9,1))-INDEX(BP!$C$5:$C$9,MATCH(B1154,BP!$A$5:$A$9,1)))/(INDEX(BP!$B$5:$B$9,MATCH(B1154,BP!$A$5:$A$9,1))-INDEX(BP!$A$5:$A$9,MATCH(B1154,BP!$A$5:$A$9,1)))*(B1154-INDEX(BP!$A$5:$A$9,MATCH(B1154,BP!$A$5:$A$9,1)))+INDEX(BP!$C$5:$C$9,MATCH(B1154,BP!$A$5:$A$9,1)),0))</f>
        <v>29</v>
      </c>
      <c r="D1154" s="12" t="str">
        <f aca="false">IF(NOT(ISNUMBER(C1154)),"",INDEX(BP!$F$5:$F$9,MATCH(C1154,BP!$E$5:$E$9,1)))</f>
        <v>ดี</v>
      </c>
      <c r="E1154" s="12" t="n">
        <f aca="false">YEAR(A1154)</f>
        <v>2024</v>
      </c>
      <c r="F1154" s="12" t="n">
        <f aca="false">MONTH(A1154)</f>
        <v>2</v>
      </c>
      <c r="G1154" s="12" t="n">
        <v>24.7</v>
      </c>
      <c r="H1154" s="12" t="n">
        <v>53.3</v>
      </c>
      <c r="I1154" s="12" t="n">
        <v>83</v>
      </c>
      <c r="J1154" s="12" t="n">
        <v>0</v>
      </c>
      <c r="K1154" s="12" t="n">
        <v>0</v>
      </c>
      <c r="L1154" s="12" t="s">
        <v>36</v>
      </c>
    </row>
    <row r="1155" customFormat="false" ht="15" hidden="false" customHeight="false" outlineLevel="0" collapsed="false">
      <c r="A1155" s="11" t="n">
        <v>45350</v>
      </c>
      <c r="B1155" s="12" t="n">
        <v>18.6</v>
      </c>
      <c r="C1155" s="12" t="n">
        <f aca="false">IF(NOT(ISNUMBER(B1155)),"",ROUND((INDEX(BP!$D$5:$D$9,MATCH(B1155,BP!$A$5:$A$9,1))-INDEX(BP!$C$5:$C$9,MATCH(B1155,BP!$A$5:$A$9,1)))/(INDEX(BP!$B$5:$B$9,MATCH(B1155,BP!$A$5:$A$9,1))-INDEX(BP!$A$5:$A$9,MATCH(B1155,BP!$A$5:$A$9,1)))*(B1155-INDEX(BP!$A$5:$A$9,MATCH(B1155,BP!$A$5:$A$9,1)))+INDEX(BP!$C$5:$C$9,MATCH(B1155,BP!$A$5:$A$9,1)),0))</f>
        <v>34</v>
      </c>
      <c r="D1155" s="12" t="str">
        <f aca="false">IF(NOT(ISNUMBER(C1155)),"",INDEX(BP!$F$5:$F$9,MATCH(C1155,BP!$E$5:$E$9,1)))</f>
        <v>ดี</v>
      </c>
      <c r="E1155" s="12" t="n">
        <f aca="false">YEAR(A1155)</f>
        <v>2024</v>
      </c>
      <c r="F1155" s="12" t="n">
        <f aca="false">MONTH(A1155)</f>
        <v>2</v>
      </c>
      <c r="G1155" s="12" t="n">
        <v>27.2</v>
      </c>
      <c r="H1155" s="12" t="n">
        <v>55.8</v>
      </c>
      <c r="I1155" s="12" t="n">
        <v>95</v>
      </c>
      <c r="J1155" s="12" t="n">
        <v>0.1</v>
      </c>
      <c r="K1155" s="12" t="n">
        <v>0</v>
      </c>
      <c r="L1155" s="12" t="s">
        <v>36</v>
      </c>
    </row>
    <row r="1156" customFormat="false" ht="15" hidden="false" customHeight="false" outlineLevel="0" collapsed="false">
      <c r="A1156" s="11" t="n">
        <v>45351</v>
      </c>
      <c r="B1156" s="12" t="n">
        <v>18.8</v>
      </c>
      <c r="C1156" s="12" t="n">
        <f aca="false">IF(NOT(ISNUMBER(B1156)),"",ROUND((INDEX(BP!$D$5:$D$9,MATCH(B1156,BP!$A$5:$A$9,1))-INDEX(BP!$C$5:$C$9,MATCH(B1156,BP!$A$5:$A$9,1)))/(INDEX(BP!$B$5:$B$9,MATCH(B1156,BP!$A$5:$A$9,1))-INDEX(BP!$A$5:$A$9,MATCH(B1156,BP!$A$5:$A$9,1)))*(B1156-INDEX(BP!$A$5:$A$9,MATCH(B1156,BP!$A$5:$A$9,1)))+INDEX(BP!$C$5:$C$9,MATCH(B1156,BP!$A$5:$A$9,1)),0))</f>
        <v>35</v>
      </c>
      <c r="D1156" s="12" t="str">
        <f aca="false">IF(NOT(ISNUMBER(C1156)),"",INDEX(BP!$F$5:$F$9,MATCH(C1156,BP!$E$5:$E$9,1)))</f>
        <v>ดี</v>
      </c>
      <c r="E1156" s="12" t="n">
        <f aca="false">YEAR(A1156)</f>
        <v>2024</v>
      </c>
      <c r="F1156" s="12" t="n">
        <f aca="false">MONTH(A1156)</f>
        <v>2</v>
      </c>
      <c r="G1156" s="12" t="n">
        <v>21.5</v>
      </c>
      <c r="H1156" s="12" t="n">
        <v>46.4</v>
      </c>
      <c r="I1156" s="12" t="n">
        <v>86</v>
      </c>
      <c r="J1156" s="12" t="n">
        <v>0.2</v>
      </c>
      <c r="K1156" s="12" t="n">
        <v>0</v>
      </c>
      <c r="L1156" s="12" t="s">
        <v>36</v>
      </c>
    </row>
    <row r="1157" customFormat="false" ht="15" hidden="false" customHeight="false" outlineLevel="0" collapsed="false">
      <c r="A1157" s="11" t="n">
        <v>45352</v>
      </c>
      <c r="B1157" s="12" t="n">
        <v>19.6</v>
      </c>
      <c r="C1157" s="12" t="n">
        <f aca="false">IF(NOT(ISNUMBER(B1157)),"",ROUND((INDEX(BP!$D$5:$D$9,MATCH(B1157,BP!$A$5:$A$9,1))-INDEX(BP!$C$5:$C$9,MATCH(B1157,BP!$A$5:$A$9,1)))/(INDEX(BP!$B$5:$B$9,MATCH(B1157,BP!$A$5:$A$9,1))-INDEX(BP!$A$5:$A$9,MATCH(B1157,BP!$A$5:$A$9,1)))*(B1157-INDEX(BP!$A$5:$A$9,MATCH(B1157,BP!$A$5:$A$9,1)))+INDEX(BP!$C$5:$C$9,MATCH(B1157,BP!$A$5:$A$9,1)),0))</f>
        <v>37</v>
      </c>
      <c r="D1157" s="12" t="str">
        <f aca="false">IF(NOT(ISNUMBER(C1157)),"",INDEX(BP!$F$5:$F$9,MATCH(C1157,BP!$E$5:$E$9,1)))</f>
        <v>ดี</v>
      </c>
      <c r="E1157" s="12" t="n">
        <f aca="false">YEAR(A1157)</f>
        <v>2024</v>
      </c>
      <c r="F1157" s="12" t="n">
        <f aca="false">MONTH(A1157)</f>
        <v>3</v>
      </c>
      <c r="G1157" s="12" t="n">
        <v>22.7</v>
      </c>
      <c r="H1157" s="12" t="n">
        <v>49.7</v>
      </c>
      <c r="I1157" s="12" t="n">
        <v>83</v>
      </c>
      <c r="J1157" s="12" t="n">
        <v>1.6</v>
      </c>
      <c r="K1157" s="12" t="n">
        <v>0</v>
      </c>
      <c r="L1157" s="12" t="s">
        <v>36</v>
      </c>
    </row>
    <row r="1158" customFormat="false" ht="15" hidden="false" customHeight="false" outlineLevel="0" collapsed="false">
      <c r="A1158" s="11" t="n">
        <v>45353</v>
      </c>
      <c r="B1158" s="12" t="n">
        <v>19.9</v>
      </c>
      <c r="C1158" s="12" t="n">
        <f aca="false">IF(NOT(ISNUMBER(B1158)),"",ROUND((INDEX(BP!$D$5:$D$9,MATCH(B1158,BP!$A$5:$A$9,1))-INDEX(BP!$C$5:$C$9,MATCH(B1158,BP!$A$5:$A$9,1)))/(INDEX(BP!$B$5:$B$9,MATCH(B1158,BP!$A$5:$A$9,1))-INDEX(BP!$A$5:$A$9,MATCH(B1158,BP!$A$5:$A$9,1)))*(B1158-INDEX(BP!$A$5:$A$9,MATCH(B1158,BP!$A$5:$A$9,1)))+INDEX(BP!$C$5:$C$9,MATCH(B1158,BP!$A$5:$A$9,1)),0))</f>
        <v>38</v>
      </c>
      <c r="D1158" s="12" t="str">
        <f aca="false">IF(NOT(ISNUMBER(C1158)),"",INDEX(BP!$F$5:$F$9,MATCH(C1158,BP!$E$5:$E$9,1)))</f>
        <v>ดี</v>
      </c>
      <c r="E1158" s="12" t="n">
        <f aca="false">YEAR(A1158)</f>
        <v>2024</v>
      </c>
      <c r="F1158" s="12" t="n">
        <f aca="false">MONTH(A1158)</f>
        <v>3</v>
      </c>
      <c r="G1158" s="12" t="n">
        <v>24.9</v>
      </c>
      <c r="H1158" s="12" t="n">
        <v>52.9</v>
      </c>
      <c r="I1158" s="12" t="n">
        <v>87</v>
      </c>
      <c r="J1158" s="12" t="n">
        <v>1.2</v>
      </c>
      <c r="K1158" s="12" t="n">
        <v>0</v>
      </c>
      <c r="L1158" s="12" t="s">
        <v>35</v>
      </c>
    </row>
    <row r="1159" customFormat="false" ht="15" hidden="false" customHeight="false" outlineLevel="0" collapsed="false">
      <c r="A1159" s="11" t="n">
        <v>45354</v>
      </c>
      <c r="B1159" s="12" t="n">
        <v>18</v>
      </c>
      <c r="C1159" s="12" t="n">
        <f aca="false">IF(NOT(ISNUMBER(B1159)),"",ROUND((INDEX(BP!$D$5:$D$9,MATCH(B1159,BP!$A$5:$A$9,1))-INDEX(BP!$C$5:$C$9,MATCH(B1159,BP!$A$5:$A$9,1)))/(INDEX(BP!$B$5:$B$9,MATCH(B1159,BP!$A$5:$A$9,1))-INDEX(BP!$A$5:$A$9,MATCH(B1159,BP!$A$5:$A$9,1)))*(B1159-INDEX(BP!$A$5:$A$9,MATCH(B1159,BP!$A$5:$A$9,1)))+INDEX(BP!$C$5:$C$9,MATCH(B1159,BP!$A$5:$A$9,1)),0))</f>
        <v>33</v>
      </c>
      <c r="D1159" s="12" t="str">
        <f aca="false">IF(NOT(ISNUMBER(C1159)),"",INDEX(BP!$F$5:$F$9,MATCH(C1159,BP!$E$5:$E$9,1)))</f>
        <v>ดี</v>
      </c>
      <c r="E1159" s="12" t="n">
        <f aca="false">YEAR(A1159)</f>
        <v>2024</v>
      </c>
      <c r="F1159" s="12" t="n">
        <f aca="false">MONTH(A1159)</f>
        <v>3</v>
      </c>
      <c r="G1159" s="12" t="n">
        <v>24.4</v>
      </c>
      <c r="H1159" s="12" t="n">
        <v>52.6</v>
      </c>
      <c r="I1159" s="12" t="n">
        <v>92</v>
      </c>
      <c r="J1159" s="12" t="n">
        <v>0.6</v>
      </c>
      <c r="K1159" s="12" t="n">
        <v>0.4</v>
      </c>
      <c r="L1159" s="12" t="s">
        <v>35</v>
      </c>
    </row>
    <row r="1160" customFormat="false" ht="15" hidden="false" customHeight="false" outlineLevel="0" collapsed="false">
      <c r="A1160" s="11" t="n">
        <v>45355</v>
      </c>
      <c r="B1160" s="12" t="n">
        <v>19</v>
      </c>
      <c r="C1160" s="12" t="n">
        <f aca="false">IF(NOT(ISNUMBER(B1160)),"",ROUND((INDEX(BP!$D$5:$D$9,MATCH(B1160,BP!$A$5:$A$9,1))-INDEX(BP!$C$5:$C$9,MATCH(B1160,BP!$A$5:$A$9,1)))/(INDEX(BP!$B$5:$B$9,MATCH(B1160,BP!$A$5:$A$9,1))-INDEX(BP!$A$5:$A$9,MATCH(B1160,BP!$A$5:$A$9,1)))*(B1160-INDEX(BP!$A$5:$A$9,MATCH(B1160,BP!$A$5:$A$9,1)))+INDEX(BP!$C$5:$C$9,MATCH(B1160,BP!$A$5:$A$9,1)),0))</f>
        <v>35</v>
      </c>
      <c r="D1160" s="12" t="str">
        <f aca="false">IF(NOT(ISNUMBER(C1160)),"",INDEX(BP!$F$5:$F$9,MATCH(C1160,BP!$E$5:$E$9,1)))</f>
        <v>ดี</v>
      </c>
      <c r="E1160" s="12" t="n">
        <f aca="false">YEAR(A1160)</f>
        <v>2024</v>
      </c>
      <c r="F1160" s="12" t="n">
        <f aca="false">MONTH(A1160)</f>
        <v>3</v>
      </c>
      <c r="G1160" s="12" t="n">
        <v>17.8</v>
      </c>
      <c r="H1160" s="12" t="n">
        <v>41.4</v>
      </c>
      <c r="I1160" s="12" t="n">
        <v>86</v>
      </c>
      <c r="J1160" s="12" t="n">
        <v>0</v>
      </c>
      <c r="K1160" s="12" t="n">
        <v>0</v>
      </c>
      <c r="L1160" s="12" t="s">
        <v>36</v>
      </c>
    </row>
    <row r="1161" customFormat="false" ht="15" hidden="false" customHeight="false" outlineLevel="0" collapsed="false">
      <c r="A1161" s="11" t="n">
        <v>45356</v>
      </c>
      <c r="B1161" s="12" t="n">
        <v>22.5</v>
      </c>
      <c r="C1161" s="12" t="n">
        <f aca="false">IF(NOT(ISNUMBER(B1161)),"",ROUND((INDEX(BP!$D$5:$D$9,MATCH(B1161,BP!$A$5:$A$9,1))-INDEX(BP!$C$5:$C$9,MATCH(B1161,BP!$A$5:$A$9,1)))/(INDEX(BP!$B$5:$B$9,MATCH(B1161,BP!$A$5:$A$9,1))-INDEX(BP!$A$5:$A$9,MATCH(B1161,BP!$A$5:$A$9,1)))*(B1161-INDEX(BP!$A$5:$A$9,MATCH(B1161,BP!$A$5:$A$9,1)))+INDEX(BP!$C$5:$C$9,MATCH(B1161,BP!$A$5:$A$9,1)),0))</f>
        <v>44</v>
      </c>
      <c r="D1161" s="12" t="str">
        <f aca="false">IF(NOT(ISNUMBER(C1161)),"",INDEX(BP!$F$5:$F$9,MATCH(C1161,BP!$E$5:$E$9,1)))</f>
        <v>ดี</v>
      </c>
      <c r="E1161" s="12" t="n">
        <f aca="false">YEAR(A1161)</f>
        <v>2024</v>
      </c>
      <c r="F1161" s="12" t="n">
        <f aca="false">MONTH(A1161)</f>
        <v>3</v>
      </c>
      <c r="G1161" s="12" t="n">
        <v>16.8</v>
      </c>
      <c r="H1161" s="12" t="n">
        <v>38.9</v>
      </c>
      <c r="I1161" s="12" t="n">
        <v>63</v>
      </c>
      <c r="J1161" s="12" t="n">
        <v>0</v>
      </c>
      <c r="K1161" s="12" t="n">
        <v>0</v>
      </c>
      <c r="L1161" s="12" t="s">
        <v>36</v>
      </c>
    </row>
    <row r="1162" customFormat="false" ht="15" hidden="false" customHeight="false" outlineLevel="0" collapsed="false">
      <c r="A1162" s="11" t="n">
        <v>45357</v>
      </c>
      <c r="B1162" s="12" t="n">
        <v>24.7</v>
      </c>
      <c r="C1162" s="12" t="n">
        <f aca="false">IF(NOT(ISNUMBER(B1162)),"",ROUND((INDEX(BP!$D$5:$D$9,MATCH(B1162,BP!$A$5:$A$9,1))-INDEX(BP!$C$5:$C$9,MATCH(B1162,BP!$A$5:$A$9,1)))/(INDEX(BP!$B$5:$B$9,MATCH(B1162,BP!$A$5:$A$9,1))-INDEX(BP!$A$5:$A$9,MATCH(B1162,BP!$A$5:$A$9,1)))*(B1162-INDEX(BP!$A$5:$A$9,MATCH(B1162,BP!$A$5:$A$9,1)))+INDEX(BP!$C$5:$C$9,MATCH(B1162,BP!$A$5:$A$9,1)),0))</f>
        <v>49</v>
      </c>
      <c r="D1162" s="12" t="str">
        <f aca="false">IF(NOT(ISNUMBER(C1162)),"",INDEX(BP!$F$5:$F$9,MATCH(C1162,BP!$E$5:$E$9,1)))</f>
        <v>ดี</v>
      </c>
      <c r="E1162" s="12" t="n">
        <f aca="false">YEAR(A1162)</f>
        <v>2024</v>
      </c>
      <c r="F1162" s="12" t="n">
        <f aca="false">MONTH(A1162)</f>
        <v>3</v>
      </c>
      <c r="G1162" s="12" t="n">
        <v>16.2</v>
      </c>
      <c r="H1162" s="12" t="n">
        <v>37.1</v>
      </c>
      <c r="I1162" s="12" t="n">
        <v>72</v>
      </c>
      <c r="J1162" s="12" t="n">
        <v>0.2</v>
      </c>
      <c r="K1162" s="12" t="n">
        <v>0</v>
      </c>
      <c r="L1162" s="12" t="s">
        <v>36</v>
      </c>
    </row>
    <row r="1163" customFormat="false" ht="15" hidden="false" customHeight="false" outlineLevel="0" collapsed="false">
      <c r="A1163" s="11" t="n">
        <v>45358</v>
      </c>
      <c r="B1163" s="12" t="n">
        <v>22.6</v>
      </c>
      <c r="C1163" s="12" t="n">
        <f aca="false">IF(NOT(ISNUMBER(B1163)),"",ROUND((INDEX(BP!$D$5:$D$9,MATCH(B1163,BP!$A$5:$A$9,1))-INDEX(BP!$C$5:$C$9,MATCH(B1163,BP!$A$5:$A$9,1)))/(INDEX(BP!$B$5:$B$9,MATCH(B1163,BP!$A$5:$A$9,1))-INDEX(BP!$A$5:$A$9,MATCH(B1163,BP!$A$5:$A$9,1)))*(B1163-INDEX(BP!$A$5:$A$9,MATCH(B1163,BP!$A$5:$A$9,1)))+INDEX(BP!$C$5:$C$9,MATCH(B1163,BP!$A$5:$A$9,1)),0))</f>
        <v>44</v>
      </c>
      <c r="D1163" s="12" t="str">
        <f aca="false">IF(NOT(ISNUMBER(C1163)),"",INDEX(BP!$F$5:$F$9,MATCH(C1163,BP!$E$5:$E$9,1)))</f>
        <v>ดี</v>
      </c>
      <c r="E1163" s="12" t="n">
        <f aca="false">YEAR(A1163)</f>
        <v>2024</v>
      </c>
      <c r="F1163" s="12" t="n">
        <f aca="false">MONTH(A1163)</f>
        <v>3</v>
      </c>
      <c r="G1163" s="12" t="n">
        <v>15.3</v>
      </c>
      <c r="H1163" s="12" t="n">
        <v>37.1</v>
      </c>
      <c r="I1163" s="12" t="n">
        <v>70</v>
      </c>
      <c r="J1163" s="12" t="n">
        <v>0</v>
      </c>
      <c r="K1163" s="12" t="n">
        <v>0</v>
      </c>
      <c r="L1163" s="12" t="s">
        <v>36</v>
      </c>
    </row>
    <row r="1164" customFormat="false" ht="15" hidden="false" customHeight="false" outlineLevel="0" collapsed="false">
      <c r="A1164" s="11" t="n">
        <v>45359</v>
      </c>
      <c r="B1164" s="12" t="n">
        <v>22.7</v>
      </c>
      <c r="C1164" s="12" t="n">
        <f aca="false">IF(NOT(ISNUMBER(B1164)),"",ROUND((INDEX(BP!$D$5:$D$9,MATCH(B1164,BP!$A$5:$A$9,1))-INDEX(BP!$C$5:$C$9,MATCH(B1164,BP!$A$5:$A$9,1)))/(INDEX(BP!$B$5:$B$9,MATCH(B1164,BP!$A$5:$A$9,1))-INDEX(BP!$A$5:$A$9,MATCH(B1164,BP!$A$5:$A$9,1)))*(B1164-INDEX(BP!$A$5:$A$9,MATCH(B1164,BP!$A$5:$A$9,1)))+INDEX(BP!$C$5:$C$9,MATCH(B1164,BP!$A$5:$A$9,1)),0))</f>
        <v>44</v>
      </c>
      <c r="D1164" s="12" t="str">
        <f aca="false">IF(NOT(ISNUMBER(C1164)),"",INDEX(BP!$F$5:$F$9,MATCH(C1164,BP!$E$5:$E$9,1)))</f>
        <v>ดี</v>
      </c>
      <c r="E1164" s="12" t="n">
        <f aca="false">YEAR(A1164)</f>
        <v>2024</v>
      </c>
      <c r="F1164" s="12" t="n">
        <f aca="false">MONTH(A1164)</f>
        <v>3</v>
      </c>
      <c r="G1164" s="12" t="n">
        <v>18.5</v>
      </c>
      <c r="H1164" s="12" t="n">
        <v>40.3</v>
      </c>
      <c r="I1164" s="12" t="n">
        <v>88</v>
      </c>
      <c r="J1164" s="12" t="n">
        <v>0.1</v>
      </c>
      <c r="K1164" s="12" t="n">
        <v>0</v>
      </c>
      <c r="L1164" s="12" t="s">
        <v>36</v>
      </c>
    </row>
    <row r="1165" customFormat="false" ht="15" hidden="false" customHeight="false" outlineLevel="0" collapsed="false">
      <c r="A1165" s="11" t="n">
        <v>45360</v>
      </c>
      <c r="B1165" s="12" t="n">
        <v>17.5</v>
      </c>
      <c r="C1165" s="12" t="n">
        <f aca="false">IF(NOT(ISNUMBER(B1165)),"",ROUND((INDEX(BP!$D$5:$D$9,MATCH(B1165,BP!$A$5:$A$9,1))-INDEX(BP!$C$5:$C$9,MATCH(B1165,BP!$A$5:$A$9,1)))/(INDEX(BP!$B$5:$B$9,MATCH(B1165,BP!$A$5:$A$9,1))-INDEX(BP!$A$5:$A$9,MATCH(B1165,BP!$A$5:$A$9,1)))*(B1165-INDEX(BP!$A$5:$A$9,MATCH(B1165,BP!$A$5:$A$9,1)))+INDEX(BP!$C$5:$C$9,MATCH(B1165,BP!$A$5:$A$9,1)),0))</f>
        <v>32</v>
      </c>
      <c r="D1165" s="12" t="str">
        <f aca="false">IF(NOT(ISNUMBER(C1165)),"",INDEX(BP!$F$5:$F$9,MATCH(C1165,BP!$E$5:$E$9,1)))</f>
        <v>ดี</v>
      </c>
      <c r="E1165" s="12" t="n">
        <f aca="false">YEAR(A1165)</f>
        <v>2024</v>
      </c>
      <c r="F1165" s="12" t="n">
        <f aca="false">MONTH(A1165)</f>
        <v>3</v>
      </c>
      <c r="G1165" s="12" t="n">
        <v>19.6</v>
      </c>
      <c r="H1165" s="12" t="n">
        <v>44.3</v>
      </c>
      <c r="I1165" s="12" t="n">
        <v>94</v>
      </c>
      <c r="J1165" s="12" t="n">
        <v>4</v>
      </c>
      <c r="K1165" s="12" t="n">
        <v>2.6</v>
      </c>
      <c r="L1165" s="12" t="s">
        <v>35</v>
      </c>
    </row>
    <row r="1166" customFormat="false" ht="15" hidden="false" customHeight="false" outlineLevel="0" collapsed="false">
      <c r="A1166" s="11" t="n">
        <v>45361</v>
      </c>
      <c r="B1166" s="12" t="n">
        <v>23</v>
      </c>
      <c r="C1166" s="12" t="n">
        <f aca="false">IF(NOT(ISNUMBER(B1166)),"",ROUND((INDEX(BP!$D$5:$D$9,MATCH(B1166,BP!$A$5:$A$9,1))-INDEX(BP!$C$5:$C$9,MATCH(B1166,BP!$A$5:$A$9,1)))/(INDEX(BP!$B$5:$B$9,MATCH(B1166,BP!$A$5:$A$9,1))-INDEX(BP!$A$5:$A$9,MATCH(B1166,BP!$A$5:$A$9,1)))*(B1166-INDEX(BP!$A$5:$A$9,MATCH(B1166,BP!$A$5:$A$9,1)))+INDEX(BP!$C$5:$C$9,MATCH(B1166,BP!$A$5:$A$9,1)),0))</f>
        <v>45</v>
      </c>
      <c r="D1166" s="12" t="str">
        <f aca="false">IF(NOT(ISNUMBER(C1166)),"",INDEX(BP!$F$5:$F$9,MATCH(C1166,BP!$E$5:$E$9,1)))</f>
        <v>ดี</v>
      </c>
      <c r="E1166" s="12" t="n">
        <f aca="false">YEAR(A1166)</f>
        <v>2024</v>
      </c>
      <c r="F1166" s="12" t="n">
        <f aca="false">MONTH(A1166)</f>
        <v>3</v>
      </c>
      <c r="G1166" s="12" t="n">
        <v>21.1</v>
      </c>
      <c r="H1166" s="12" t="n">
        <v>46.1</v>
      </c>
      <c r="I1166" s="12" t="n">
        <v>83</v>
      </c>
      <c r="J1166" s="12" t="n">
        <v>0.6</v>
      </c>
      <c r="K1166" s="12" t="n">
        <v>0</v>
      </c>
      <c r="L1166" s="12" t="s">
        <v>35</v>
      </c>
    </row>
    <row r="1167" customFormat="false" ht="15" hidden="false" customHeight="false" outlineLevel="0" collapsed="false">
      <c r="A1167" s="11" t="n">
        <v>45362</v>
      </c>
      <c r="B1167" s="12" t="n">
        <v>24.2</v>
      </c>
      <c r="C1167" s="12" t="n">
        <f aca="false">IF(NOT(ISNUMBER(B1167)),"",ROUND((INDEX(BP!$D$5:$D$9,MATCH(B1167,BP!$A$5:$A$9,1))-INDEX(BP!$C$5:$C$9,MATCH(B1167,BP!$A$5:$A$9,1)))/(INDEX(BP!$B$5:$B$9,MATCH(B1167,BP!$A$5:$A$9,1))-INDEX(BP!$A$5:$A$9,MATCH(B1167,BP!$A$5:$A$9,1)))*(B1167-INDEX(BP!$A$5:$A$9,MATCH(B1167,BP!$A$5:$A$9,1)))+INDEX(BP!$C$5:$C$9,MATCH(B1167,BP!$A$5:$A$9,1)),0))</f>
        <v>48</v>
      </c>
      <c r="D1167" s="12" t="str">
        <f aca="false">IF(NOT(ISNUMBER(C1167)),"",INDEX(BP!$F$5:$F$9,MATCH(C1167,BP!$E$5:$E$9,1)))</f>
        <v>ดี</v>
      </c>
      <c r="E1167" s="12" t="n">
        <f aca="false">YEAR(A1167)</f>
        <v>2024</v>
      </c>
      <c r="F1167" s="12" t="n">
        <f aca="false">MONTH(A1167)</f>
        <v>3</v>
      </c>
      <c r="G1167" s="12" t="n">
        <v>16.9</v>
      </c>
      <c r="H1167" s="12" t="n">
        <v>39.2</v>
      </c>
      <c r="I1167" s="12" t="n">
        <v>80</v>
      </c>
      <c r="J1167" s="12" t="n">
        <v>0.4</v>
      </c>
      <c r="K1167" s="12" t="n">
        <v>0</v>
      </c>
      <c r="L1167" s="12" t="s">
        <v>36</v>
      </c>
    </row>
    <row r="1168" customFormat="false" ht="15" hidden="false" customHeight="false" outlineLevel="0" collapsed="false">
      <c r="A1168" s="11" t="n">
        <v>45363</v>
      </c>
      <c r="B1168" s="12" t="n">
        <v>24.1</v>
      </c>
      <c r="C1168" s="12" t="n">
        <f aca="false">IF(NOT(ISNUMBER(B1168)),"",ROUND((INDEX(BP!$D$5:$D$9,MATCH(B1168,BP!$A$5:$A$9,1))-INDEX(BP!$C$5:$C$9,MATCH(B1168,BP!$A$5:$A$9,1)))/(INDEX(BP!$B$5:$B$9,MATCH(B1168,BP!$A$5:$A$9,1))-INDEX(BP!$A$5:$A$9,MATCH(B1168,BP!$A$5:$A$9,1)))*(B1168-INDEX(BP!$A$5:$A$9,MATCH(B1168,BP!$A$5:$A$9,1)))+INDEX(BP!$C$5:$C$9,MATCH(B1168,BP!$A$5:$A$9,1)),0))</f>
        <v>48</v>
      </c>
      <c r="D1168" s="12" t="str">
        <f aca="false">IF(NOT(ISNUMBER(C1168)),"",INDEX(BP!$F$5:$F$9,MATCH(C1168,BP!$E$5:$E$9,1)))</f>
        <v>ดี</v>
      </c>
      <c r="E1168" s="12" t="n">
        <f aca="false">YEAR(A1168)</f>
        <v>2024</v>
      </c>
      <c r="F1168" s="12" t="n">
        <f aca="false">MONTH(A1168)</f>
        <v>3</v>
      </c>
      <c r="G1168" s="12" t="n">
        <v>16</v>
      </c>
      <c r="H1168" s="12" t="n">
        <v>37.4</v>
      </c>
      <c r="I1168" s="12" t="n">
        <v>75</v>
      </c>
      <c r="J1168" s="12" t="n">
        <v>0.3</v>
      </c>
      <c r="K1168" s="12" t="n">
        <v>0</v>
      </c>
      <c r="L1168" s="12" t="s">
        <v>36</v>
      </c>
    </row>
    <row r="1169" customFormat="false" ht="15" hidden="false" customHeight="false" outlineLevel="0" collapsed="false">
      <c r="A1169" s="11" t="n">
        <v>45364</v>
      </c>
      <c r="B1169" s="12" t="n">
        <v>21.4</v>
      </c>
      <c r="C1169" s="12" t="n">
        <f aca="false">IF(NOT(ISNUMBER(B1169)),"",ROUND((INDEX(BP!$D$5:$D$9,MATCH(B1169,BP!$A$5:$A$9,1))-INDEX(BP!$C$5:$C$9,MATCH(B1169,BP!$A$5:$A$9,1)))/(INDEX(BP!$B$5:$B$9,MATCH(B1169,BP!$A$5:$A$9,1))-INDEX(BP!$A$5:$A$9,MATCH(B1169,BP!$A$5:$A$9,1)))*(B1169-INDEX(BP!$A$5:$A$9,MATCH(B1169,BP!$A$5:$A$9,1)))+INDEX(BP!$C$5:$C$9,MATCH(B1169,BP!$A$5:$A$9,1)),0))</f>
        <v>41</v>
      </c>
      <c r="D1169" s="12" t="str">
        <f aca="false">IF(NOT(ISNUMBER(C1169)),"",INDEX(BP!$F$5:$F$9,MATCH(C1169,BP!$E$5:$E$9,1)))</f>
        <v>ดี</v>
      </c>
      <c r="E1169" s="12" t="n">
        <f aca="false">YEAR(A1169)</f>
        <v>2024</v>
      </c>
      <c r="F1169" s="12" t="n">
        <f aca="false">MONTH(A1169)</f>
        <v>3</v>
      </c>
      <c r="G1169" s="12" t="n">
        <v>16.9</v>
      </c>
      <c r="H1169" s="12" t="n">
        <v>38.9</v>
      </c>
      <c r="I1169" s="12" t="n">
        <v>74</v>
      </c>
      <c r="J1169" s="12" t="n">
        <v>0.1</v>
      </c>
      <c r="K1169" s="12" t="n">
        <v>0</v>
      </c>
      <c r="L1169" s="12" t="s">
        <v>36</v>
      </c>
    </row>
    <row r="1170" customFormat="false" ht="15" hidden="false" customHeight="false" outlineLevel="0" collapsed="false">
      <c r="A1170" s="11" t="n">
        <v>45365</v>
      </c>
      <c r="B1170" s="12" t="n">
        <v>19.7</v>
      </c>
      <c r="C1170" s="12" t="n">
        <f aca="false">IF(NOT(ISNUMBER(B1170)),"",ROUND((INDEX(BP!$D$5:$D$9,MATCH(B1170,BP!$A$5:$A$9,1))-INDEX(BP!$C$5:$C$9,MATCH(B1170,BP!$A$5:$A$9,1)))/(INDEX(BP!$B$5:$B$9,MATCH(B1170,BP!$A$5:$A$9,1))-INDEX(BP!$A$5:$A$9,MATCH(B1170,BP!$A$5:$A$9,1)))*(B1170-INDEX(BP!$A$5:$A$9,MATCH(B1170,BP!$A$5:$A$9,1)))+INDEX(BP!$C$5:$C$9,MATCH(B1170,BP!$A$5:$A$9,1)),0))</f>
        <v>37</v>
      </c>
      <c r="D1170" s="12" t="str">
        <f aca="false">IF(NOT(ISNUMBER(C1170)),"",INDEX(BP!$F$5:$F$9,MATCH(C1170,BP!$E$5:$E$9,1)))</f>
        <v>ดี</v>
      </c>
      <c r="E1170" s="12" t="n">
        <f aca="false">YEAR(A1170)</f>
        <v>2024</v>
      </c>
      <c r="F1170" s="12" t="n">
        <f aca="false">MONTH(A1170)</f>
        <v>3</v>
      </c>
      <c r="G1170" s="12" t="n">
        <v>17.9</v>
      </c>
      <c r="H1170" s="12" t="n">
        <v>41.4</v>
      </c>
      <c r="I1170" s="12" t="n">
        <v>81</v>
      </c>
      <c r="J1170" s="12" t="n">
        <v>0.2</v>
      </c>
      <c r="K1170" s="12" t="n">
        <v>0</v>
      </c>
      <c r="L1170" s="12" t="s">
        <v>36</v>
      </c>
    </row>
    <row r="1171" customFormat="false" ht="15" hidden="false" customHeight="false" outlineLevel="0" collapsed="false">
      <c r="A1171" s="11" t="n">
        <v>45366</v>
      </c>
      <c r="B1171" s="12" t="n">
        <v>21.7</v>
      </c>
      <c r="C1171" s="12" t="n">
        <f aca="false">IF(NOT(ISNUMBER(B1171)),"",ROUND((INDEX(BP!$D$5:$D$9,MATCH(B1171,BP!$A$5:$A$9,1))-INDEX(BP!$C$5:$C$9,MATCH(B1171,BP!$A$5:$A$9,1)))/(INDEX(BP!$B$5:$B$9,MATCH(B1171,BP!$A$5:$A$9,1))-INDEX(BP!$A$5:$A$9,MATCH(B1171,BP!$A$5:$A$9,1)))*(B1171-INDEX(BP!$A$5:$A$9,MATCH(B1171,BP!$A$5:$A$9,1)))+INDEX(BP!$C$5:$C$9,MATCH(B1171,BP!$A$5:$A$9,1)),0))</f>
        <v>42</v>
      </c>
      <c r="D1171" s="12" t="str">
        <f aca="false">IF(NOT(ISNUMBER(C1171)),"",INDEX(BP!$F$5:$F$9,MATCH(C1171,BP!$E$5:$E$9,1)))</f>
        <v>ดี</v>
      </c>
      <c r="E1171" s="12" t="n">
        <f aca="false">YEAR(A1171)</f>
        <v>2024</v>
      </c>
      <c r="F1171" s="12" t="n">
        <f aca="false">MONTH(A1171)</f>
        <v>3</v>
      </c>
      <c r="G1171" s="12" t="n">
        <v>19.5</v>
      </c>
      <c r="H1171" s="12" t="n">
        <v>41.8</v>
      </c>
      <c r="I1171" s="12" t="n">
        <v>93</v>
      </c>
      <c r="J1171" s="12" t="n">
        <v>0.7</v>
      </c>
      <c r="K1171" s="12" t="n">
        <v>0</v>
      </c>
      <c r="L1171" s="12" t="s">
        <v>36</v>
      </c>
    </row>
    <row r="1172" customFormat="false" ht="15" hidden="false" customHeight="false" outlineLevel="0" collapsed="false">
      <c r="A1172" s="11" t="n">
        <v>45367</v>
      </c>
      <c r="B1172" s="12" t="n">
        <v>16.4</v>
      </c>
      <c r="C1172" s="12" t="n">
        <f aca="false">IF(NOT(ISNUMBER(B1172)),"",ROUND((INDEX(BP!$D$5:$D$9,MATCH(B1172,BP!$A$5:$A$9,1))-INDEX(BP!$C$5:$C$9,MATCH(B1172,BP!$A$5:$A$9,1)))/(INDEX(BP!$B$5:$B$9,MATCH(B1172,BP!$A$5:$A$9,1))-INDEX(BP!$A$5:$A$9,MATCH(B1172,BP!$A$5:$A$9,1)))*(B1172-INDEX(BP!$A$5:$A$9,MATCH(B1172,BP!$A$5:$A$9,1)))+INDEX(BP!$C$5:$C$9,MATCH(B1172,BP!$A$5:$A$9,1)),0))</f>
        <v>29</v>
      </c>
      <c r="D1172" s="12" t="str">
        <f aca="false">IF(NOT(ISNUMBER(C1172)),"",INDEX(BP!$F$5:$F$9,MATCH(C1172,BP!$E$5:$E$9,1)))</f>
        <v>ดี</v>
      </c>
      <c r="E1172" s="12" t="n">
        <f aca="false">YEAR(A1172)</f>
        <v>2024</v>
      </c>
      <c r="F1172" s="12" t="n">
        <f aca="false">MONTH(A1172)</f>
        <v>3</v>
      </c>
      <c r="G1172" s="12" t="n">
        <v>18.2</v>
      </c>
      <c r="H1172" s="12" t="n">
        <v>41</v>
      </c>
      <c r="I1172" s="12" t="n">
        <v>81</v>
      </c>
      <c r="J1172" s="12" t="n">
        <v>2</v>
      </c>
      <c r="K1172" s="12" t="n">
        <v>0</v>
      </c>
      <c r="L1172" s="12" t="s">
        <v>35</v>
      </c>
    </row>
    <row r="1173" customFormat="false" ht="15" hidden="false" customHeight="false" outlineLevel="0" collapsed="false">
      <c r="A1173" s="11" t="n">
        <v>45368</v>
      </c>
      <c r="B1173" s="12" t="n">
        <v>19.8</v>
      </c>
      <c r="C1173" s="12" t="n">
        <f aca="false">IF(NOT(ISNUMBER(B1173)),"",ROUND((INDEX(BP!$D$5:$D$9,MATCH(B1173,BP!$A$5:$A$9,1))-INDEX(BP!$C$5:$C$9,MATCH(B1173,BP!$A$5:$A$9,1)))/(INDEX(BP!$B$5:$B$9,MATCH(B1173,BP!$A$5:$A$9,1))-INDEX(BP!$A$5:$A$9,MATCH(B1173,BP!$A$5:$A$9,1)))*(B1173-INDEX(BP!$A$5:$A$9,MATCH(B1173,BP!$A$5:$A$9,1)))+INDEX(BP!$C$5:$C$9,MATCH(B1173,BP!$A$5:$A$9,1)),0))</f>
        <v>37</v>
      </c>
      <c r="D1173" s="12" t="str">
        <f aca="false">IF(NOT(ISNUMBER(C1173)),"",INDEX(BP!$F$5:$F$9,MATCH(C1173,BP!$E$5:$E$9,1)))</f>
        <v>ดี</v>
      </c>
      <c r="E1173" s="12" t="n">
        <f aca="false">YEAR(A1173)</f>
        <v>2024</v>
      </c>
      <c r="F1173" s="12" t="n">
        <f aca="false">MONTH(A1173)</f>
        <v>3</v>
      </c>
      <c r="G1173" s="12" t="n">
        <v>20.4</v>
      </c>
      <c r="H1173" s="12" t="n">
        <v>46.1</v>
      </c>
      <c r="I1173" s="12" t="n">
        <v>80</v>
      </c>
      <c r="J1173" s="12" t="n">
        <v>0.1</v>
      </c>
      <c r="K1173" s="12" t="n">
        <v>0</v>
      </c>
      <c r="L1173" s="12" t="s">
        <v>35</v>
      </c>
    </row>
    <row r="1174" customFormat="false" ht="15" hidden="false" customHeight="false" outlineLevel="0" collapsed="false">
      <c r="A1174" s="11" t="n">
        <v>45369</v>
      </c>
      <c r="B1174" s="12" t="n">
        <v>18.4</v>
      </c>
      <c r="C1174" s="12" t="n">
        <f aca="false">IF(NOT(ISNUMBER(B1174)),"",ROUND((INDEX(BP!$D$5:$D$9,MATCH(B1174,BP!$A$5:$A$9,1))-INDEX(BP!$C$5:$C$9,MATCH(B1174,BP!$A$5:$A$9,1)))/(INDEX(BP!$B$5:$B$9,MATCH(B1174,BP!$A$5:$A$9,1))-INDEX(BP!$A$5:$A$9,MATCH(B1174,BP!$A$5:$A$9,1)))*(B1174-INDEX(BP!$A$5:$A$9,MATCH(B1174,BP!$A$5:$A$9,1)))+INDEX(BP!$C$5:$C$9,MATCH(B1174,BP!$A$5:$A$9,1)),0))</f>
        <v>34</v>
      </c>
      <c r="D1174" s="12" t="str">
        <f aca="false">IF(NOT(ISNUMBER(C1174)),"",INDEX(BP!$F$5:$F$9,MATCH(C1174,BP!$E$5:$E$9,1)))</f>
        <v>ดี</v>
      </c>
      <c r="E1174" s="12" t="n">
        <f aca="false">YEAR(A1174)</f>
        <v>2024</v>
      </c>
      <c r="F1174" s="12" t="n">
        <f aca="false">MONTH(A1174)</f>
        <v>3</v>
      </c>
      <c r="G1174" s="12" t="n">
        <v>20.5</v>
      </c>
      <c r="H1174" s="12" t="n">
        <v>45.7</v>
      </c>
      <c r="I1174" s="12" t="n">
        <v>74</v>
      </c>
      <c r="J1174" s="12" t="n">
        <v>0</v>
      </c>
      <c r="K1174" s="12" t="n">
        <v>0</v>
      </c>
      <c r="L1174" s="12" t="s">
        <v>36</v>
      </c>
    </row>
    <row r="1175" customFormat="false" ht="15" hidden="false" customHeight="false" outlineLevel="0" collapsed="false">
      <c r="A1175" s="11" t="n">
        <v>45370</v>
      </c>
      <c r="B1175" s="12" t="n">
        <v>17.4</v>
      </c>
      <c r="C1175" s="12" t="n">
        <f aca="false">IF(NOT(ISNUMBER(B1175)),"",ROUND((INDEX(BP!$D$5:$D$9,MATCH(B1175,BP!$A$5:$A$9,1))-INDEX(BP!$C$5:$C$9,MATCH(B1175,BP!$A$5:$A$9,1)))/(INDEX(BP!$B$5:$B$9,MATCH(B1175,BP!$A$5:$A$9,1))-INDEX(BP!$A$5:$A$9,MATCH(B1175,BP!$A$5:$A$9,1)))*(B1175-INDEX(BP!$A$5:$A$9,MATCH(B1175,BP!$A$5:$A$9,1)))+INDEX(BP!$C$5:$C$9,MATCH(B1175,BP!$A$5:$A$9,1)),0))</f>
        <v>32</v>
      </c>
      <c r="D1175" s="12" t="str">
        <f aca="false">IF(NOT(ISNUMBER(C1175)),"",INDEX(BP!$F$5:$F$9,MATCH(C1175,BP!$E$5:$E$9,1)))</f>
        <v>ดี</v>
      </c>
      <c r="E1175" s="12" t="n">
        <f aca="false">YEAR(A1175)</f>
        <v>2024</v>
      </c>
      <c r="F1175" s="12" t="n">
        <f aca="false">MONTH(A1175)</f>
        <v>3</v>
      </c>
      <c r="G1175" s="12" t="n">
        <v>21.2</v>
      </c>
      <c r="H1175" s="12" t="n">
        <v>47.2</v>
      </c>
      <c r="I1175" s="12" t="n">
        <v>80</v>
      </c>
      <c r="J1175" s="12" t="n">
        <v>0.1</v>
      </c>
      <c r="K1175" s="12" t="n">
        <v>0</v>
      </c>
      <c r="L1175" s="12" t="s">
        <v>36</v>
      </c>
    </row>
    <row r="1176" customFormat="false" ht="15" hidden="false" customHeight="false" outlineLevel="0" collapsed="false">
      <c r="A1176" s="11" t="n">
        <v>45371</v>
      </c>
      <c r="B1176" s="12" t="n">
        <v>19.2</v>
      </c>
      <c r="C1176" s="12" t="n">
        <f aca="false">IF(NOT(ISNUMBER(B1176)),"",ROUND((INDEX(BP!$D$5:$D$9,MATCH(B1176,BP!$A$5:$A$9,1))-INDEX(BP!$C$5:$C$9,MATCH(B1176,BP!$A$5:$A$9,1)))/(INDEX(BP!$B$5:$B$9,MATCH(B1176,BP!$A$5:$A$9,1))-INDEX(BP!$A$5:$A$9,MATCH(B1176,BP!$A$5:$A$9,1)))*(B1176-INDEX(BP!$A$5:$A$9,MATCH(B1176,BP!$A$5:$A$9,1)))+INDEX(BP!$C$5:$C$9,MATCH(B1176,BP!$A$5:$A$9,1)),0))</f>
        <v>36</v>
      </c>
      <c r="D1176" s="12" t="str">
        <f aca="false">IF(NOT(ISNUMBER(C1176)),"",INDEX(BP!$F$5:$F$9,MATCH(C1176,BP!$E$5:$E$9,1)))</f>
        <v>ดี</v>
      </c>
      <c r="E1176" s="12" t="n">
        <f aca="false">YEAR(A1176)</f>
        <v>2024</v>
      </c>
      <c r="F1176" s="12" t="n">
        <f aca="false">MONTH(A1176)</f>
        <v>3</v>
      </c>
      <c r="G1176" s="12" t="n">
        <v>23.9</v>
      </c>
      <c r="H1176" s="12" t="n">
        <v>51.8</v>
      </c>
      <c r="I1176" s="12" t="n">
        <v>84</v>
      </c>
      <c r="J1176" s="12" t="n">
        <v>0.3</v>
      </c>
      <c r="K1176" s="12" t="n">
        <v>0</v>
      </c>
      <c r="L1176" s="12" t="s">
        <v>36</v>
      </c>
    </row>
    <row r="1177" customFormat="false" ht="15" hidden="false" customHeight="false" outlineLevel="0" collapsed="false">
      <c r="A1177" s="11" t="n">
        <v>45372</v>
      </c>
      <c r="B1177" s="12" t="n">
        <v>20.2</v>
      </c>
      <c r="C1177" s="12" t="n">
        <f aca="false">IF(NOT(ISNUMBER(B1177)),"",ROUND((INDEX(BP!$D$5:$D$9,MATCH(B1177,BP!$A$5:$A$9,1))-INDEX(BP!$C$5:$C$9,MATCH(B1177,BP!$A$5:$A$9,1)))/(INDEX(BP!$B$5:$B$9,MATCH(B1177,BP!$A$5:$A$9,1))-INDEX(BP!$A$5:$A$9,MATCH(B1177,BP!$A$5:$A$9,1)))*(B1177-INDEX(BP!$A$5:$A$9,MATCH(B1177,BP!$A$5:$A$9,1)))+INDEX(BP!$C$5:$C$9,MATCH(B1177,BP!$A$5:$A$9,1)),0))</f>
        <v>38</v>
      </c>
      <c r="D1177" s="12" t="str">
        <f aca="false">IF(NOT(ISNUMBER(C1177)),"",INDEX(BP!$F$5:$F$9,MATCH(C1177,BP!$E$5:$E$9,1)))</f>
        <v>ดี</v>
      </c>
      <c r="E1177" s="12" t="n">
        <f aca="false">YEAR(A1177)</f>
        <v>2024</v>
      </c>
      <c r="F1177" s="12" t="n">
        <f aca="false">MONTH(A1177)</f>
        <v>3</v>
      </c>
      <c r="G1177" s="12" t="n">
        <v>20.2</v>
      </c>
      <c r="H1177" s="12" t="n">
        <v>45.7</v>
      </c>
      <c r="I1177" s="12" t="n">
        <v>87</v>
      </c>
      <c r="J1177" s="12" t="n">
        <v>0</v>
      </c>
      <c r="K1177" s="12" t="n">
        <v>0</v>
      </c>
      <c r="L1177" s="12" t="s">
        <v>36</v>
      </c>
    </row>
    <row r="1178" customFormat="false" ht="15" hidden="false" customHeight="false" outlineLevel="0" collapsed="false">
      <c r="A1178" s="11" t="n">
        <v>45373</v>
      </c>
      <c r="B1178" s="12" t="n">
        <v>22.5</v>
      </c>
      <c r="C1178" s="12" t="n">
        <f aca="false">IF(NOT(ISNUMBER(B1178)),"",ROUND((INDEX(BP!$D$5:$D$9,MATCH(B1178,BP!$A$5:$A$9,1))-INDEX(BP!$C$5:$C$9,MATCH(B1178,BP!$A$5:$A$9,1)))/(INDEX(BP!$B$5:$B$9,MATCH(B1178,BP!$A$5:$A$9,1))-INDEX(BP!$A$5:$A$9,MATCH(B1178,BP!$A$5:$A$9,1)))*(B1178-INDEX(BP!$A$5:$A$9,MATCH(B1178,BP!$A$5:$A$9,1)))+INDEX(BP!$C$5:$C$9,MATCH(B1178,BP!$A$5:$A$9,1)),0))</f>
        <v>44</v>
      </c>
      <c r="D1178" s="12" t="str">
        <f aca="false">IF(NOT(ISNUMBER(C1178)),"",INDEX(BP!$F$5:$F$9,MATCH(C1178,BP!$E$5:$E$9,1)))</f>
        <v>ดี</v>
      </c>
      <c r="E1178" s="12" t="n">
        <f aca="false">YEAR(A1178)</f>
        <v>2024</v>
      </c>
      <c r="F1178" s="12" t="n">
        <f aca="false">MONTH(A1178)</f>
        <v>3</v>
      </c>
      <c r="G1178" s="12" t="n">
        <v>19.7</v>
      </c>
      <c r="H1178" s="12" t="n">
        <v>44.3</v>
      </c>
      <c r="I1178" s="12" t="n">
        <v>84</v>
      </c>
      <c r="J1178" s="12" t="n">
        <v>0</v>
      </c>
      <c r="K1178" s="12" t="n">
        <v>0</v>
      </c>
      <c r="L1178" s="12" t="s">
        <v>36</v>
      </c>
    </row>
    <row r="1179" customFormat="false" ht="15" hidden="false" customHeight="false" outlineLevel="0" collapsed="false">
      <c r="A1179" s="11" t="n">
        <v>45374</v>
      </c>
      <c r="B1179" s="12" t="n">
        <v>22.2</v>
      </c>
      <c r="C1179" s="12" t="n">
        <f aca="false">IF(NOT(ISNUMBER(B1179)),"",ROUND((INDEX(BP!$D$5:$D$9,MATCH(B1179,BP!$A$5:$A$9,1))-INDEX(BP!$C$5:$C$9,MATCH(B1179,BP!$A$5:$A$9,1)))/(INDEX(BP!$B$5:$B$9,MATCH(B1179,BP!$A$5:$A$9,1))-INDEX(BP!$A$5:$A$9,MATCH(B1179,BP!$A$5:$A$9,1)))*(B1179-INDEX(BP!$A$5:$A$9,MATCH(B1179,BP!$A$5:$A$9,1)))+INDEX(BP!$C$5:$C$9,MATCH(B1179,BP!$A$5:$A$9,1)),0))</f>
        <v>43</v>
      </c>
      <c r="D1179" s="12" t="str">
        <f aca="false">IF(NOT(ISNUMBER(C1179)),"",INDEX(BP!$F$5:$F$9,MATCH(C1179,BP!$E$5:$E$9,1)))</f>
        <v>ดี</v>
      </c>
      <c r="E1179" s="12" t="n">
        <f aca="false">YEAR(A1179)</f>
        <v>2024</v>
      </c>
      <c r="F1179" s="12" t="n">
        <f aca="false">MONTH(A1179)</f>
        <v>3</v>
      </c>
      <c r="G1179" s="12" t="n">
        <v>19.2</v>
      </c>
      <c r="H1179" s="12" t="n">
        <v>43.6</v>
      </c>
      <c r="I1179" s="12" t="n">
        <v>85</v>
      </c>
      <c r="J1179" s="12" t="n">
        <v>0</v>
      </c>
      <c r="K1179" s="12" t="n">
        <v>0</v>
      </c>
      <c r="L1179" s="12" t="s">
        <v>35</v>
      </c>
    </row>
    <row r="1180" customFormat="false" ht="15" hidden="false" customHeight="false" outlineLevel="0" collapsed="false">
      <c r="A1180" s="11" t="n">
        <v>45375</v>
      </c>
      <c r="B1180" s="12" t="n">
        <v>18.9</v>
      </c>
      <c r="C1180" s="12" t="n">
        <f aca="false">IF(NOT(ISNUMBER(B1180)),"",ROUND((INDEX(BP!$D$5:$D$9,MATCH(B1180,BP!$A$5:$A$9,1))-INDEX(BP!$C$5:$C$9,MATCH(B1180,BP!$A$5:$A$9,1)))/(INDEX(BP!$B$5:$B$9,MATCH(B1180,BP!$A$5:$A$9,1))-INDEX(BP!$A$5:$A$9,MATCH(B1180,BP!$A$5:$A$9,1)))*(B1180-INDEX(BP!$A$5:$A$9,MATCH(B1180,BP!$A$5:$A$9,1)))+INDEX(BP!$C$5:$C$9,MATCH(B1180,BP!$A$5:$A$9,1)),0))</f>
        <v>35</v>
      </c>
      <c r="D1180" s="12" t="str">
        <f aca="false">IF(NOT(ISNUMBER(C1180)),"",INDEX(BP!$F$5:$F$9,MATCH(C1180,BP!$E$5:$E$9,1)))</f>
        <v>ดี</v>
      </c>
      <c r="E1180" s="12" t="n">
        <f aca="false">YEAR(A1180)</f>
        <v>2024</v>
      </c>
      <c r="F1180" s="12" t="n">
        <f aca="false">MONTH(A1180)</f>
        <v>3</v>
      </c>
      <c r="G1180" s="12" t="n">
        <v>19.8</v>
      </c>
      <c r="H1180" s="12" t="n">
        <v>43.6</v>
      </c>
      <c r="I1180" s="12" t="n">
        <v>86</v>
      </c>
      <c r="J1180" s="12" t="n">
        <v>0</v>
      </c>
      <c r="K1180" s="12" t="n">
        <v>0</v>
      </c>
      <c r="L1180" s="12" t="s">
        <v>35</v>
      </c>
    </row>
    <row r="1181" customFormat="false" ht="15" hidden="false" customHeight="false" outlineLevel="0" collapsed="false">
      <c r="A1181" s="11" t="n">
        <v>45376</v>
      </c>
      <c r="B1181" s="12" t="n">
        <v>14.9</v>
      </c>
      <c r="C1181" s="12" t="n">
        <f aca="false">IF(NOT(ISNUMBER(B1181)),"",ROUND((INDEX(BP!$D$5:$D$9,MATCH(B1181,BP!$A$5:$A$9,1))-INDEX(BP!$C$5:$C$9,MATCH(B1181,BP!$A$5:$A$9,1)))/(INDEX(BP!$B$5:$B$9,MATCH(B1181,BP!$A$5:$A$9,1))-INDEX(BP!$A$5:$A$9,MATCH(B1181,BP!$A$5:$A$9,1)))*(B1181-INDEX(BP!$A$5:$A$9,MATCH(B1181,BP!$A$5:$A$9,1)))+INDEX(BP!$C$5:$C$9,MATCH(B1181,BP!$A$5:$A$9,1)),0))</f>
        <v>25</v>
      </c>
      <c r="D1181" s="12" t="str">
        <f aca="false">IF(NOT(ISNUMBER(C1181)),"",INDEX(BP!$F$5:$F$9,MATCH(C1181,BP!$E$5:$E$9,1)))</f>
        <v>ดีมาก</v>
      </c>
      <c r="E1181" s="12" t="n">
        <f aca="false">YEAR(A1181)</f>
        <v>2024</v>
      </c>
      <c r="F1181" s="12" t="n">
        <f aca="false">MONTH(A1181)</f>
        <v>3</v>
      </c>
      <c r="G1181" s="12" t="n">
        <v>18.1</v>
      </c>
      <c r="H1181" s="12" t="n">
        <v>41</v>
      </c>
      <c r="I1181" s="12" t="n">
        <v>68</v>
      </c>
      <c r="J1181" s="12" t="n">
        <v>0.5</v>
      </c>
      <c r="K1181" s="12" t="n">
        <v>0</v>
      </c>
      <c r="L1181" s="12" t="s">
        <v>36</v>
      </c>
    </row>
    <row r="1182" customFormat="false" ht="15" hidden="false" customHeight="false" outlineLevel="0" collapsed="false">
      <c r="A1182" s="11" t="n">
        <v>45377</v>
      </c>
      <c r="B1182" s="12" t="n">
        <v>20.4</v>
      </c>
      <c r="C1182" s="12" t="n">
        <f aca="false">IF(NOT(ISNUMBER(B1182)),"",ROUND((INDEX(BP!$D$5:$D$9,MATCH(B1182,BP!$A$5:$A$9,1))-INDEX(BP!$C$5:$C$9,MATCH(B1182,BP!$A$5:$A$9,1)))/(INDEX(BP!$B$5:$B$9,MATCH(B1182,BP!$A$5:$A$9,1))-INDEX(BP!$A$5:$A$9,MATCH(B1182,BP!$A$5:$A$9,1)))*(B1182-INDEX(BP!$A$5:$A$9,MATCH(B1182,BP!$A$5:$A$9,1)))+INDEX(BP!$C$5:$C$9,MATCH(B1182,BP!$A$5:$A$9,1)),0))</f>
        <v>39</v>
      </c>
      <c r="D1182" s="12" t="str">
        <f aca="false">IF(NOT(ISNUMBER(C1182)),"",INDEX(BP!$F$5:$F$9,MATCH(C1182,BP!$E$5:$E$9,1)))</f>
        <v>ดี</v>
      </c>
      <c r="E1182" s="12" t="n">
        <f aca="false">YEAR(A1182)</f>
        <v>2024</v>
      </c>
      <c r="F1182" s="12" t="n">
        <f aca="false">MONTH(A1182)</f>
        <v>3</v>
      </c>
      <c r="G1182" s="12" t="n">
        <v>20.7</v>
      </c>
      <c r="H1182" s="12" t="n">
        <v>48.2</v>
      </c>
      <c r="I1182" s="12" t="n">
        <v>93</v>
      </c>
      <c r="J1182" s="12" t="n">
        <v>1.7</v>
      </c>
      <c r="K1182" s="12" t="n">
        <v>0.2</v>
      </c>
      <c r="L1182" s="12" t="s">
        <v>36</v>
      </c>
    </row>
    <row r="1183" customFormat="false" ht="15" hidden="false" customHeight="false" outlineLevel="0" collapsed="false">
      <c r="A1183" s="11" t="n">
        <v>45378</v>
      </c>
      <c r="B1183" s="12" t="n">
        <v>12.8</v>
      </c>
      <c r="C1183" s="12" t="n">
        <f aca="false">IF(NOT(ISNUMBER(B1183)),"",ROUND((INDEX(BP!$D$5:$D$9,MATCH(B1183,BP!$A$5:$A$9,1))-INDEX(BP!$C$5:$C$9,MATCH(B1183,BP!$A$5:$A$9,1)))/(INDEX(BP!$B$5:$B$9,MATCH(B1183,BP!$A$5:$A$9,1))-INDEX(BP!$A$5:$A$9,MATCH(B1183,BP!$A$5:$A$9,1)))*(B1183-INDEX(BP!$A$5:$A$9,MATCH(B1183,BP!$A$5:$A$9,1)))+INDEX(BP!$C$5:$C$9,MATCH(B1183,BP!$A$5:$A$9,1)),0))</f>
        <v>21</v>
      </c>
      <c r="D1183" s="12" t="str">
        <f aca="false">IF(NOT(ISNUMBER(C1183)),"",INDEX(BP!$F$5:$F$9,MATCH(C1183,BP!$E$5:$E$9,1)))</f>
        <v>ดีมาก</v>
      </c>
      <c r="E1183" s="12" t="n">
        <f aca="false">YEAR(A1183)</f>
        <v>2024</v>
      </c>
      <c r="F1183" s="12" t="n">
        <f aca="false">MONTH(A1183)</f>
        <v>3</v>
      </c>
      <c r="G1183" s="12" t="n">
        <v>19.5</v>
      </c>
      <c r="H1183" s="12" t="n">
        <v>44.3</v>
      </c>
      <c r="I1183" s="12" t="n">
        <v>80</v>
      </c>
      <c r="J1183" s="12" t="n">
        <v>0.5</v>
      </c>
      <c r="K1183" s="12" t="n">
        <v>0</v>
      </c>
      <c r="L1183" s="12" t="s">
        <v>36</v>
      </c>
    </row>
    <row r="1184" customFormat="false" ht="15" hidden="false" customHeight="false" outlineLevel="0" collapsed="false">
      <c r="A1184" s="11" t="n">
        <v>45379</v>
      </c>
      <c r="B1184" s="12" t="n">
        <v>18.5</v>
      </c>
      <c r="C1184" s="12" t="n">
        <f aca="false">IF(NOT(ISNUMBER(B1184)),"",ROUND((INDEX(BP!$D$5:$D$9,MATCH(B1184,BP!$A$5:$A$9,1))-INDEX(BP!$C$5:$C$9,MATCH(B1184,BP!$A$5:$A$9,1)))/(INDEX(BP!$B$5:$B$9,MATCH(B1184,BP!$A$5:$A$9,1))-INDEX(BP!$A$5:$A$9,MATCH(B1184,BP!$A$5:$A$9,1)))*(B1184-INDEX(BP!$A$5:$A$9,MATCH(B1184,BP!$A$5:$A$9,1)))+INDEX(BP!$C$5:$C$9,MATCH(B1184,BP!$A$5:$A$9,1)),0))</f>
        <v>34</v>
      </c>
      <c r="D1184" s="12" t="str">
        <f aca="false">IF(NOT(ISNUMBER(C1184)),"",INDEX(BP!$F$5:$F$9,MATCH(C1184,BP!$E$5:$E$9,1)))</f>
        <v>ดี</v>
      </c>
      <c r="E1184" s="12" t="n">
        <f aca="false">YEAR(A1184)</f>
        <v>2024</v>
      </c>
      <c r="F1184" s="12" t="n">
        <f aca="false">MONTH(A1184)</f>
        <v>3</v>
      </c>
      <c r="G1184" s="12" t="n">
        <v>17.9</v>
      </c>
      <c r="H1184" s="12" t="n">
        <v>42.5</v>
      </c>
      <c r="I1184" s="12" t="n">
        <v>77</v>
      </c>
      <c r="J1184" s="12" t="n">
        <v>1.9</v>
      </c>
      <c r="K1184" s="12" t="n">
        <v>0.2</v>
      </c>
      <c r="L1184" s="12" t="s">
        <v>36</v>
      </c>
    </row>
    <row r="1185" customFormat="false" ht="15" hidden="false" customHeight="false" outlineLevel="0" collapsed="false">
      <c r="A1185" s="11" t="n">
        <v>45380</v>
      </c>
      <c r="B1185" s="12" t="n">
        <v>15.4</v>
      </c>
      <c r="C1185" s="12" t="n">
        <f aca="false">IF(NOT(ISNUMBER(B1185)),"",ROUND((INDEX(BP!$D$5:$D$9,MATCH(B1185,BP!$A$5:$A$9,1))-INDEX(BP!$C$5:$C$9,MATCH(B1185,BP!$A$5:$A$9,1)))/(INDEX(BP!$B$5:$B$9,MATCH(B1185,BP!$A$5:$A$9,1))-INDEX(BP!$A$5:$A$9,MATCH(B1185,BP!$A$5:$A$9,1)))*(B1185-INDEX(BP!$A$5:$A$9,MATCH(B1185,BP!$A$5:$A$9,1)))+INDEX(BP!$C$5:$C$9,MATCH(B1185,BP!$A$5:$A$9,1)),0))</f>
        <v>27</v>
      </c>
      <c r="D1185" s="12" t="str">
        <f aca="false">IF(NOT(ISNUMBER(C1185)),"",INDEX(BP!$F$5:$F$9,MATCH(C1185,BP!$E$5:$E$9,1)))</f>
        <v>ดี</v>
      </c>
      <c r="E1185" s="12" t="n">
        <f aca="false">YEAR(A1185)</f>
        <v>2024</v>
      </c>
      <c r="F1185" s="12" t="n">
        <f aca="false">MONTH(A1185)</f>
        <v>3</v>
      </c>
      <c r="G1185" s="12" t="n">
        <v>18.8</v>
      </c>
      <c r="H1185" s="12" t="n">
        <v>41.8</v>
      </c>
      <c r="I1185" s="12" t="n">
        <v>101</v>
      </c>
      <c r="J1185" s="12" t="n">
        <v>0.9</v>
      </c>
      <c r="K1185" s="12" t="n">
        <v>2.2</v>
      </c>
      <c r="L1185" s="12" t="s">
        <v>36</v>
      </c>
    </row>
    <row r="1186" customFormat="false" ht="15" hidden="false" customHeight="false" outlineLevel="0" collapsed="false">
      <c r="A1186" s="11" t="n">
        <v>45381</v>
      </c>
      <c r="B1186" s="12" t="n">
        <v>17.5</v>
      </c>
      <c r="C1186" s="12" t="n">
        <f aca="false">IF(NOT(ISNUMBER(B1186)),"",ROUND((INDEX(BP!$D$5:$D$9,MATCH(B1186,BP!$A$5:$A$9,1))-INDEX(BP!$C$5:$C$9,MATCH(B1186,BP!$A$5:$A$9,1)))/(INDEX(BP!$B$5:$B$9,MATCH(B1186,BP!$A$5:$A$9,1))-INDEX(BP!$A$5:$A$9,MATCH(B1186,BP!$A$5:$A$9,1)))*(B1186-INDEX(BP!$A$5:$A$9,MATCH(B1186,BP!$A$5:$A$9,1)))+INDEX(BP!$C$5:$C$9,MATCH(B1186,BP!$A$5:$A$9,1)),0))</f>
        <v>32</v>
      </c>
      <c r="D1186" s="12" t="str">
        <f aca="false">IF(NOT(ISNUMBER(C1186)),"",INDEX(BP!$F$5:$F$9,MATCH(C1186,BP!$E$5:$E$9,1)))</f>
        <v>ดี</v>
      </c>
      <c r="E1186" s="12" t="n">
        <f aca="false">YEAR(A1186)</f>
        <v>2024</v>
      </c>
      <c r="F1186" s="12" t="n">
        <f aca="false">MONTH(A1186)</f>
        <v>3</v>
      </c>
      <c r="G1186" s="12" t="n">
        <v>17.9</v>
      </c>
      <c r="H1186" s="12" t="n">
        <v>37.8</v>
      </c>
      <c r="I1186" s="12" t="n">
        <v>91</v>
      </c>
      <c r="J1186" s="12" t="n">
        <v>2</v>
      </c>
      <c r="K1186" s="12" t="n">
        <v>10</v>
      </c>
      <c r="L1186" s="12" t="s">
        <v>35</v>
      </c>
    </row>
    <row r="1187" customFormat="false" ht="15" hidden="false" customHeight="false" outlineLevel="0" collapsed="false">
      <c r="A1187" s="11" t="n">
        <v>45382</v>
      </c>
      <c r="B1187" s="12" t="n">
        <v>20.6</v>
      </c>
      <c r="C1187" s="12" t="n">
        <f aca="false">IF(NOT(ISNUMBER(B1187)),"",ROUND((INDEX(BP!$D$5:$D$9,MATCH(B1187,BP!$A$5:$A$9,1))-INDEX(BP!$C$5:$C$9,MATCH(B1187,BP!$A$5:$A$9,1)))/(INDEX(BP!$B$5:$B$9,MATCH(B1187,BP!$A$5:$A$9,1))-INDEX(BP!$A$5:$A$9,MATCH(B1187,BP!$A$5:$A$9,1)))*(B1187-INDEX(BP!$A$5:$A$9,MATCH(B1187,BP!$A$5:$A$9,1)))+INDEX(BP!$C$5:$C$9,MATCH(B1187,BP!$A$5:$A$9,1)),0))</f>
        <v>39</v>
      </c>
      <c r="D1187" s="12" t="str">
        <f aca="false">IF(NOT(ISNUMBER(C1187)),"",INDEX(BP!$F$5:$F$9,MATCH(C1187,BP!$E$5:$E$9,1)))</f>
        <v>ดี</v>
      </c>
      <c r="E1187" s="12" t="n">
        <f aca="false">YEAR(A1187)</f>
        <v>2024</v>
      </c>
      <c r="F1187" s="12" t="n">
        <f aca="false">MONTH(A1187)</f>
        <v>3</v>
      </c>
      <c r="G1187" s="12" t="n">
        <v>14.4</v>
      </c>
      <c r="H1187" s="12" t="n">
        <v>34.6</v>
      </c>
      <c r="I1187" s="12" t="n">
        <v>100</v>
      </c>
      <c r="J1187" s="12" t="n">
        <v>6.6</v>
      </c>
      <c r="K1187" s="12" t="n">
        <v>0</v>
      </c>
      <c r="L1187" s="12" t="s">
        <v>35</v>
      </c>
    </row>
    <row r="1188" customFormat="false" ht="15" hidden="false" customHeight="false" outlineLevel="0" collapsed="false">
      <c r="A1188" s="11" t="n">
        <v>45383</v>
      </c>
      <c r="B1188" s="12" t="n">
        <v>21.3</v>
      </c>
      <c r="C1188" s="12" t="n">
        <f aca="false">IF(NOT(ISNUMBER(B1188)),"",ROUND((INDEX(BP!$D$5:$D$9,MATCH(B1188,BP!$A$5:$A$9,1))-INDEX(BP!$C$5:$C$9,MATCH(B1188,BP!$A$5:$A$9,1)))/(INDEX(BP!$B$5:$B$9,MATCH(B1188,BP!$A$5:$A$9,1))-INDEX(BP!$A$5:$A$9,MATCH(B1188,BP!$A$5:$A$9,1)))*(B1188-INDEX(BP!$A$5:$A$9,MATCH(B1188,BP!$A$5:$A$9,1)))+INDEX(BP!$C$5:$C$9,MATCH(B1188,BP!$A$5:$A$9,1)),0))</f>
        <v>41</v>
      </c>
      <c r="D1188" s="12" t="str">
        <f aca="false">IF(NOT(ISNUMBER(C1188)),"",INDEX(BP!$F$5:$F$9,MATCH(C1188,BP!$E$5:$E$9,1)))</f>
        <v>ดี</v>
      </c>
      <c r="E1188" s="12" t="n">
        <f aca="false">YEAR(A1188)</f>
        <v>2024</v>
      </c>
      <c r="F1188" s="12" t="n">
        <f aca="false">MONTH(A1188)</f>
        <v>4</v>
      </c>
      <c r="G1188" s="12" t="n">
        <v>13</v>
      </c>
      <c r="H1188" s="12" t="n">
        <v>31.3</v>
      </c>
      <c r="I1188" s="12" t="n">
        <v>58</v>
      </c>
      <c r="J1188" s="12" t="n">
        <v>0.1</v>
      </c>
      <c r="K1188" s="12" t="n">
        <v>0</v>
      </c>
      <c r="L1188" s="12" t="s">
        <v>36</v>
      </c>
    </row>
    <row r="1189" customFormat="false" ht="15" hidden="false" customHeight="false" outlineLevel="0" collapsed="false">
      <c r="A1189" s="11" t="n">
        <v>45384</v>
      </c>
      <c r="B1189" s="12" t="n">
        <v>23</v>
      </c>
      <c r="C1189" s="12" t="n">
        <f aca="false">IF(NOT(ISNUMBER(B1189)),"",ROUND((INDEX(BP!$D$5:$D$9,MATCH(B1189,BP!$A$5:$A$9,1))-INDEX(BP!$C$5:$C$9,MATCH(B1189,BP!$A$5:$A$9,1)))/(INDEX(BP!$B$5:$B$9,MATCH(B1189,BP!$A$5:$A$9,1))-INDEX(BP!$A$5:$A$9,MATCH(B1189,BP!$A$5:$A$9,1)))*(B1189-INDEX(BP!$A$5:$A$9,MATCH(B1189,BP!$A$5:$A$9,1)))+INDEX(BP!$C$5:$C$9,MATCH(B1189,BP!$A$5:$A$9,1)),0))</f>
        <v>45</v>
      </c>
      <c r="D1189" s="12" t="str">
        <f aca="false">IF(NOT(ISNUMBER(C1189)),"",INDEX(BP!$F$5:$F$9,MATCH(C1189,BP!$E$5:$E$9,1)))</f>
        <v>ดี</v>
      </c>
      <c r="E1189" s="12" t="n">
        <f aca="false">YEAR(A1189)</f>
        <v>2024</v>
      </c>
      <c r="F1189" s="12" t="n">
        <f aca="false">MONTH(A1189)</f>
        <v>4</v>
      </c>
      <c r="G1189" s="12" t="n">
        <v>17.1</v>
      </c>
      <c r="H1189" s="12" t="n">
        <v>39.2</v>
      </c>
      <c r="I1189" s="12" t="n">
        <v>97</v>
      </c>
      <c r="J1189" s="12" t="n">
        <v>0.2</v>
      </c>
      <c r="K1189" s="12" t="n">
        <v>0</v>
      </c>
      <c r="L1189" s="12" t="s">
        <v>36</v>
      </c>
    </row>
    <row r="1190" customFormat="false" ht="15" hidden="false" customHeight="false" outlineLevel="0" collapsed="false">
      <c r="A1190" s="11" t="n">
        <v>45385</v>
      </c>
      <c r="B1190" s="12" t="n">
        <v>16.4</v>
      </c>
      <c r="C1190" s="12" t="n">
        <f aca="false">IF(NOT(ISNUMBER(B1190)),"",ROUND((INDEX(BP!$D$5:$D$9,MATCH(B1190,BP!$A$5:$A$9,1))-INDEX(BP!$C$5:$C$9,MATCH(B1190,BP!$A$5:$A$9,1)))/(INDEX(BP!$B$5:$B$9,MATCH(B1190,BP!$A$5:$A$9,1))-INDEX(BP!$A$5:$A$9,MATCH(B1190,BP!$A$5:$A$9,1)))*(B1190-INDEX(BP!$A$5:$A$9,MATCH(B1190,BP!$A$5:$A$9,1)))+INDEX(BP!$C$5:$C$9,MATCH(B1190,BP!$A$5:$A$9,1)),0))</f>
        <v>29</v>
      </c>
      <c r="D1190" s="12" t="str">
        <f aca="false">IF(NOT(ISNUMBER(C1190)),"",INDEX(BP!$F$5:$F$9,MATCH(C1190,BP!$E$5:$E$9,1)))</f>
        <v>ดี</v>
      </c>
      <c r="E1190" s="12" t="n">
        <f aca="false">YEAR(A1190)</f>
        <v>2024</v>
      </c>
      <c r="F1190" s="12" t="n">
        <f aca="false">MONTH(A1190)</f>
        <v>4</v>
      </c>
      <c r="G1190" s="12" t="n">
        <v>14.8</v>
      </c>
      <c r="H1190" s="12" t="n">
        <v>36.7</v>
      </c>
      <c r="I1190" s="12" t="n">
        <v>94</v>
      </c>
      <c r="J1190" s="12" t="n">
        <v>0</v>
      </c>
      <c r="K1190" s="12" t="n">
        <v>0</v>
      </c>
      <c r="L1190" s="12" t="s">
        <v>36</v>
      </c>
    </row>
    <row r="1191" customFormat="false" ht="15" hidden="false" customHeight="false" outlineLevel="0" collapsed="false">
      <c r="A1191" s="11" t="n">
        <v>45386</v>
      </c>
      <c r="B1191" s="12" t="n">
        <v>19.8</v>
      </c>
      <c r="C1191" s="12" t="n">
        <f aca="false">IF(NOT(ISNUMBER(B1191)),"",ROUND((INDEX(BP!$D$5:$D$9,MATCH(B1191,BP!$A$5:$A$9,1))-INDEX(BP!$C$5:$C$9,MATCH(B1191,BP!$A$5:$A$9,1)))/(INDEX(BP!$B$5:$B$9,MATCH(B1191,BP!$A$5:$A$9,1))-INDEX(BP!$A$5:$A$9,MATCH(B1191,BP!$A$5:$A$9,1)))*(B1191-INDEX(BP!$A$5:$A$9,MATCH(B1191,BP!$A$5:$A$9,1)))+INDEX(BP!$C$5:$C$9,MATCH(B1191,BP!$A$5:$A$9,1)),0))</f>
        <v>37</v>
      </c>
      <c r="D1191" s="12" t="str">
        <f aca="false">IF(NOT(ISNUMBER(C1191)),"",INDEX(BP!$F$5:$F$9,MATCH(C1191,BP!$E$5:$E$9,1)))</f>
        <v>ดี</v>
      </c>
      <c r="E1191" s="12" t="n">
        <f aca="false">YEAR(A1191)</f>
        <v>2024</v>
      </c>
      <c r="F1191" s="12" t="n">
        <f aca="false">MONTH(A1191)</f>
        <v>4</v>
      </c>
      <c r="G1191" s="12" t="n">
        <v>15.6</v>
      </c>
      <c r="H1191" s="12" t="n">
        <v>36.7</v>
      </c>
      <c r="I1191" s="12" t="n">
        <v>85</v>
      </c>
      <c r="J1191" s="12" t="n">
        <v>0</v>
      </c>
      <c r="K1191" s="12" t="n">
        <v>0</v>
      </c>
      <c r="L1191" s="12" t="s">
        <v>36</v>
      </c>
    </row>
    <row r="1192" customFormat="false" ht="15" hidden="false" customHeight="false" outlineLevel="0" collapsed="false">
      <c r="A1192" s="11" t="n">
        <v>45387</v>
      </c>
      <c r="B1192" s="12" t="n">
        <v>25.4</v>
      </c>
      <c r="C1192" s="12" t="n">
        <f aca="false">IF(NOT(ISNUMBER(B1192)),"",ROUND((INDEX(BP!$D$5:$D$9,MATCH(B1192,BP!$A$5:$A$9,1))-INDEX(BP!$C$5:$C$9,MATCH(B1192,BP!$A$5:$A$9,1)))/(INDEX(BP!$B$5:$B$9,MATCH(B1192,BP!$A$5:$A$9,1))-INDEX(BP!$A$5:$A$9,MATCH(B1192,BP!$A$5:$A$9,1)))*(B1192-INDEX(BP!$A$5:$A$9,MATCH(B1192,BP!$A$5:$A$9,1)))+INDEX(BP!$C$5:$C$9,MATCH(B1192,BP!$A$5:$A$9,1)),0))</f>
        <v>52</v>
      </c>
      <c r="D1192" s="12" t="str">
        <f aca="false">IF(NOT(ISNUMBER(C1192)),"",INDEX(BP!$F$5:$F$9,MATCH(C1192,BP!$E$5:$E$9,1)))</f>
        <v>ปานกลาง</v>
      </c>
      <c r="E1192" s="12" t="n">
        <f aca="false">YEAR(A1192)</f>
        <v>2024</v>
      </c>
      <c r="F1192" s="12" t="n">
        <f aca="false">MONTH(A1192)</f>
        <v>4</v>
      </c>
      <c r="G1192" s="12" t="n">
        <v>15.3</v>
      </c>
      <c r="H1192" s="12" t="n">
        <v>37.4</v>
      </c>
      <c r="I1192" s="12" t="n">
        <v>76</v>
      </c>
      <c r="J1192" s="12" t="n">
        <v>0</v>
      </c>
      <c r="K1192" s="12" t="n">
        <v>0</v>
      </c>
      <c r="L1192" s="12" t="s">
        <v>36</v>
      </c>
    </row>
    <row r="1193" customFormat="false" ht="15" hidden="false" customHeight="false" outlineLevel="0" collapsed="false">
      <c r="A1193" s="11" t="n">
        <v>45388</v>
      </c>
      <c r="B1193" s="12" t="n">
        <v>25.8</v>
      </c>
      <c r="C1193" s="12" t="n">
        <f aca="false">IF(NOT(ISNUMBER(B1193)),"",ROUND((INDEX(BP!$D$5:$D$9,MATCH(B1193,BP!$A$5:$A$9,1))-INDEX(BP!$C$5:$C$9,MATCH(B1193,BP!$A$5:$A$9,1)))/(INDEX(BP!$B$5:$B$9,MATCH(B1193,BP!$A$5:$A$9,1))-INDEX(BP!$A$5:$A$9,MATCH(B1193,BP!$A$5:$A$9,1)))*(B1193-INDEX(BP!$A$5:$A$9,MATCH(B1193,BP!$A$5:$A$9,1)))+INDEX(BP!$C$5:$C$9,MATCH(B1193,BP!$A$5:$A$9,1)),0))</f>
        <v>54</v>
      </c>
      <c r="D1193" s="12" t="str">
        <f aca="false">IF(NOT(ISNUMBER(C1193)),"",INDEX(BP!$F$5:$F$9,MATCH(C1193,BP!$E$5:$E$9,1)))</f>
        <v>ปานกลาง</v>
      </c>
      <c r="E1193" s="12" t="n">
        <f aca="false">YEAR(A1193)</f>
        <v>2024</v>
      </c>
      <c r="F1193" s="12" t="n">
        <f aca="false">MONTH(A1193)</f>
        <v>4</v>
      </c>
      <c r="G1193" s="12" t="n">
        <v>16.3</v>
      </c>
      <c r="H1193" s="12" t="n">
        <v>38.9</v>
      </c>
      <c r="I1193" s="12" t="n">
        <v>87</v>
      </c>
      <c r="J1193" s="12" t="n">
        <v>0</v>
      </c>
      <c r="K1193" s="12" t="n">
        <v>0</v>
      </c>
      <c r="L1193" s="12" t="s">
        <v>34</v>
      </c>
    </row>
    <row r="1194" customFormat="false" ht="15" hidden="false" customHeight="false" outlineLevel="0" collapsed="false">
      <c r="A1194" s="11" t="n">
        <v>45389</v>
      </c>
      <c r="B1194" s="12" t="n">
        <v>19.5</v>
      </c>
      <c r="C1194" s="12" t="n">
        <f aca="false">IF(NOT(ISNUMBER(B1194)),"",ROUND((INDEX(BP!$D$5:$D$9,MATCH(B1194,BP!$A$5:$A$9,1))-INDEX(BP!$C$5:$C$9,MATCH(B1194,BP!$A$5:$A$9,1)))/(INDEX(BP!$B$5:$B$9,MATCH(B1194,BP!$A$5:$A$9,1))-INDEX(BP!$A$5:$A$9,MATCH(B1194,BP!$A$5:$A$9,1)))*(B1194-INDEX(BP!$A$5:$A$9,MATCH(B1194,BP!$A$5:$A$9,1)))+INDEX(BP!$C$5:$C$9,MATCH(B1194,BP!$A$5:$A$9,1)),0))</f>
        <v>37</v>
      </c>
      <c r="D1194" s="12" t="str">
        <f aca="false">IF(NOT(ISNUMBER(C1194)),"",INDEX(BP!$F$5:$F$9,MATCH(C1194,BP!$E$5:$E$9,1)))</f>
        <v>ดี</v>
      </c>
      <c r="E1194" s="12" t="n">
        <f aca="false">YEAR(A1194)</f>
        <v>2024</v>
      </c>
      <c r="F1194" s="12" t="n">
        <f aca="false">MONTH(A1194)</f>
        <v>4</v>
      </c>
      <c r="G1194" s="12" t="n">
        <v>17.2</v>
      </c>
      <c r="H1194" s="12" t="n">
        <v>40</v>
      </c>
      <c r="I1194" s="12" t="n">
        <v>70</v>
      </c>
      <c r="J1194" s="12" t="n">
        <v>0</v>
      </c>
      <c r="K1194" s="12" t="n">
        <v>0</v>
      </c>
      <c r="L1194" s="12" t="s">
        <v>35</v>
      </c>
    </row>
    <row r="1195" customFormat="false" ht="15" hidden="false" customHeight="false" outlineLevel="0" collapsed="false">
      <c r="A1195" s="11" t="n">
        <v>45390</v>
      </c>
      <c r="B1195" s="12" t="n">
        <v>20.5</v>
      </c>
      <c r="C1195" s="12" t="n">
        <f aca="false">IF(NOT(ISNUMBER(B1195)),"",ROUND((INDEX(BP!$D$5:$D$9,MATCH(B1195,BP!$A$5:$A$9,1))-INDEX(BP!$C$5:$C$9,MATCH(B1195,BP!$A$5:$A$9,1)))/(INDEX(BP!$B$5:$B$9,MATCH(B1195,BP!$A$5:$A$9,1))-INDEX(BP!$A$5:$A$9,MATCH(B1195,BP!$A$5:$A$9,1)))*(B1195-INDEX(BP!$A$5:$A$9,MATCH(B1195,BP!$A$5:$A$9,1)))+INDEX(BP!$C$5:$C$9,MATCH(B1195,BP!$A$5:$A$9,1)),0))</f>
        <v>39</v>
      </c>
      <c r="D1195" s="12" t="str">
        <f aca="false">IF(NOT(ISNUMBER(C1195)),"",INDEX(BP!$F$5:$F$9,MATCH(C1195,BP!$E$5:$E$9,1)))</f>
        <v>ดี</v>
      </c>
      <c r="E1195" s="12" t="n">
        <f aca="false">YEAR(A1195)</f>
        <v>2024</v>
      </c>
      <c r="F1195" s="12" t="n">
        <f aca="false">MONTH(A1195)</f>
        <v>4</v>
      </c>
      <c r="G1195" s="12" t="n">
        <v>16.1</v>
      </c>
      <c r="H1195" s="12" t="n">
        <v>38.5</v>
      </c>
      <c r="I1195" s="12" t="n">
        <v>79</v>
      </c>
      <c r="J1195" s="12" t="n">
        <v>0.8</v>
      </c>
      <c r="K1195" s="12" t="n">
        <v>0</v>
      </c>
      <c r="L1195" s="12" t="s">
        <v>34</v>
      </c>
    </row>
    <row r="1196" customFormat="false" ht="15" hidden="false" customHeight="false" outlineLevel="0" collapsed="false">
      <c r="A1196" s="11" t="n">
        <v>45391</v>
      </c>
      <c r="B1196" s="12" t="n">
        <v>17.2</v>
      </c>
      <c r="C1196" s="12" t="n">
        <f aca="false">IF(NOT(ISNUMBER(B1196)),"",ROUND((INDEX(BP!$D$5:$D$9,MATCH(B1196,BP!$A$5:$A$9,1))-INDEX(BP!$C$5:$C$9,MATCH(B1196,BP!$A$5:$A$9,1)))/(INDEX(BP!$B$5:$B$9,MATCH(B1196,BP!$A$5:$A$9,1))-INDEX(BP!$A$5:$A$9,MATCH(B1196,BP!$A$5:$A$9,1)))*(B1196-INDEX(BP!$A$5:$A$9,MATCH(B1196,BP!$A$5:$A$9,1)))+INDEX(BP!$C$5:$C$9,MATCH(B1196,BP!$A$5:$A$9,1)),0))</f>
        <v>31</v>
      </c>
      <c r="D1196" s="12" t="str">
        <f aca="false">IF(NOT(ISNUMBER(C1196)),"",INDEX(BP!$F$5:$F$9,MATCH(C1196,BP!$E$5:$E$9,1)))</f>
        <v>ดี</v>
      </c>
      <c r="E1196" s="12" t="n">
        <f aca="false">YEAR(A1196)</f>
        <v>2024</v>
      </c>
      <c r="F1196" s="12" t="n">
        <f aca="false">MONTH(A1196)</f>
        <v>4</v>
      </c>
      <c r="G1196" s="12" t="n">
        <v>16.2</v>
      </c>
      <c r="H1196" s="12" t="n">
        <v>39.6</v>
      </c>
      <c r="I1196" s="12" t="n">
        <v>82</v>
      </c>
      <c r="J1196" s="12" t="n">
        <v>0.6</v>
      </c>
      <c r="K1196" s="12" t="n">
        <v>0</v>
      </c>
      <c r="L1196" s="12" t="s">
        <v>36</v>
      </c>
    </row>
    <row r="1197" customFormat="false" ht="15" hidden="false" customHeight="false" outlineLevel="0" collapsed="false">
      <c r="A1197" s="11" t="n">
        <v>45392</v>
      </c>
      <c r="B1197" s="12" t="n">
        <v>15.8</v>
      </c>
      <c r="C1197" s="12" t="n">
        <f aca="false">IF(NOT(ISNUMBER(B1197)),"",ROUND((INDEX(BP!$D$5:$D$9,MATCH(B1197,BP!$A$5:$A$9,1))-INDEX(BP!$C$5:$C$9,MATCH(B1197,BP!$A$5:$A$9,1)))/(INDEX(BP!$B$5:$B$9,MATCH(B1197,BP!$A$5:$A$9,1))-INDEX(BP!$A$5:$A$9,MATCH(B1197,BP!$A$5:$A$9,1)))*(B1197-INDEX(BP!$A$5:$A$9,MATCH(B1197,BP!$A$5:$A$9,1)))+INDEX(BP!$C$5:$C$9,MATCH(B1197,BP!$A$5:$A$9,1)),0))</f>
        <v>28</v>
      </c>
      <c r="D1197" s="12" t="str">
        <f aca="false">IF(NOT(ISNUMBER(C1197)),"",INDEX(BP!$F$5:$F$9,MATCH(C1197,BP!$E$5:$E$9,1)))</f>
        <v>ดี</v>
      </c>
      <c r="E1197" s="12" t="n">
        <f aca="false">YEAR(A1197)</f>
        <v>2024</v>
      </c>
      <c r="F1197" s="12" t="n">
        <f aca="false">MONTH(A1197)</f>
        <v>4</v>
      </c>
      <c r="G1197" s="12" t="n">
        <v>20.9</v>
      </c>
      <c r="H1197" s="12" t="n">
        <v>46.4</v>
      </c>
      <c r="I1197" s="12" t="n">
        <v>84</v>
      </c>
      <c r="J1197" s="12" t="n">
        <v>0.8</v>
      </c>
      <c r="K1197" s="12" t="n">
        <v>0</v>
      </c>
      <c r="L1197" s="12" t="s">
        <v>36</v>
      </c>
    </row>
    <row r="1198" customFormat="false" ht="15" hidden="false" customHeight="false" outlineLevel="0" collapsed="false">
      <c r="A1198" s="11" t="n">
        <v>45393</v>
      </c>
      <c r="B1198" s="12" t="n">
        <v>18.6</v>
      </c>
      <c r="C1198" s="12" t="n">
        <f aca="false">IF(NOT(ISNUMBER(B1198)),"",ROUND((INDEX(BP!$D$5:$D$9,MATCH(B1198,BP!$A$5:$A$9,1))-INDEX(BP!$C$5:$C$9,MATCH(B1198,BP!$A$5:$A$9,1)))/(INDEX(BP!$B$5:$B$9,MATCH(B1198,BP!$A$5:$A$9,1))-INDEX(BP!$A$5:$A$9,MATCH(B1198,BP!$A$5:$A$9,1)))*(B1198-INDEX(BP!$A$5:$A$9,MATCH(B1198,BP!$A$5:$A$9,1)))+INDEX(BP!$C$5:$C$9,MATCH(B1198,BP!$A$5:$A$9,1)),0))</f>
        <v>34</v>
      </c>
      <c r="D1198" s="12" t="str">
        <f aca="false">IF(NOT(ISNUMBER(C1198)),"",INDEX(BP!$F$5:$F$9,MATCH(C1198,BP!$E$5:$E$9,1)))</f>
        <v>ดี</v>
      </c>
      <c r="E1198" s="12" t="n">
        <f aca="false">YEAR(A1198)</f>
        <v>2024</v>
      </c>
      <c r="F1198" s="12" t="n">
        <f aca="false">MONTH(A1198)</f>
        <v>4</v>
      </c>
      <c r="G1198" s="12" t="n">
        <v>24.9</v>
      </c>
      <c r="H1198" s="12" t="n">
        <v>53.6</v>
      </c>
      <c r="I1198" s="12" t="n">
        <v>85</v>
      </c>
      <c r="J1198" s="12" t="n">
        <v>0.7</v>
      </c>
      <c r="K1198" s="12" t="n">
        <v>0</v>
      </c>
      <c r="L1198" s="12" t="s">
        <v>36</v>
      </c>
    </row>
    <row r="1199" customFormat="false" ht="15" hidden="false" customHeight="false" outlineLevel="0" collapsed="false">
      <c r="A1199" s="11" t="n">
        <v>45394</v>
      </c>
      <c r="B1199" s="12" t="n">
        <v>18.3</v>
      </c>
      <c r="C1199" s="12" t="n">
        <f aca="false">IF(NOT(ISNUMBER(B1199)),"",ROUND((INDEX(BP!$D$5:$D$9,MATCH(B1199,BP!$A$5:$A$9,1))-INDEX(BP!$C$5:$C$9,MATCH(B1199,BP!$A$5:$A$9,1)))/(INDEX(BP!$B$5:$B$9,MATCH(B1199,BP!$A$5:$A$9,1))-INDEX(BP!$A$5:$A$9,MATCH(B1199,BP!$A$5:$A$9,1)))*(B1199-INDEX(BP!$A$5:$A$9,MATCH(B1199,BP!$A$5:$A$9,1)))+INDEX(BP!$C$5:$C$9,MATCH(B1199,BP!$A$5:$A$9,1)),0))</f>
        <v>34</v>
      </c>
      <c r="D1199" s="12" t="str">
        <f aca="false">IF(NOT(ISNUMBER(C1199)),"",INDEX(BP!$F$5:$F$9,MATCH(C1199,BP!$E$5:$E$9,1)))</f>
        <v>ดี</v>
      </c>
      <c r="E1199" s="12" t="n">
        <f aca="false">YEAR(A1199)</f>
        <v>2024</v>
      </c>
      <c r="F1199" s="12" t="n">
        <f aca="false">MONTH(A1199)</f>
        <v>4</v>
      </c>
      <c r="G1199" s="12" t="n">
        <v>21.1</v>
      </c>
      <c r="H1199" s="12" t="n">
        <v>47.2</v>
      </c>
      <c r="I1199" s="12" t="n">
        <v>82</v>
      </c>
      <c r="J1199" s="12" t="n">
        <v>0.4</v>
      </c>
      <c r="K1199" s="12" t="n">
        <v>0</v>
      </c>
      <c r="L1199" s="12" t="s">
        <v>34</v>
      </c>
    </row>
    <row r="1200" customFormat="false" ht="15" hidden="false" customHeight="false" outlineLevel="0" collapsed="false">
      <c r="A1200" s="11" t="n">
        <v>45395</v>
      </c>
      <c r="B1200" s="12" t="n">
        <v>22.7</v>
      </c>
      <c r="C1200" s="12" t="n">
        <f aca="false">IF(NOT(ISNUMBER(B1200)),"",ROUND((INDEX(BP!$D$5:$D$9,MATCH(B1200,BP!$A$5:$A$9,1))-INDEX(BP!$C$5:$C$9,MATCH(B1200,BP!$A$5:$A$9,1)))/(INDEX(BP!$B$5:$B$9,MATCH(B1200,BP!$A$5:$A$9,1))-INDEX(BP!$A$5:$A$9,MATCH(B1200,BP!$A$5:$A$9,1)))*(B1200-INDEX(BP!$A$5:$A$9,MATCH(B1200,BP!$A$5:$A$9,1)))+INDEX(BP!$C$5:$C$9,MATCH(B1200,BP!$A$5:$A$9,1)),0))</f>
        <v>44</v>
      </c>
      <c r="D1200" s="12" t="str">
        <f aca="false">IF(NOT(ISNUMBER(C1200)),"",INDEX(BP!$F$5:$F$9,MATCH(C1200,BP!$E$5:$E$9,1)))</f>
        <v>ดี</v>
      </c>
      <c r="E1200" s="12" t="n">
        <f aca="false">YEAR(A1200)</f>
        <v>2024</v>
      </c>
      <c r="F1200" s="12" t="n">
        <f aca="false">MONTH(A1200)</f>
        <v>4</v>
      </c>
      <c r="G1200" s="12" t="n">
        <v>17.4</v>
      </c>
      <c r="H1200" s="12" t="n">
        <v>42.1</v>
      </c>
      <c r="I1200" s="12" t="n">
        <v>78</v>
      </c>
      <c r="J1200" s="12" t="n">
        <v>0.1</v>
      </c>
      <c r="K1200" s="12" t="n">
        <v>0</v>
      </c>
      <c r="L1200" s="12" t="s">
        <v>34</v>
      </c>
    </row>
    <row r="1201" customFormat="false" ht="15" hidden="false" customHeight="false" outlineLevel="0" collapsed="false">
      <c r="A1201" s="11" t="n">
        <v>45396</v>
      </c>
      <c r="B1201" s="12" t="n">
        <v>24.4</v>
      </c>
      <c r="C1201" s="12" t="n">
        <f aca="false">IF(NOT(ISNUMBER(B1201)),"",ROUND((INDEX(BP!$D$5:$D$9,MATCH(B1201,BP!$A$5:$A$9,1))-INDEX(BP!$C$5:$C$9,MATCH(B1201,BP!$A$5:$A$9,1)))/(INDEX(BP!$B$5:$B$9,MATCH(B1201,BP!$A$5:$A$9,1))-INDEX(BP!$A$5:$A$9,MATCH(B1201,BP!$A$5:$A$9,1)))*(B1201-INDEX(BP!$A$5:$A$9,MATCH(B1201,BP!$A$5:$A$9,1)))+INDEX(BP!$C$5:$C$9,MATCH(B1201,BP!$A$5:$A$9,1)),0))</f>
        <v>49</v>
      </c>
      <c r="D1201" s="12" t="str">
        <f aca="false">IF(NOT(ISNUMBER(C1201)),"",INDEX(BP!$F$5:$F$9,MATCH(C1201,BP!$E$5:$E$9,1)))</f>
        <v>ดี</v>
      </c>
      <c r="E1201" s="12" t="n">
        <f aca="false">YEAR(A1201)</f>
        <v>2024</v>
      </c>
      <c r="F1201" s="12" t="n">
        <f aca="false">MONTH(A1201)</f>
        <v>4</v>
      </c>
      <c r="G1201" s="12" t="n">
        <v>17.5</v>
      </c>
      <c r="H1201" s="12" t="n">
        <v>41</v>
      </c>
      <c r="I1201" s="12" t="n">
        <v>78</v>
      </c>
      <c r="J1201" s="12" t="n">
        <v>0.4</v>
      </c>
      <c r="K1201" s="12" t="n">
        <v>0</v>
      </c>
      <c r="L1201" s="12" t="s">
        <v>34</v>
      </c>
    </row>
    <row r="1202" customFormat="false" ht="15" hidden="false" customHeight="false" outlineLevel="0" collapsed="false">
      <c r="A1202" s="11" t="n">
        <v>45397</v>
      </c>
      <c r="B1202" s="12" t="n">
        <v>17.7</v>
      </c>
      <c r="C1202" s="12" t="n">
        <f aca="false">IF(NOT(ISNUMBER(B1202)),"",ROUND((INDEX(BP!$D$5:$D$9,MATCH(B1202,BP!$A$5:$A$9,1))-INDEX(BP!$C$5:$C$9,MATCH(B1202,BP!$A$5:$A$9,1)))/(INDEX(BP!$B$5:$B$9,MATCH(B1202,BP!$A$5:$A$9,1))-INDEX(BP!$A$5:$A$9,MATCH(B1202,BP!$A$5:$A$9,1)))*(B1202-INDEX(BP!$A$5:$A$9,MATCH(B1202,BP!$A$5:$A$9,1)))+INDEX(BP!$C$5:$C$9,MATCH(B1202,BP!$A$5:$A$9,1)),0))</f>
        <v>32</v>
      </c>
      <c r="D1202" s="12" t="str">
        <f aca="false">IF(NOT(ISNUMBER(C1202)),"",INDEX(BP!$F$5:$F$9,MATCH(C1202,BP!$E$5:$E$9,1)))</f>
        <v>ดี</v>
      </c>
      <c r="E1202" s="12" t="n">
        <f aca="false">YEAR(A1202)</f>
        <v>2024</v>
      </c>
      <c r="F1202" s="12" t="n">
        <f aca="false">MONTH(A1202)</f>
        <v>4</v>
      </c>
      <c r="G1202" s="12" t="n">
        <v>18.8</v>
      </c>
      <c r="H1202" s="12" t="n">
        <v>43.2</v>
      </c>
      <c r="I1202" s="12" t="n">
        <v>82</v>
      </c>
      <c r="J1202" s="12" t="n">
        <v>0</v>
      </c>
      <c r="K1202" s="12" t="n">
        <v>0</v>
      </c>
      <c r="L1202" s="12" t="s">
        <v>34</v>
      </c>
    </row>
    <row r="1203" customFormat="false" ht="15" hidden="false" customHeight="false" outlineLevel="0" collapsed="false">
      <c r="A1203" s="11" t="n">
        <v>45398</v>
      </c>
      <c r="B1203" s="12" t="n">
        <v>15.8</v>
      </c>
      <c r="C1203" s="12" t="n">
        <f aca="false">IF(NOT(ISNUMBER(B1203)),"",ROUND((INDEX(BP!$D$5:$D$9,MATCH(B1203,BP!$A$5:$A$9,1))-INDEX(BP!$C$5:$C$9,MATCH(B1203,BP!$A$5:$A$9,1)))/(INDEX(BP!$B$5:$B$9,MATCH(B1203,BP!$A$5:$A$9,1))-INDEX(BP!$A$5:$A$9,MATCH(B1203,BP!$A$5:$A$9,1)))*(B1203-INDEX(BP!$A$5:$A$9,MATCH(B1203,BP!$A$5:$A$9,1)))+INDEX(BP!$C$5:$C$9,MATCH(B1203,BP!$A$5:$A$9,1)),0))</f>
        <v>28</v>
      </c>
      <c r="D1203" s="12" t="str">
        <f aca="false">IF(NOT(ISNUMBER(C1203)),"",INDEX(BP!$F$5:$F$9,MATCH(C1203,BP!$E$5:$E$9,1)))</f>
        <v>ดี</v>
      </c>
      <c r="E1203" s="12" t="n">
        <f aca="false">YEAR(A1203)</f>
        <v>2024</v>
      </c>
      <c r="F1203" s="12" t="n">
        <f aca="false">MONTH(A1203)</f>
        <v>4</v>
      </c>
      <c r="G1203" s="12" t="n">
        <v>16.4</v>
      </c>
      <c r="H1203" s="12" t="n">
        <v>39.2</v>
      </c>
      <c r="I1203" s="12" t="n">
        <v>76</v>
      </c>
      <c r="J1203" s="12" t="n">
        <v>0.1</v>
      </c>
      <c r="K1203" s="12" t="n">
        <v>0</v>
      </c>
      <c r="L1203" s="12" t="s">
        <v>34</v>
      </c>
    </row>
    <row r="1204" customFormat="false" ht="15" hidden="false" customHeight="false" outlineLevel="0" collapsed="false">
      <c r="A1204" s="11" t="n">
        <v>45399</v>
      </c>
      <c r="B1204" s="12" t="n">
        <v>13.7</v>
      </c>
      <c r="C1204" s="12" t="n">
        <f aca="false">IF(NOT(ISNUMBER(B1204)),"",ROUND((INDEX(BP!$D$5:$D$9,MATCH(B1204,BP!$A$5:$A$9,1))-INDEX(BP!$C$5:$C$9,MATCH(B1204,BP!$A$5:$A$9,1)))/(INDEX(BP!$B$5:$B$9,MATCH(B1204,BP!$A$5:$A$9,1))-INDEX(BP!$A$5:$A$9,MATCH(B1204,BP!$A$5:$A$9,1)))*(B1204-INDEX(BP!$A$5:$A$9,MATCH(B1204,BP!$A$5:$A$9,1)))+INDEX(BP!$C$5:$C$9,MATCH(B1204,BP!$A$5:$A$9,1)),0))</f>
        <v>23</v>
      </c>
      <c r="D1204" s="12" t="str">
        <f aca="false">IF(NOT(ISNUMBER(C1204)),"",INDEX(BP!$F$5:$F$9,MATCH(C1204,BP!$E$5:$E$9,1)))</f>
        <v>ดีมาก</v>
      </c>
      <c r="E1204" s="12" t="n">
        <f aca="false">YEAR(A1204)</f>
        <v>2024</v>
      </c>
      <c r="F1204" s="12" t="n">
        <f aca="false">MONTH(A1204)</f>
        <v>4</v>
      </c>
      <c r="G1204" s="12" t="n">
        <v>17.6</v>
      </c>
      <c r="H1204" s="12" t="n">
        <v>38.5</v>
      </c>
      <c r="I1204" s="12" t="n">
        <v>91</v>
      </c>
      <c r="J1204" s="12" t="n">
        <v>2.1</v>
      </c>
      <c r="K1204" s="12" t="n">
        <v>0</v>
      </c>
      <c r="L1204" s="12" t="s">
        <v>36</v>
      </c>
    </row>
    <row r="1205" customFormat="false" ht="15" hidden="false" customHeight="false" outlineLevel="0" collapsed="false">
      <c r="A1205" s="11" t="n">
        <v>45400</v>
      </c>
      <c r="B1205" s="12" t="n">
        <v>20.7</v>
      </c>
      <c r="C1205" s="12" t="n">
        <f aca="false">IF(NOT(ISNUMBER(B1205)),"",ROUND((INDEX(BP!$D$5:$D$9,MATCH(B1205,BP!$A$5:$A$9,1))-INDEX(BP!$C$5:$C$9,MATCH(B1205,BP!$A$5:$A$9,1)))/(INDEX(BP!$B$5:$B$9,MATCH(B1205,BP!$A$5:$A$9,1))-INDEX(BP!$A$5:$A$9,MATCH(B1205,BP!$A$5:$A$9,1)))*(B1205-INDEX(BP!$A$5:$A$9,MATCH(B1205,BP!$A$5:$A$9,1)))+INDEX(BP!$C$5:$C$9,MATCH(B1205,BP!$A$5:$A$9,1)),0))</f>
        <v>40</v>
      </c>
      <c r="D1205" s="12" t="str">
        <f aca="false">IF(NOT(ISNUMBER(C1205)),"",INDEX(BP!$F$5:$F$9,MATCH(C1205,BP!$E$5:$E$9,1)))</f>
        <v>ดี</v>
      </c>
      <c r="E1205" s="12" t="n">
        <f aca="false">YEAR(A1205)</f>
        <v>2024</v>
      </c>
      <c r="F1205" s="12" t="n">
        <f aca="false">MONTH(A1205)</f>
        <v>4</v>
      </c>
      <c r="G1205" s="12" t="n">
        <v>15.1</v>
      </c>
      <c r="H1205" s="12" t="n">
        <v>37.1</v>
      </c>
      <c r="I1205" s="12" t="n">
        <v>82</v>
      </c>
      <c r="J1205" s="12" t="n">
        <v>0</v>
      </c>
      <c r="K1205" s="12" t="n">
        <v>0</v>
      </c>
      <c r="L1205" s="12" t="s">
        <v>36</v>
      </c>
    </row>
    <row r="1206" customFormat="false" ht="15" hidden="false" customHeight="false" outlineLevel="0" collapsed="false">
      <c r="A1206" s="11" t="n">
        <v>45401</v>
      </c>
      <c r="B1206" s="12" t="n">
        <v>24.2</v>
      </c>
      <c r="C1206" s="12" t="n">
        <f aca="false">IF(NOT(ISNUMBER(B1206)),"",ROUND((INDEX(BP!$D$5:$D$9,MATCH(B1206,BP!$A$5:$A$9,1))-INDEX(BP!$C$5:$C$9,MATCH(B1206,BP!$A$5:$A$9,1)))/(INDEX(BP!$B$5:$B$9,MATCH(B1206,BP!$A$5:$A$9,1))-INDEX(BP!$A$5:$A$9,MATCH(B1206,BP!$A$5:$A$9,1)))*(B1206-INDEX(BP!$A$5:$A$9,MATCH(B1206,BP!$A$5:$A$9,1)))+INDEX(BP!$C$5:$C$9,MATCH(B1206,BP!$A$5:$A$9,1)),0))</f>
        <v>48</v>
      </c>
      <c r="D1206" s="12" t="str">
        <f aca="false">IF(NOT(ISNUMBER(C1206)),"",INDEX(BP!$F$5:$F$9,MATCH(C1206,BP!$E$5:$E$9,1)))</f>
        <v>ดี</v>
      </c>
      <c r="E1206" s="12" t="n">
        <f aca="false">YEAR(A1206)</f>
        <v>2024</v>
      </c>
      <c r="F1206" s="12" t="n">
        <f aca="false">MONTH(A1206)</f>
        <v>4</v>
      </c>
      <c r="G1206" s="12" t="n">
        <v>15.1</v>
      </c>
      <c r="H1206" s="12" t="n">
        <v>37.1</v>
      </c>
      <c r="I1206" s="12" t="n">
        <v>166</v>
      </c>
      <c r="J1206" s="12" t="n">
        <v>1</v>
      </c>
      <c r="K1206" s="12" t="n">
        <v>27</v>
      </c>
      <c r="L1206" s="12" t="s">
        <v>36</v>
      </c>
    </row>
    <row r="1207" customFormat="false" ht="15" hidden="false" customHeight="false" outlineLevel="0" collapsed="false">
      <c r="A1207" s="11" t="n">
        <v>45402</v>
      </c>
      <c r="B1207" s="12" t="n">
        <v>23.2</v>
      </c>
      <c r="C1207" s="12" t="n">
        <f aca="false">IF(NOT(ISNUMBER(B1207)),"",ROUND((INDEX(BP!$D$5:$D$9,MATCH(B1207,BP!$A$5:$A$9,1))-INDEX(BP!$C$5:$C$9,MATCH(B1207,BP!$A$5:$A$9,1)))/(INDEX(BP!$B$5:$B$9,MATCH(B1207,BP!$A$5:$A$9,1))-INDEX(BP!$A$5:$A$9,MATCH(B1207,BP!$A$5:$A$9,1)))*(B1207-INDEX(BP!$A$5:$A$9,MATCH(B1207,BP!$A$5:$A$9,1)))+INDEX(BP!$C$5:$C$9,MATCH(B1207,BP!$A$5:$A$9,1)),0))</f>
        <v>46</v>
      </c>
      <c r="D1207" s="12" t="str">
        <f aca="false">IF(NOT(ISNUMBER(C1207)),"",INDEX(BP!$F$5:$F$9,MATCH(C1207,BP!$E$5:$E$9,1)))</f>
        <v>ดี</v>
      </c>
      <c r="E1207" s="12" t="n">
        <f aca="false">YEAR(A1207)</f>
        <v>2024</v>
      </c>
      <c r="F1207" s="12" t="n">
        <f aca="false">MONTH(A1207)</f>
        <v>4</v>
      </c>
      <c r="G1207" s="12" t="n">
        <v>11.8</v>
      </c>
      <c r="H1207" s="12" t="n">
        <v>31.3</v>
      </c>
      <c r="I1207" s="12" t="n">
        <v>231</v>
      </c>
      <c r="J1207" s="12" t="n">
        <v>4.3</v>
      </c>
      <c r="K1207" s="12" t="n">
        <v>7.6</v>
      </c>
      <c r="L1207" s="12" t="s">
        <v>35</v>
      </c>
    </row>
    <row r="1208" customFormat="false" ht="15" hidden="false" customHeight="false" outlineLevel="0" collapsed="false">
      <c r="A1208" s="11" t="n">
        <v>45403</v>
      </c>
      <c r="B1208" s="12" t="n">
        <v>19.3</v>
      </c>
      <c r="C1208" s="12" t="n">
        <f aca="false">IF(NOT(ISNUMBER(B1208)),"",ROUND((INDEX(BP!$D$5:$D$9,MATCH(B1208,BP!$A$5:$A$9,1))-INDEX(BP!$C$5:$C$9,MATCH(B1208,BP!$A$5:$A$9,1)))/(INDEX(BP!$B$5:$B$9,MATCH(B1208,BP!$A$5:$A$9,1))-INDEX(BP!$A$5:$A$9,MATCH(B1208,BP!$A$5:$A$9,1)))*(B1208-INDEX(BP!$A$5:$A$9,MATCH(B1208,BP!$A$5:$A$9,1)))+INDEX(BP!$C$5:$C$9,MATCH(B1208,BP!$A$5:$A$9,1)),0))</f>
        <v>36</v>
      </c>
      <c r="D1208" s="12" t="str">
        <f aca="false">IF(NOT(ISNUMBER(C1208)),"",INDEX(BP!$F$5:$F$9,MATCH(C1208,BP!$E$5:$E$9,1)))</f>
        <v>ดี</v>
      </c>
      <c r="E1208" s="12" t="n">
        <f aca="false">YEAR(A1208)</f>
        <v>2024</v>
      </c>
      <c r="F1208" s="12" t="n">
        <f aca="false">MONTH(A1208)</f>
        <v>4</v>
      </c>
      <c r="G1208" s="12" t="n">
        <v>13.9</v>
      </c>
      <c r="H1208" s="12" t="n">
        <v>32.4</v>
      </c>
      <c r="I1208" s="12" t="n">
        <v>237</v>
      </c>
      <c r="J1208" s="12" t="n">
        <v>2.4</v>
      </c>
      <c r="K1208" s="12" t="n">
        <v>13</v>
      </c>
      <c r="L1208" s="12" t="s">
        <v>35</v>
      </c>
    </row>
    <row r="1209" customFormat="false" ht="15" hidden="false" customHeight="false" outlineLevel="0" collapsed="false">
      <c r="A1209" s="11" t="n">
        <v>45404</v>
      </c>
      <c r="B1209" s="12" t="n">
        <v>25.8</v>
      </c>
      <c r="C1209" s="12" t="n">
        <f aca="false">IF(NOT(ISNUMBER(B1209)),"",ROUND((INDEX(BP!$D$5:$D$9,MATCH(B1209,BP!$A$5:$A$9,1))-INDEX(BP!$C$5:$C$9,MATCH(B1209,BP!$A$5:$A$9,1)))/(INDEX(BP!$B$5:$B$9,MATCH(B1209,BP!$A$5:$A$9,1))-INDEX(BP!$A$5:$A$9,MATCH(B1209,BP!$A$5:$A$9,1)))*(B1209-INDEX(BP!$A$5:$A$9,MATCH(B1209,BP!$A$5:$A$9,1)))+INDEX(BP!$C$5:$C$9,MATCH(B1209,BP!$A$5:$A$9,1)),0))</f>
        <v>54</v>
      </c>
      <c r="D1209" s="12" t="str">
        <f aca="false">IF(NOT(ISNUMBER(C1209)),"",INDEX(BP!$F$5:$F$9,MATCH(C1209,BP!$E$5:$E$9,1)))</f>
        <v>ปานกลาง</v>
      </c>
      <c r="E1209" s="12" t="n">
        <f aca="false">YEAR(A1209)</f>
        <v>2024</v>
      </c>
      <c r="F1209" s="12" t="n">
        <f aca="false">MONTH(A1209)</f>
        <v>4</v>
      </c>
      <c r="G1209" s="12" t="n">
        <v>15.9</v>
      </c>
      <c r="H1209" s="12" t="n">
        <v>37.1</v>
      </c>
      <c r="I1209" s="12" t="n">
        <v>93</v>
      </c>
      <c r="J1209" s="12" t="n">
        <v>0.2</v>
      </c>
      <c r="K1209" s="12" t="n">
        <v>0</v>
      </c>
      <c r="L1209" s="12" t="s">
        <v>36</v>
      </c>
    </row>
    <row r="1210" customFormat="false" ht="15" hidden="false" customHeight="false" outlineLevel="0" collapsed="false">
      <c r="A1210" s="11" t="n">
        <v>45405</v>
      </c>
      <c r="B1210" s="12" t="n">
        <v>22.1</v>
      </c>
      <c r="C1210" s="12" t="n">
        <f aca="false">IF(NOT(ISNUMBER(B1210)),"",ROUND((INDEX(BP!$D$5:$D$9,MATCH(B1210,BP!$A$5:$A$9,1))-INDEX(BP!$C$5:$C$9,MATCH(B1210,BP!$A$5:$A$9,1)))/(INDEX(BP!$B$5:$B$9,MATCH(B1210,BP!$A$5:$A$9,1))-INDEX(BP!$A$5:$A$9,MATCH(B1210,BP!$A$5:$A$9,1)))*(B1210-INDEX(BP!$A$5:$A$9,MATCH(B1210,BP!$A$5:$A$9,1)))+INDEX(BP!$C$5:$C$9,MATCH(B1210,BP!$A$5:$A$9,1)),0))</f>
        <v>43</v>
      </c>
      <c r="D1210" s="12" t="str">
        <f aca="false">IF(NOT(ISNUMBER(C1210)),"",INDEX(BP!$F$5:$F$9,MATCH(C1210,BP!$E$5:$E$9,1)))</f>
        <v>ดี</v>
      </c>
      <c r="E1210" s="12" t="n">
        <f aca="false">YEAR(A1210)</f>
        <v>2024</v>
      </c>
      <c r="F1210" s="12" t="n">
        <f aca="false">MONTH(A1210)</f>
        <v>4</v>
      </c>
      <c r="G1210" s="12" t="n">
        <v>14.4</v>
      </c>
      <c r="H1210" s="12" t="n">
        <v>34.9</v>
      </c>
      <c r="I1210" s="12" t="n">
        <v>102</v>
      </c>
      <c r="J1210" s="12" t="n">
        <v>0.2</v>
      </c>
      <c r="K1210" s="12" t="n">
        <v>0</v>
      </c>
      <c r="L1210" s="12" t="s">
        <v>36</v>
      </c>
    </row>
    <row r="1211" customFormat="false" ht="15" hidden="false" customHeight="false" outlineLevel="0" collapsed="false">
      <c r="A1211" s="11" t="n">
        <v>45406</v>
      </c>
      <c r="B1211" s="12" t="n">
        <v>25.5</v>
      </c>
      <c r="C1211" s="12" t="n">
        <f aca="false">IF(NOT(ISNUMBER(B1211)),"",ROUND((INDEX(BP!$D$5:$D$9,MATCH(B1211,BP!$A$5:$A$9,1))-INDEX(BP!$C$5:$C$9,MATCH(B1211,BP!$A$5:$A$9,1)))/(INDEX(BP!$B$5:$B$9,MATCH(B1211,BP!$A$5:$A$9,1))-INDEX(BP!$A$5:$A$9,MATCH(B1211,BP!$A$5:$A$9,1)))*(B1211-INDEX(BP!$A$5:$A$9,MATCH(B1211,BP!$A$5:$A$9,1)))+INDEX(BP!$C$5:$C$9,MATCH(B1211,BP!$A$5:$A$9,1)),0))</f>
        <v>53</v>
      </c>
      <c r="D1211" s="12" t="str">
        <f aca="false">IF(NOT(ISNUMBER(C1211)),"",INDEX(BP!$F$5:$F$9,MATCH(C1211,BP!$E$5:$E$9,1)))</f>
        <v>ปานกลาง</v>
      </c>
      <c r="E1211" s="12" t="n">
        <f aca="false">YEAR(A1211)</f>
        <v>2024</v>
      </c>
      <c r="F1211" s="12" t="n">
        <f aca="false">MONTH(A1211)</f>
        <v>4</v>
      </c>
      <c r="G1211" s="12" t="n">
        <v>16.4</v>
      </c>
      <c r="H1211" s="12" t="n">
        <v>38.9</v>
      </c>
      <c r="I1211" s="12" t="n">
        <v>114</v>
      </c>
      <c r="J1211" s="12" t="n">
        <v>3.1</v>
      </c>
      <c r="K1211" s="12" t="n">
        <v>0</v>
      </c>
      <c r="L1211" s="12" t="s">
        <v>36</v>
      </c>
    </row>
    <row r="1212" customFormat="false" ht="15" hidden="false" customHeight="false" outlineLevel="0" collapsed="false">
      <c r="A1212" s="11" t="n">
        <v>45407</v>
      </c>
      <c r="B1212" s="12" t="n">
        <v>23.1</v>
      </c>
      <c r="C1212" s="12" t="n">
        <f aca="false">IF(NOT(ISNUMBER(B1212)),"",ROUND((INDEX(BP!$D$5:$D$9,MATCH(B1212,BP!$A$5:$A$9,1))-INDEX(BP!$C$5:$C$9,MATCH(B1212,BP!$A$5:$A$9,1)))/(INDEX(BP!$B$5:$B$9,MATCH(B1212,BP!$A$5:$A$9,1))-INDEX(BP!$A$5:$A$9,MATCH(B1212,BP!$A$5:$A$9,1)))*(B1212-INDEX(BP!$A$5:$A$9,MATCH(B1212,BP!$A$5:$A$9,1)))+INDEX(BP!$C$5:$C$9,MATCH(B1212,BP!$A$5:$A$9,1)),0))</f>
        <v>45</v>
      </c>
      <c r="D1212" s="12" t="str">
        <f aca="false">IF(NOT(ISNUMBER(C1212)),"",INDEX(BP!$F$5:$F$9,MATCH(C1212,BP!$E$5:$E$9,1)))</f>
        <v>ดี</v>
      </c>
      <c r="E1212" s="12" t="n">
        <f aca="false">YEAR(A1212)</f>
        <v>2024</v>
      </c>
      <c r="F1212" s="12" t="n">
        <f aca="false">MONTH(A1212)</f>
        <v>4</v>
      </c>
      <c r="G1212" s="12" t="n">
        <v>15.6</v>
      </c>
      <c r="H1212" s="12" t="n">
        <v>37.4</v>
      </c>
      <c r="I1212" s="12" t="n">
        <v>107</v>
      </c>
      <c r="J1212" s="12" t="n">
        <v>3.5</v>
      </c>
      <c r="K1212" s="12" t="n">
        <v>0</v>
      </c>
      <c r="L1212" s="12" t="s">
        <v>36</v>
      </c>
    </row>
    <row r="1213" customFormat="false" ht="15" hidden="false" customHeight="false" outlineLevel="0" collapsed="false">
      <c r="A1213" s="11" t="n">
        <v>45408</v>
      </c>
      <c r="B1213" s="12" t="n">
        <v>21.7</v>
      </c>
      <c r="C1213" s="12" t="n">
        <f aca="false">IF(NOT(ISNUMBER(B1213)),"",ROUND((INDEX(BP!$D$5:$D$9,MATCH(B1213,BP!$A$5:$A$9,1))-INDEX(BP!$C$5:$C$9,MATCH(B1213,BP!$A$5:$A$9,1)))/(INDEX(BP!$B$5:$B$9,MATCH(B1213,BP!$A$5:$A$9,1))-INDEX(BP!$A$5:$A$9,MATCH(B1213,BP!$A$5:$A$9,1)))*(B1213-INDEX(BP!$A$5:$A$9,MATCH(B1213,BP!$A$5:$A$9,1)))+INDEX(BP!$C$5:$C$9,MATCH(B1213,BP!$A$5:$A$9,1)),0))</f>
        <v>42</v>
      </c>
      <c r="D1213" s="12" t="str">
        <f aca="false">IF(NOT(ISNUMBER(C1213)),"",INDEX(BP!$F$5:$F$9,MATCH(C1213,BP!$E$5:$E$9,1)))</f>
        <v>ดี</v>
      </c>
      <c r="E1213" s="12" t="n">
        <f aca="false">YEAR(A1213)</f>
        <v>2024</v>
      </c>
      <c r="F1213" s="12" t="n">
        <f aca="false">MONTH(A1213)</f>
        <v>4</v>
      </c>
      <c r="G1213" s="12" t="n">
        <v>14.4</v>
      </c>
      <c r="H1213" s="12" t="n">
        <v>32.4</v>
      </c>
      <c r="I1213" s="12" t="n">
        <v>203</v>
      </c>
      <c r="J1213" s="12" t="n">
        <v>4.3</v>
      </c>
      <c r="K1213" s="12" t="n">
        <v>0</v>
      </c>
      <c r="L1213" s="12" t="s">
        <v>36</v>
      </c>
    </row>
    <row r="1214" customFormat="false" ht="15" hidden="false" customHeight="false" outlineLevel="0" collapsed="false">
      <c r="A1214" s="11" t="n">
        <v>45409</v>
      </c>
      <c r="B1214" s="12" t="n">
        <v>17.1</v>
      </c>
      <c r="C1214" s="12" t="n">
        <f aca="false">IF(NOT(ISNUMBER(B1214)),"",ROUND((INDEX(BP!$D$5:$D$9,MATCH(B1214,BP!$A$5:$A$9,1))-INDEX(BP!$C$5:$C$9,MATCH(B1214,BP!$A$5:$A$9,1)))/(INDEX(BP!$B$5:$B$9,MATCH(B1214,BP!$A$5:$A$9,1))-INDEX(BP!$A$5:$A$9,MATCH(B1214,BP!$A$5:$A$9,1)))*(B1214-INDEX(BP!$A$5:$A$9,MATCH(B1214,BP!$A$5:$A$9,1)))+INDEX(BP!$C$5:$C$9,MATCH(B1214,BP!$A$5:$A$9,1)),0))</f>
        <v>31</v>
      </c>
      <c r="D1214" s="12" t="str">
        <f aca="false">IF(NOT(ISNUMBER(C1214)),"",INDEX(BP!$F$5:$F$9,MATCH(C1214,BP!$E$5:$E$9,1)))</f>
        <v>ดี</v>
      </c>
      <c r="E1214" s="12" t="n">
        <f aca="false">YEAR(A1214)</f>
        <v>2024</v>
      </c>
      <c r="F1214" s="12" t="n">
        <f aca="false">MONTH(A1214)</f>
        <v>4</v>
      </c>
      <c r="G1214" s="12" t="n">
        <v>14.7</v>
      </c>
      <c r="H1214" s="12" t="n">
        <v>31.3</v>
      </c>
      <c r="I1214" s="12" t="n">
        <v>134</v>
      </c>
      <c r="J1214" s="12" t="n">
        <v>6.9</v>
      </c>
      <c r="K1214" s="12" t="n">
        <v>0</v>
      </c>
      <c r="L1214" s="12" t="s">
        <v>35</v>
      </c>
    </row>
    <row r="1215" customFormat="false" ht="15" hidden="false" customHeight="false" outlineLevel="0" collapsed="false">
      <c r="A1215" s="11" t="n">
        <v>45410</v>
      </c>
      <c r="B1215" s="12" t="n">
        <v>19.8</v>
      </c>
      <c r="C1215" s="12" t="n">
        <f aca="false">IF(NOT(ISNUMBER(B1215)),"",ROUND((INDEX(BP!$D$5:$D$9,MATCH(B1215,BP!$A$5:$A$9,1))-INDEX(BP!$C$5:$C$9,MATCH(B1215,BP!$A$5:$A$9,1)))/(INDEX(BP!$B$5:$B$9,MATCH(B1215,BP!$A$5:$A$9,1))-INDEX(BP!$A$5:$A$9,MATCH(B1215,BP!$A$5:$A$9,1)))*(B1215-INDEX(BP!$A$5:$A$9,MATCH(B1215,BP!$A$5:$A$9,1)))+INDEX(BP!$C$5:$C$9,MATCH(B1215,BP!$A$5:$A$9,1)),0))</f>
        <v>37</v>
      </c>
      <c r="D1215" s="12" t="str">
        <f aca="false">IF(NOT(ISNUMBER(C1215)),"",INDEX(BP!$F$5:$F$9,MATCH(C1215,BP!$E$5:$E$9,1)))</f>
        <v>ดี</v>
      </c>
      <c r="E1215" s="12" t="n">
        <f aca="false">YEAR(A1215)</f>
        <v>2024</v>
      </c>
      <c r="F1215" s="12" t="n">
        <f aca="false">MONTH(A1215)</f>
        <v>4</v>
      </c>
      <c r="G1215" s="12" t="n">
        <v>14.4</v>
      </c>
      <c r="H1215" s="12" t="n">
        <v>36</v>
      </c>
      <c r="I1215" s="12" t="n">
        <v>195</v>
      </c>
      <c r="J1215" s="12" t="n">
        <v>6.5</v>
      </c>
      <c r="K1215" s="12" t="n">
        <v>43.8</v>
      </c>
      <c r="L1215" s="12" t="s">
        <v>35</v>
      </c>
    </row>
    <row r="1216" customFormat="false" ht="15" hidden="false" customHeight="false" outlineLevel="0" collapsed="false">
      <c r="A1216" s="11" t="n">
        <v>45411</v>
      </c>
      <c r="B1216" s="12" t="n">
        <v>16.8</v>
      </c>
      <c r="C1216" s="12" t="n">
        <f aca="false">IF(NOT(ISNUMBER(B1216)),"",ROUND((INDEX(BP!$D$5:$D$9,MATCH(B1216,BP!$A$5:$A$9,1))-INDEX(BP!$C$5:$C$9,MATCH(B1216,BP!$A$5:$A$9,1)))/(INDEX(BP!$B$5:$B$9,MATCH(B1216,BP!$A$5:$A$9,1))-INDEX(BP!$A$5:$A$9,MATCH(B1216,BP!$A$5:$A$9,1)))*(B1216-INDEX(BP!$A$5:$A$9,MATCH(B1216,BP!$A$5:$A$9,1)))+INDEX(BP!$C$5:$C$9,MATCH(B1216,BP!$A$5:$A$9,1)),0))</f>
        <v>30</v>
      </c>
      <c r="D1216" s="12" t="str">
        <f aca="false">IF(NOT(ISNUMBER(C1216)),"",INDEX(BP!$F$5:$F$9,MATCH(C1216,BP!$E$5:$E$9,1)))</f>
        <v>ดี</v>
      </c>
      <c r="E1216" s="12" t="n">
        <f aca="false">YEAR(A1216)</f>
        <v>2024</v>
      </c>
      <c r="F1216" s="12" t="n">
        <f aca="false">MONTH(A1216)</f>
        <v>4</v>
      </c>
      <c r="G1216" s="12" t="n">
        <v>15.7</v>
      </c>
      <c r="H1216" s="12" t="n">
        <v>37.4</v>
      </c>
      <c r="I1216" s="12" t="n">
        <v>97</v>
      </c>
      <c r="J1216" s="12" t="n">
        <v>0.8</v>
      </c>
      <c r="K1216" s="12" t="n">
        <v>0</v>
      </c>
      <c r="L1216" s="12" t="s">
        <v>36</v>
      </c>
    </row>
    <row r="1217" customFormat="false" ht="15" hidden="false" customHeight="false" outlineLevel="0" collapsed="false">
      <c r="A1217" s="11" t="n">
        <v>45412</v>
      </c>
      <c r="B1217" s="12" t="n">
        <v>19.2</v>
      </c>
      <c r="C1217" s="12" t="n">
        <f aca="false">IF(NOT(ISNUMBER(B1217)),"",ROUND((INDEX(BP!$D$5:$D$9,MATCH(B1217,BP!$A$5:$A$9,1))-INDEX(BP!$C$5:$C$9,MATCH(B1217,BP!$A$5:$A$9,1)))/(INDEX(BP!$B$5:$B$9,MATCH(B1217,BP!$A$5:$A$9,1))-INDEX(BP!$A$5:$A$9,MATCH(B1217,BP!$A$5:$A$9,1)))*(B1217-INDEX(BP!$A$5:$A$9,MATCH(B1217,BP!$A$5:$A$9,1)))+INDEX(BP!$C$5:$C$9,MATCH(B1217,BP!$A$5:$A$9,1)),0))</f>
        <v>36</v>
      </c>
      <c r="D1217" s="12" t="str">
        <f aca="false">IF(NOT(ISNUMBER(C1217)),"",INDEX(BP!$F$5:$F$9,MATCH(C1217,BP!$E$5:$E$9,1)))</f>
        <v>ดี</v>
      </c>
      <c r="E1217" s="12" t="n">
        <f aca="false">YEAR(A1217)</f>
        <v>2024</v>
      </c>
      <c r="F1217" s="12" t="n">
        <f aca="false">MONTH(A1217)</f>
        <v>4</v>
      </c>
      <c r="G1217" s="12" t="n">
        <v>15.9</v>
      </c>
      <c r="H1217" s="12" t="n">
        <v>37.8</v>
      </c>
      <c r="I1217" s="12" t="n">
        <v>203</v>
      </c>
      <c r="J1217" s="12" t="n">
        <v>1.1</v>
      </c>
      <c r="K1217" s="12" t="n">
        <v>0.6</v>
      </c>
      <c r="L1217" s="12" t="s">
        <v>36</v>
      </c>
    </row>
    <row r="1218" customFormat="false" ht="15" hidden="false" customHeight="false" outlineLevel="0" collapsed="false">
      <c r="A1218" s="11" t="n">
        <v>45413</v>
      </c>
      <c r="B1218" s="12" t="n">
        <v>20.3</v>
      </c>
      <c r="C1218" s="12" t="n">
        <f aca="false">IF(NOT(ISNUMBER(B1218)),"",ROUND((INDEX(BP!$D$5:$D$9,MATCH(B1218,BP!$A$5:$A$9,1))-INDEX(BP!$C$5:$C$9,MATCH(B1218,BP!$A$5:$A$9,1)))/(INDEX(BP!$B$5:$B$9,MATCH(B1218,BP!$A$5:$A$9,1))-INDEX(BP!$A$5:$A$9,MATCH(B1218,BP!$A$5:$A$9,1)))*(B1218-INDEX(BP!$A$5:$A$9,MATCH(B1218,BP!$A$5:$A$9,1)))+INDEX(BP!$C$5:$C$9,MATCH(B1218,BP!$A$5:$A$9,1)),0))</f>
        <v>39</v>
      </c>
      <c r="D1218" s="12" t="str">
        <f aca="false">IF(NOT(ISNUMBER(C1218)),"",INDEX(BP!$F$5:$F$9,MATCH(C1218,BP!$E$5:$E$9,1)))</f>
        <v>ดี</v>
      </c>
      <c r="E1218" s="12" t="n">
        <f aca="false">YEAR(A1218)</f>
        <v>2024</v>
      </c>
      <c r="F1218" s="12" t="n">
        <f aca="false">MONTH(A1218)</f>
        <v>5</v>
      </c>
      <c r="G1218" s="12" t="n">
        <v>15</v>
      </c>
      <c r="H1218" s="12" t="n">
        <v>34.2</v>
      </c>
      <c r="I1218" s="12" t="n">
        <v>188</v>
      </c>
      <c r="J1218" s="12" t="n">
        <v>0.3</v>
      </c>
      <c r="K1218" s="12" t="n">
        <v>23.6</v>
      </c>
      <c r="L1218" s="12" t="s">
        <v>34</v>
      </c>
    </row>
    <row r="1219" customFormat="false" ht="15" hidden="false" customHeight="false" outlineLevel="0" collapsed="false">
      <c r="A1219" s="11" t="n">
        <v>45414</v>
      </c>
      <c r="B1219" s="12" t="n">
        <v>19</v>
      </c>
      <c r="C1219" s="12" t="n">
        <f aca="false">IF(NOT(ISNUMBER(B1219)),"",ROUND((INDEX(BP!$D$5:$D$9,MATCH(B1219,BP!$A$5:$A$9,1))-INDEX(BP!$C$5:$C$9,MATCH(B1219,BP!$A$5:$A$9,1)))/(INDEX(BP!$B$5:$B$9,MATCH(B1219,BP!$A$5:$A$9,1))-INDEX(BP!$A$5:$A$9,MATCH(B1219,BP!$A$5:$A$9,1)))*(B1219-INDEX(BP!$A$5:$A$9,MATCH(B1219,BP!$A$5:$A$9,1)))+INDEX(BP!$C$5:$C$9,MATCH(B1219,BP!$A$5:$A$9,1)),0))</f>
        <v>35</v>
      </c>
      <c r="D1219" s="12" t="str">
        <f aca="false">IF(NOT(ISNUMBER(C1219)),"",INDEX(BP!$F$5:$F$9,MATCH(C1219,BP!$E$5:$E$9,1)))</f>
        <v>ดี</v>
      </c>
      <c r="E1219" s="12" t="n">
        <f aca="false">YEAR(A1219)</f>
        <v>2024</v>
      </c>
      <c r="F1219" s="12" t="n">
        <f aca="false">MONTH(A1219)</f>
        <v>5</v>
      </c>
      <c r="G1219" s="12" t="n">
        <v>15.7</v>
      </c>
      <c r="H1219" s="12" t="n">
        <v>38.5</v>
      </c>
      <c r="I1219" s="12" t="n">
        <v>167</v>
      </c>
      <c r="J1219" s="12" t="n">
        <v>0</v>
      </c>
      <c r="K1219" s="12" t="n">
        <v>0</v>
      </c>
      <c r="L1219" s="12" t="s">
        <v>36</v>
      </c>
    </row>
    <row r="1220" customFormat="false" ht="15" hidden="false" customHeight="false" outlineLevel="0" collapsed="false">
      <c r="A1220" s="11" t="n">
        <v>45415</v>
      </c>
      <c r="B1220" s="12" t="n">
        <v>22.1</v>
      </c>
      <c r="C1220" s="12" t="n">
        <f aca="false">IF(NOT(ISNUMBER(B1220)),"",ROUND((INDEX(BP!$D$5:$D$9,MATCH(B1220,BP!$A$5:$A$9,1))-INDEX(BP!$C$5:$C$9,MATCH(B1220,BP!$A$5:$A$9,1)))/(INDEX(BP!$B$5:$B$9,MATCH(B1220,BP!$A$5:$A$9,1))-INDEX(BP!$A$5:$A$9,MATCH(B1220,BP!$A$5:$A$9,1)))*(B1220-INDEX(BP!$A$5:$A$9,MATCH(B1220,BP!$A$5:$A$9,1)))+INDEX(BP!$C$5:$C$9,MATCH(B1220,BP!$A$5:$A$9,1)),0))</f>
        <v>43</v>
      </c>
      <c r="D1220" s="12" t="str">
        <f aca="false">IF(NOT(ISNUMBER(C1220)),"",INDEX(BP!$F$5:$F$9,MATCH(C1220,BP!$E$5:$E$9,1)))</f>
        <v>ดี</v>
      </c>
      <c r="E1220" s="12" t="n">
        <f aca="false">YEAR(A1220)</f>
        <v>2024</v>
      </c>
      <c r="F1220" s="12" t="n">
        <f aca="false">MONTH(A1220)</f>
        <v>5</v>
      </c>
      <c r="G1220" s="12" t="n">
        <v>14.3</v>
      </c>
      <c r="H1220" s="12" t="n">
        <v>36</v>
      </c>
      <c r="I1220" s="12" t="n">
        <v>180</v>
      </c>
      <c r="J1220" s="12" t="n">
        <v>0.7</v>
      </c>
      <c r="K1220" s="12" t="n">
        <v>0</v>
      </c>
      <c r="L1220" s="12" t="s">
        <v>36</v>
      </c>
    </row>
    <row r="1221" customFormat="false" ht="15" hidden="false" customHeight="false" outlineLevel="0" collapsed="false">
      <c r="A1221" s="11" t="n">
        <v>45416</v>
      </c>
      <c r="B1221" s="12" t="n">
        <v>22.3</v>
      </c>
      <c r="C1221" s="12" t="n">
        <f aca="false">IF(NOT(ISNUMBER(B1221)),"",ROUND((INDEX(BP!$D$5:$D$9,MATCH(B1221,BP!$A$5:$A$9,1))-INDEX(BP!$C$5:$C$9,MATCH(B1221,BP!$A$5:$A$9,1)))/(INDEX(BP!$B$5:$B$9,MATCH(B1221,BP!$A$5:$A$9,1))-INDEX(BP!$A$5:$A$9,MATCH(B1221,BP!$A$5:$A$9,1)))*(B1221-INDEX(BP!$A$5:$A$9,MATCH(B1221,BP!$A$5:$A$9,1)))+INDEX(BP!$C$5:$C$9,MATCH(B1221,BP!$A$5:$A$9,1)),0))</f>
        <v>43</v>
      </c>
      <c r="D1221" s="12" t="str">
        <f aca="false">IF(NOT(ISNUMBER(C1221)),"",INDEX(BP!$F$5:$F$9,MATCH(C1221,BP!$E$5:$E$9,1)))</f>
        <v>ดี</v>
      </c>
      <c r="E1221" s="12" t="n">
        <f aca="false">YEAR(A1221)</f>
        <v>2024</v>
      </c>
      <c r="F1221" s="12" t="n">
        <f aca="false">MONTH(A1221)</f>
        <v>5</v>
      </c>
      <c r="G1221" s="12" t="n">
        <v>16.4</v>
      </c>
      <c r="H1221" s="12" t="n">
        <v>36.4</v>
      </c>
      <c r="I1221" s="12" t="n">
        <v>218</v>
      </c>
      <c r="J1221" s="12" t="n">
        <v>4.2</v>
      </c>
      <c r="K1221" s="12" t="n">
        <v>0.8</v>
      </c>
      <c r="L1221" s="12" t="s">
        <v>34</v>
      </c>
    </row>
    <row r="1222" customFormat="false" ht="15" hidden="false" customHeight="false" outlineLevel="0" collapsed="false">
      <c r="A1222" s="11" t="n">
        <v>45417</v>
      </c>
      <c r="B1222" s="12" t="n">
        <v>20.6</v>
      </c>
      <c r="C1222" s="12" t="n">
        <f aca="false">IF(NOT(ISNUMBER(B1222)),"",ROUND((INDEX(BP!$D$5:$D$9,MATCH(B1222,BP!$A$5:$A$9,1))-INDEX(BP!$C$5:$C$9,MATCH(B1222,BP!$A$5:$A$9,1)))/(INDEX(BP!$B$5:$B$9,MATCH(B1222,BP!$A$5:$A$9,1))-INDEX(BP!$A$5:$A$9,MATCH(B1222,BP!$A$5:$A$9,1)))*(B1222-INDEX(BP!$A$5:$A$9,MATCH(B1222,BP!$A$5:$A$9,1)))+INDEX(BP!$C$5:$C$9,MATCH(B1222,BP!$A$5:$A$9,1)),0))</f>
        <v>39</v>
      </c>
      <c r="D1222" s="12" t="str">
        <f aca="false">IF(NOT(ISNUMBER(C1222)),"",INDEX(BP!$F$5:$F$9,MATCH(C1222,BP!$E$5:$E$9,1)))</f>
        <v>ดี</v>
      </c>
      <c r="E1222" s="12" t="n">
        <f aca="false">YEAR(A1222)</f>
        <v>2024</v>
      </c>
      <c r="F1222" s="12" t="n">
        <f aca="false">MONTH(A1222)</f>
        <v>5</v>
      </c>
      <c r="G1222" s="12" t="n">
        <v>15</v>
      </c>
      <c r="H1222" s="12" t="n">
        <v>37.8</v>
      </c>
      <c r="I1222" s="12" t="n">
        <v>219</v>
      </c>
      <c r="J1222" s="12" t="n">
        <v>0.9</v>
      </c>
      <c r="K1222" s="12" t="n">
        <v>17.2</v>
      </c>
      <c r="L1222" s="12" t="s">
        <v>35</v>
      </c>
    </row>
    <row r="1223" customFormat="false" ht="15" hidden="false" customHeight="false" outlineLevel="0" collapsed="false">
      <c r="A1223" s="11" t="n">
        <v>45418</v>
      </c>
      <c r="B1223" s="12" t="n">
        <v>22</v>
      </c>
      <c r="C1223" s="12" t="n">
        <f aca="false">IF(NOT(ISNUMBER(B1223)),"",ROUND((INDEX(BP!$D$5:$D$9,MATCH(B1223,BP!$A$5:$A$9,1))-INDEX(BP!$C$5:$C$9,MATCH(B1223,BP!$A$5:$A$9,1)))/(INDEX(BP!$B$5:$B$9,MATCH(B1223,BP!$A$5:$A$9,1))-INDEX(BP!$A$5:$A$9,MATCH(B1223,BP!$A$5:$A$9,1)))*(B1223-INDEX(BP!$A$5:$A$9,MATCH(B1223,BP!$A$5:$A$9,1)))+INDEX(BP!$C$5:$C$9,MATCH(B1223,BP!$A$5:$A$9,1)),0))</f>
        <v>43</v>
      </c>
      <c r="D1223" s="12" t="str">
        <f aca="false">IF(NOT(ISNUMBER(C1223)),"",INDEX(BP!$F$5:$F$9,MATCH(C1223,BP!$E$5:$E$9,1)))</f>
        <v>ดี</v>
      </c>
      <c r="E1223" s="12" t="n">
        <f aca="false">YEAR(A1223)</f>
        <v>2024</v>
      </c>
      <c r="F1223" s="12" t="n">
        <f aca="false">MONTH(A1223)</f>
        <v>5</v>
      </c>
      <c r="G1223" s="12" t="n">
        <v>15.2</v>
      </c>
      <c r="H1223" s="12" t="n">
        <v>37.1</v>
      </c>
      <c r="I1223" s="12" t="n">
        <v>178</v>
      </c>
      <c r="J1223" s="12" t="n">
        <v>8.6</v>
      </c>
      <c r="K1223" s="12" t="n">
        <v>16.6</v>
      </c>
      <c r="L1223" s="12" t="s">
        <v>34</v>
      </c>
    </row>
    <row r="1224" customFormat="false" ht="15" hidden="false" customHeight="false" outlineLevel="0" collapsed="false">
      <c r="A1224" s="11" t="n">
        <v>45419</v>
      </c>
      <c r="B1224" s="12" t="n">
        <v>18.9</v>
      </c>
      <c r="C1224" s="12" t="n">
        <f aca="false">IF(NOT(ISNUMBER(B1224)),"",ROUND((INDEX(BP!$D$5:$D$9,MATCH(B1224,BP!$A$5:$A$9,1))-INDEX(BP!$C$5:$C$9,MATCH(B1224,BP!$A$5:$A$9,1)))/(INDEX(BP!$B$5:$B$9,MATCH(B1224,BP!$A$5:$A$9,1))-INDEX(BP!$A$5:$A$9,MATCH(B1224,BP!$A$5:$A$9,1)))*(B1224-INDEX(BP!$A$5:$A$9,MATCH(B1224,BP!$A$5:$A$9,1)))+INDEX(BP!$C$5:$C$9,MATCH(B1224,BP!$A$5:$A$9,1)),0))</f>
        <v>35</v>
      </c>
      <c r="D1224" s="12" t="str">
        <f aca="false">IF(NOT(ISNUMBER(C1224)),"",INDEX(BP!$F$5:$F$9,MATCH(C1224,BP!$E$5:$E$9,1)))</f>
        <v>ดี</v>
      </c>
      <c r="E1224" s="12" t="n">
        <f aca="false">YEAR(A1224)</f>
        <v>2024</v>
      </c>
      <c r="F1224" s="12" t="n">
        <f aca="false">MONTH(A1224)</f>
        <v>5</v>
      </c>
      <c r="G1224" s="12" t="n">
        <v>14.4</v>
      </c>
      <c r="H1224" s="12" t="n">
        <v>35.3</v>
      </c>
      <c r="I1224" s="12" t="n">
        <v>22</v>
      </c>
      <c r="J1224" s="12" t="n">
        <v>7.7</v>
      </c>
      <c r="K1224" s="12" t="n">
        <v>0</v>
      </c>
      <c r="L1224" s="12" t="s">
        <v>36</v>
      </c>
    </row>
    <row r="1225" customFormat="false" ht="15" hidden="false" customHeight="false" outlineLevel="0" collapsed="false">
      <c r="A1225" s="11" t="n">
        <v>45420</v>
      </c>
      <c r="B1225" s="12" t="n">
        <v>14.3</v>
      </c>
      <c r="C1225" s="12" t="n">
        <f aca="false">IF(NOT(ISNUMBER(B1225)),"",ROUND((INDEX(BP!$D$5:$D$9,MATCH(B1225,BP!$A$5:$A$9,1))-INDEX(BP!$C$5:$C$9,MATCH(B1225,BP!$A$5:$A$9,1)))/(INDEX(BP!$B$5:$B$9,MATCH(B1225,BP!$A$5:$A$9,1))-INDEX(BP!$A$5:$A$9,MATCH(B1225,BP!$A$5:$A$9,1)))*(B1225-INDEX(BP!$A$5:$A$9,MATCH(B1225,BP!$A$5:$A$9,1)))+INDEX(BP!$C$5:$C$9,MATCH(B1225,BP!$A$5:$A$9,1)),0))</f>
        <v>24</v>
      </c>
      <c r="D1225" s="12" t="str">
        <f aca="false">IF(NOT(ISNUMBER(C1225)),"",INDEX(BP!$F$5:$F$9,MATCH(C1225,BP!$E$5:$E$9,1)))</f>
        <v>ดีมาก</v>
      </c>
      <c r="E1225" s="12" t="n">
        <f aca="false">YEAR(A1225)</f>
        <v>2024</v>
      </c>
      <c r="F1225" s="12" t="n">
        <f aca="false">MONTH(A1225)</f>
        <v>5</v>
      </c>
      <c r="G1225" s="12" t="n">
        <v>16.8</v>
      </c>
      <c r="H1225" s="12" t="n">
        <v>40.3</v>
      </c>
      <c r="I1225" s="12" t="n">
        <v>69</v>
      </c>
      <c r="J1225" s="12" t="n">
        <v>0</v>
      </c>
      <c r="K1225" s="12" t="n">
        <v>0</v>
      </c>
      <c r="L1225" s="12" t="s">
        <v>36</v>
      </c>
    </row>
    <row r="1226" customFormat="false" ht="15" hidden="false" customHeight="false" outlineLevel="0" collapsed="false">
      <c r="A1226" s="11" t="n">
        <v>45421</v>
      </c>
      <c r="B1226" s="12" t="n">
        <v>14.1</v>
      </c>
      <c r="C1226" s="12" t="n">
        <f aca="false">IF(NOT(ISNUMBER(B1226)),"",ROUND((INDEX(BP!$D$5:$D$9,MATCH(B1226,BP!$A$5:$A$9,1))-INDEX(BP!$C$5:$C$9,MATCH(B1226,BP!$A$5:$A$9,1)))/(INDEX(BP!$B$5:$B$9,MATCH(B1226,BP!$A$5:$A$9,1))-INDEX(BP!$A$5:$A$9,MATCH(B1226,BP!$A$5:$A$9,1)))*(B1226-INDEX(BP!$A$5:$A$9,MATCH(B1226,BP!$A$5:$A$9,1)))+INDEX(BP!$C$5:$C$9,MATCH(B1226,BP!$A$5:$A$9,1)),0))</f>
        <v>24</v>
      </c>
      <c r="D1226" s="12" t="str">
        <f aca="false">IF(NOT(ISNUMBER(C1226)),"",INDEX(BP!$F$5:$F$9,MATCH(C1226,BP!$E$5:$E$9,1)))</f>
        <v>ดีมาก</v>
      </c>
      <c r="E1226" s="12" t="n">
        <f aca="false">YEAR(A1226)</f>
        <v>2024</v>
      </c>
      <c r="F1226" s="12" t="n">
        <f aca="false">MONTH(A1226)</f>
        <v>5</v>
      </c>
      <c r="G1226" s="12" t="n">
        <v>18.5</v>
      </c>
      <c r="H1226" s="12" t="n">
        <v>45.4</v>
      </c>
      <c r="I1226" s="12" t="n">
        <v>73</v>
      </c>
      <c r="J1226" s="12" t="n">
        <v>3.9</v>
      </c>
      <c r="K1226" s="12" t="n">
        <v>0</v>
      </c>
      <c r="L1226" s="12" t="s">
        <v>36</v>
      </c>
    </row>
    <row r="1227" customFormat="false" ht="15" hidden="false" customHeight="false" outlineLevel="0" collapsed="false">
      <c r="A1227" s="11" t="n">
        <v>45422</v>
      </c>
      <c r="B1227" s="12" t="n">
        <v>13.8</v>
      </c>
      <c r="C1227" s="12" t="n">
        <f aca="false">IF(NOT(ISNUMBER(B1227)),"",ROUND((INDEX(BP!$D$5:$D$9,MATCH(B1227,BP!$A$5:$A$9,1))-INDEX(BP!$C$5:$C$9,MATCH(B1227,BP!$A$5:$A$9,1)))/(INDEX(BP!$B$5:$B$9,MATCH(B1227,BP!$A$5:$A$9,1))-INDEX(BP!$A$5:$A$9,MATCH(B1227,BP!$A$5:$A$9,1)))*(B1227-INDEX(BP!$A$5:$A$9,MATCH(B1227,BP!$A$5:$A$9,1)))+INDEX(BP!$C$5:$C$9,MATCH(B1227,BP!$A$5:$A$9,1)),0))</f>
        <v>23</v>
      </c>
      <c r="D1227" s="12" t="str">
        <f aca="false">IF(NOT(ISNUMBER(C1227)),"",INDEX(BP!$F$5:$F$9,MATCH(C1227,BP!$E$5:$E$9,1)))</f>
        <v>ดีมาก</v>
      </c>
      <c r="E1227" s="12" t="n">
        <f aca="false">YEAR(A1227)</f>
        <v>2024</v>
      </c>
      <c r="F1227" s="12" t="n">
        <f aca="false">MONTH(A1227)</f>
        <v>5</v>
      </c>
      <c r="G1227" s="12" t="n">
        <v>14.9</v>
      </c>
      <c r="H1227" s="12" t="n">
        <v>37.1</v>
      </c>
      <c r="I1227" s="12" t="n">
        <v>33</v>
      </c>
      <c r="J1227" s="12" t="n">
        <v>9.2</v>
      </c>
      <c r="K1227" s="12" t="n">
        <v>0</v>
      </c>
      <c r="L1227" s="12" t="s">
        <v>34</v>
      </c>
    </row>
    <row r="1228" customFormat="false" ht="15" hidden="false" customHeight="false" outlineLevel="0" collapsed="false">
      <c r="A1228" s="11" t="n">
        <v>45423</v>
      </c>
      <c r="B1228" s="12" t="n">
        <v>15.3</v>
      </c>
      <c r="C1228" s="12" t="n">
        <f aca="false">IF(NOT(ISNUMBER(B1228)),"",ROUND((INDEX(BP!$D$5:$D$9,MATCH(B1228,BP!$A$5:$A$9,1))-INDEX(BP!$C$5:$C$9,MATCH(B1228,BP!$A$5:$A$9,1)))/(INDEX(BP!$B$5:$B$9,MATCH(B1228,BP!$A$5:$A$9,1))-INDEX(BP!$A$5:$A$9,MATCH(B1228,BP!$A$5:$A$9,1)))*(B1228-INDEX(BP!$A$5:$A$9,MATCH(B1228,BP!$A$5:$A$9,1)))+INDEX(BP!$C$5:$C$9,MATCH(B1228,BP!$A$5:$A$9,1)),0))</f>
        <v>26</v>
      </c>
      <c r="D1228" s="12" t="str">
        <f aca="false">IF(NOT(ISNUMBER(C1228)),"",INDEX(BP!$F$5:$F$9,MATCH(C1228,BP!$E$5:$E$9,1)))</f>
        <v>ดี</v>
      </c>
      <c r="E1228" s="12" t="n">
        <f aca="false">YEAR(A1228)</f>
        <v>2024</v>
      </c>
      <c r="F1228" s="12" t="n">
        <f aca="false">MONTH(A1228)</f>
        <v>5</v>
      </c>
      <c r="G1228" s="12" t="n">
        <v>14.3</v>
      </c>
      <c r="H1228" s="12" t="n">
        <v>27.4</v>
      </c>
      <c r="I1228" s="12" t="n">
        <v>163</v>
      </c>
      <c r="J1228" s="12" t="n">
        <v>44</v>
      </c>
      <c r="K1228" s="12" t="n">
        <v>0</v>
      </c>
      <c r="L1228" s="12" t="s">
        <v>35</v>
      </c>
    </row>
    <row r="1229" customFormat="false" ht="15" hidden="false" customHeight="false" outlineLevel="0" collapsed="false">
      <c r="A1229" s="11" t="n">
        <v>45424</v>
      </c>
      <c r="B1229" s="12" t="n">
        <v>14.2</v>
      </c>
      <c r="C1229" s="12" t="n">
        <f aca="false">IF(NOT(ISNUMBER(B1229)),"",ROUND((INDEX(BP!$D$5:$D$9,MATCH(B1229,BP!$A$5:$A$9,1))-INDEX(BP!$C$5:$C$9,MATCH(B1229,BP!$A$5:$A$9,1)))/(INDEX(BP!$B$5:$B$9,MATCH(B1229,BP!$A$5:$A$9,1))-INDEX(BP!$A$5:$A$9,MATCH(B1229,BP!$A$5:$A$9,1)))*(B1229-INDEX(BP!$A$5:$A$9,MATCH(B1229,BP!$A$5:$A$9,1)))+INDEX(BP!$C$5:$C$9,MATCH(B1229,BP!$A$5:$A$9,1)),0))</f>
        <v>24</v>
      </c>
      <c r="D1229" s="12" t="str">
        <f aca="false">IF(NOT(ISNUMBER(C1229)),"",INDEX(BP!$F$5:$F$9,MATCH(C1229,BP!$E$5:$E$9,1)))</f>
        <v>ดีมาก</v>
      </c>
      <c r="E1229" s="12" t="n">
        <f aca="false">YEAR(A1229)</f>
        <v>2024</v>
      </c>
      <c r="F1229" s="12" t="n">
        <f aca="false">MONTH(A1229)</f>
        <v>5</v>
      </c>
      <c r="G1229" s="12" t="n">
        <v>14.8</v>
      </c>
      <c r="H1229" s="12" t="n">
        <v>34.6</v>
      </c>
      <c r="I1229" s="12" t="n">
        <v>98</v>
      </c>
      <c r="J1229" s="12" t="n">
        <v>10.5</v>
      </c>
      <c r="K1229" s="12" t="n">
        <v>0</v>
      </c>
      <c r="L1229" s="12" t="s">
        <v>35</v>
      </c>
    </row>
    <row r="1230" customFormat="false" ht="15" hidden="false" customHeight="false" outlineLevel="0" collapsed="false">
      <c r="A1230" s="11" t="n">
        <v>45425</v>
      </c>
      <c r="B1230" s="12" t="n">
        <v>17.8</v>
      </c>
      <c r="C1230" s="12" t="n">
        <f aca="false">IF(NOT(ISNUMBER(B1230)),"",ROUND((INDEX(BP!$D$5:$D$9,MATCH(B1230,BP!$A$5:$A$9,1))-INDEX(BP!$C$5:$C$9,MATCH(B1230,BP!$A$5:$A$9,1)))/(INDEX(BP!$B$5:$B$9,MATCH(B1230,BP!$A$5:$A$9,1))-INDEX(BP!$A$5:$A$9,MATCH(B1230,BP!$A$5:$A$9,1)))*(B1230-INDEX(BP!$A$5:$A$9,MATCH(B1230,BP!$A$5:$A$9,1)))+INDEX(BP!$C$5:$C$9,MATCH(B1230,BP!$A$5:$A$9,1)),0))</f>
        <v>33</v>
      </c>
      <c r="D1230" s="12" t="str">
        <f aca="false">IF(NOT(ISNUMBER(C1230)),"",INDEX(BP!$F$5:$F$9,MATCH(C1230,BP!$E$5:$E$9,1)))</f>
        <v>ดี</v>
      </c>
      <c r="E1230" s="12" t="n">
        <f aca="false">YEAR(A1230)</f>
        <v>2024</v>
      </c>
      <c r="F1230" s="12" t="n">
        <f aca="false">MONTH(A1230)</f>
        <v>5</v>
      </c>
      <c r="G1230" s="12" t="n">
        <v>13.4</v>
      </c>
      <c r="H1230" s="12" t="n">
        <v>27.7</v>
      </c>
      <c r="I1230" s="12" t="n">
        <v>92</v>
      </c>
      <c r="J1230" s="12" t="n">
        <v>0.8</v>
      </c>
      <c r="K1230" s="12" t="n">
        <v>1</v>
      </c>
      <c r="L1230" s="12" t="s">
        <v>36</v>
      </c>
    </row>
    <row r="1231" customFormat="false" ht="15" hidden="false" customHeight="false" outlineLevel="0" collapsed="false">
      <c r="A1231" s="11" t="n">
        <v>45426</v>
      </c>
      <c r="B1231" s="12" t="n">
        <v>15</v>
      </c>
      <c r="C1231" s="12" t="n">
        <f aca="false">IF(NOT(ISNUMBER(B1231)),"",ROUND((INDEX(BP!$D$5:$D$9,MATCH(B1231,BP!$A$5:$A$9,1))-INDEX(BP!$C$5:$C$9,MATCH(B1231,BP!$A$5:$A$9,1)))/(INDEX(BP!$B$5:$B$9,MATCH(B1231,BP!$A$5:$A$9,1))-INDEX(BP!$A$5:$A$9,MATCH(B1231,BP!$A$5:$A$9,1)))*(B1231-INDEX(BP!$A$5:$A$9,MATCH(B1231,BP!$A$5:$A$9,1)))+INDEX(BP!$C$5:$C$9,MATCH(B1231,BP!$A$5:$A$9,1)),0))</f>
        <v>25</v>
      </c>
      <c r="D1231" s="12" t="str">
        <f aca="false">IF(NOT(ISNUMBER(C1231)),"",INDEX(BP!$F$5:$F$9,MATCH(C1231,BP!$E$5:$E$9,1)))</f>
        <v>ดีมาก</v>
      </c>
      <c r="E1231" s="12" t="n">
        <f aca="false">YEAR(A1231)</f>
        <v>2024</v>
      </c>
      <c r="F1231" s="12" t="n">
        <f aca="false">MONTH(A1231)</f>
        <v>5</v>
      </c>
      <c r="G1231" s="12" t="n">
        <v>14.1</v>
      </c>
      <c r="H1231" s="12" t="n">
        <v>31</v>
      </c>
      <c r="I1231" s="12" t="n">
        <v>51</v>
      </c>
      <c r="J1231" s="12" t="n">
        <v>4</v>
      </c>
      <c r="K1231" s="12" t="n">
        <v>0</v>
      </c>
      <c r="L1231" s="12" t="s">
        <v>36</v>
      </c>
    </row>
    <row r="1232" customFormat="false" ht="15" hidden="false" customHeight="false" outlineLevel="0" collapsed="false">
      <c r="A1232" s="11" t="n">
        <v>45427</v>
      </c>
      <c r="B1232" s="12" t="n">
        <v>15</v>
      </c>
      <c r="C1232" s="12" t="n">
        <f aca="false">IF(NOT(ISNUMBER(B1232)),"",ROUND((INDEX(BP!$D$5:$D$9,MATCH(B1232,BP!$A$5:$A$9,1))-INDEX(BP!$C$5:$C$9,MATCH(B1232,BP!$A$5:$A$9,1)))/(INDEX(BP!$B$5:$B$9,MATCH(B1232,BP!$A$5:$A$9,1))-INDEX(BP!$A$5:$A$9,MATCH(B1232,BP!$A$5:$A$9,1)))*(B1232-INDEX(BP!$A$5:$A$9,MATCH(B1232,BP!$A$5:$A$9,1)))+INDEX(BP!$C$5:$C$9,MATCH(B1232,BP!$A$5:$A$9,1)),0))</f>
        <v>25</v>
      </c>
      <c r="D1232" s="12" t="str">
        <f aca="false">IF(NOT(ISNUMBER(C1232)),"",INDEX(BP!$F$5:$F$9,MATCH(C1232,BP!$E$5:$E$9,1)))</f>
        <v>ดีมาก</v>
      </c>
      <c r="E1232" s="12" t="n">
        <f aca="false">YEAR(A1232)</f>
        <v>2024</v>
      </c>
      <c r="F1232" s="12" t="n">
        <f aca="false">MONTH(A1232)</f>
        <v>5</v>
      </c>
      <c r="G1232" s="12" t="n">
        <v>13.5</v>
      </c>
      <c r="H1232" s="12" t="n">
        <v>33.1</v>
      </c>
      <c r="I1232" s="12" t="n">
        <v>74</v>
      </c>
      <c r="J1232" s="12" t="n">
        <v>7.3</v>
      </c>
      <c r="K1232" s="12" t="n">
        <v>9.2</v>
      </c>
      <c r="L1232" s="12" t="s">
        <v>36</v>
      </c>
    </row>
    <row r="1233" customFormat="false" ht="15" hidden="false" customHeight="false" outlineLevel="0" collapsed="false">
      <c r="A1233" s="11" t="n">
        <v>45428</v>
      </c>
      <c r="B1233" s="12" t="n">
        <v>13.8</v>
      </c>
      <c r="C1233" s="12" t="n">
        <f aca="false">IF(NOT(ISNUMBER(B1233)),"",ROUND((INDEX(BP!$D$5:$D$9,MATCH(B1233,BP!$A$5:$A$9,1))-INDEX(BP!$C$5:$C$9,MATCH(B1233,BP!$A$5:$A$9,1)))/(INDEX(BP!$B$5:$B$9,MATCH(B1233,BP!$A$5:$A$9,1))-INDEX(BP!$A$5:$A$9,MATCH(B1233,BP!$A$5:$A$9,1)))*(B1233-INDEX(BP!$A$5:$A$9,MATCH(B1233,BP!$A$5:$A$9,1)))+INDEX(BP!$C$5:$C$9,MATCH(B1233,BP!$A$5:$A$9,1)),0))</f>
        <v>23</v>
      </c>
      <c r="D1233" s="12" t="str">
        <f aca="false">IF(NOT(ISNUMBER(C1233)),"",INDEX(BP!$F$5:$F$9,MATCH(C1233,BP!$E$5:$E$9,1)))</f>
        <v>ดีมาก</v>
      </c>
      <c r="E1233" s="12" t="n">
        <f aca="false">YEAR(A1233)</f>
        <v>2024</v>
      </c>
      <c r="F1233" s="12" t="n">
        <f aca="false">MONTH(A1233)</f>
        <v>5</v>
      </c>
      <c r="G1233" s="12" t="n">
        <v>12.1</v>
      </c>
      <c r="H1233" s="12" t="n">
        <v>31.7</v>
      </c>
      <c r="I1233" s="12" t="n">
        <v>68</v>
      </c>
      <c r="J1233" s="12" t="n">
        <v>17.9</v>
      </c>
      <c r="K1233" s="12" t="n">
        <v>59.4</v>
      </c>
      <c r="L1233" s="12" t="s">
        <v>36</v>
      </c>
    </row>
    <row r="1234" customFormat="false" ht="15" hidden="false" customHeight="false" outlineLevel="0" collapsed="false">
      <c r="A1234" s="11" t="n">
        <v>45429</v>
      </c>
      <c r="B1234" s="12" t="n">
        <v>13.7</v>
      </c>
      <c r="C1234" s="12" t="n">
        <f aca="false">IF(NOT(ISNUMBER(B1234)),"",ROUND((INDEX(BP!$D$5:$D$9,MATCH(B1234,BP!$A$5:$A$9,1))-INDEX(BP!$C$5:$C$9,MATCH(B1234,BP!$A$5:$A$9,1)))/(INDEX(BP!$B$5:$B$9,MATCH(B1234,BP!$A$5:$A$9,1))-INDEX(BP!$A$5:$A$9,MATCH(B1234,BP!$A$5:$A$9,1)))*(B1234-INDEX(BP!$A$5:$A$9,MATCH(B1234,BP!$A$5:$A$9,1)))+INDEX(BP!$C$5:$C$9,MATCH(B1234,BP!$A$5:$A$9,1)),0))</f>
        <v>23</v>
      </c>
      <c r="D1234" s="12" t="str">
        <f aca="false">IF(NOT(ISNUMBER(C1234)),"",INDEX(BP!$F$5:$F$9,MATCH(C1234,BP!$E$5:$E$9,1)))</f>
        <v>ดีมาก</v>
      </c>
      <c r="E1234" s="12" t="n">
        <f aca="false">YEAR(A1234)</f>
        <v>2024</v>
      </c>
      <c r="F1234" s="12" t="n">
        <f aca="false">MONTH(A1234)</f>
        <v>5</v>
      </c>
      <c r="G1234" s="12" t="n">
        <v>13</v>
      </c>
      <c r="H1234" s="12" t="n">
        <v>27.7</v>
      </c>
      <c r="I1234" s="12" t="n">
        <v>217</v>
      </c>
      <c r="J1234" s="12" t="n">
        <v>16.1</v>
      </c>
      <c r="K1234" s="12" t="n">
        <v>1</v>
      </c>
      <c r="L1234" s="12" t="s">
        <v>36</v>
      </c>
    </row>
    <row r="1235" customFormat="false" ht="15" hidden="false" customHeight="false" outlineLevel="0" collapsed="false">
      <c r="A1235" s="11" t="n">
        <v>45430</v>
      </c>
      <c r="B1235" s="12" t="n">
        <v>13.5</v>
      </c>
      <c r="C1235" s="12" t="n">
        <f aca="false">IF(NOT(ISNUMBER(B1235)),"",ROUND((INDEX(BP!$D$5:$D$9,MATCH(B1235,BP!$A$5:$A$9,1))-INDEX(BP!$C$5:$C$9,MATCH(B1235,BP!$A$5:$A$9,1)))/(INDEX(BP!$B$5:$B$9,MATCH(B1235,BP!$A$5:$A$9,1))-INDEX(BP!$A$5:$A$9,MATCH(B1235,BP!$A$5:$A$9,1)))*(B1235-INDEX(BP!$A$5:$A$9,MATCH(B1235,BP!$A$5:$A$9,1)))+INDEX(BP!$C$5:$C$9,MATCH(B1235,BP!$A$5:$A$9,1)),0))</f>
        <v>23</v>
      </c>
      <c r="D1235" s="12" t="str">
        <f aca="false">IF(NOT(ISNUMBER(C1235)),"",INDEX(BP!$F$5:$F$9,MATCH(C1235,BP!$E$5:$E$9,1)))</f>
        <v>ดีมาก</v>
      </c>
      <c r="E1235" s="12" t="n">
        <f aca="false">YEAR(A1235)</f>
        <v>2024</v>
      </c>
      <c r="F1235" s="12" t="n">
        <f aca="false">MONTH(A1235)</f>
        <v>5</v>
      </c>
      <c r="G1235" s="12" t="n">
        <v>11.4</v>
      </c>
      <c r="H1235" s="12" t="n">
        <v>23.8</v>
      </c>
      <c r="I1235" s="12" t="n">
        <v>205</v>
      </c>
      <c r="J1235" s="12" t="n">
        <v>1.7</v>
      </c>
      <c r="K1235" s="12" t="n">
        <v>0</v>
      </c>
      <c r="L1235" s="12" t="s">
        <v>35</v>
      </c>
    </row>
    <row r="1236" customFormat="false" ht="15" hidden="false" customHeight="false" outlineLevel="0" collapsed="false">
      <c r="A1236" s="11" t="n">
        <v>45431</v>
      </c>
      <c r="B1236" s="12" t="n">
        <v>14</v>
      </c>
      <c r="C1236" s="12" t="n">
        <f aca="false">IF(NOT(ISNUMBER(B1236)),"",ROUND((INDEX(BP!$D$5:$D$9,MATCH(B1236,BP!$A$5:$A$9,1))-INDEX(BP!$C$5:$C$9,MATCH(B1236,BP!$A$5:$A$9,1)))/(INDEX(BP!$B$5:$B$9,MATCH(B1236,BP!$A$5:$A$9,1))-INDEX(BP!$A$5:$A$9,MATCH(B1236,BP!$A$5:$A$9,1)))*(B1236-INDEX(BP!$A$5:$A$9,MATCH(B1236,BP!$A$5:$A$9,1)))+INDEX(BP!$C$5:$C$9,MATCH(B1236,BP!$A$5:$A$9,1)),0))</f>
        <v>23</v>
      </c>
      <c r="D1236" s="12" t="str">
        <f aca="false">IF(NOT(ISNUMBER(C1236)),"",INDEX(BP!$F$5:$F$9,MATCH(C1236,BP!$E$5:$E$9,1)))</f>
        <v>ดีมาก</v>
      </c>
      <c r="E1236" s="12" t="n">
        <f aca="false">YEAR(A1236)</f>
        <v>2024</v>
      </c>
      <c r="F1236" s="12" t="n">
        <f aca="false">MONTH(A1236)</f>
        <v>5</v>
      </c>
      <c r="G1236" s="12" t="n">
        <v>13.4</v>
      </c>
      <c r="H1236" s="12" t="n">
        <v>28.1</v>
      </c>
      <c r="I1236" s="12" t="n">
        <v>193</v>
      </c>
      <c r="J1236" s="12" t="n">
        <v>19.1</v>
      </c>
      <c r="K1236" s="12" t="n">
        <v>0</v>
      </c>
      <c r="L1236" s="12" t="s">
        <v>35</v>
      </c>
    </row>
    <row r="1237" customFormat="false" ht="15" hidden="false" customHeight="false" outlineLevel="0" collapsed="false">
      <c r="A1237" s="11" t="n">
        <v>45432</v>
      </c>
      <c r="B1237" s="12" t="n">
        <v>13.7</v>
      </c>
      <c r="C1237" s="12" t="n">
        <f aca="false">IF(NOT(ISNUMBER(B1237)),"",ROUND((INDEX(BP!$D$5:$D$9,MATCH(B1237,BP!$A$5:$A$9,1))-INDEX(BP!$C$5:$C$9,MATCH(B1237,BP!$A$5:$A$9,1)))/(INDEX(BP!$B$5:$B$9,MATCH(B1237,BP!$A$5:$A$9,1))-INDEX(BP!$A$5:$A$9,MATCH(B1237,BP!$A$5:$A$9,1)))*(B1237-INDEX(BP!$A$5:$A$9,MATCH(B1237,BP!$A$5:$A$9,1)))+INDEX(BP!$C$5:$C$9,MATCH(B1237,BP!$A$5:$A$9,1)),0))</f>
        <v>23</v>
      </c>
      <c r="D1237" s="12" t="str">
        <f aca="false">IF(NOT(ISNUMBER(C1237)),"",INDEX(BP!$F$5:$F$9,MATCH(C1237,BP!$E$5:$E$9,1)))</f>
        <v>ดีมาก</v>
      </c>
      <c r="E1237" s="12" t="n">
        <f aca="false">YEAR(A1237)</f>
        <v>2024</v>
      </c>
      <c r="F1237" s="12" t="n">
        <f aca="false">MONTH(A1237)</f>
        <v>5</v>
      </c>
      <c r="G1237" s="12" t="n">
        <v>15.8</v>
      </c>
      <c r="H1237" s="12" t="n">
        <v>37.8</v>
      </c>
      <c r="I1237" s="12" t="n">
        <v>218</v>
      </c>
      <c r="J1237" s="12" t="n">
        <v>0.8</v>
      </c>
      <c r="K1237" s="12" t="n">
        <v>0.4</v>
      </c>
      <c r="L1237" s="12" t="s">
        <v>36</v>
      </c>
    </row>
    <row r="1238" customFormat="false" ht="15" hidden="false" customHeight="false" outlineLevel="0" collapsed="false">
      <c r="A1238" s="11" t="n">
        <v>45433</v>
      </c>
      <c r="B1238" s="12" t="n">
        <v>12.3</v>
      </c>
      <c r="C1238" s="12" t="n">
        <f aca="false">IF(NOT(ISNUMBER(B1238)),"",ROUND((INDEX(BP!$D$5:$D$9,MATCH(B1238,BP!$A$5:$A$9,1))-INDEX(BP!$C$5:$C$9,MATCH(B1238,BP!$A$5:$A$9,1)))/(INDEX(BP!$B$5:$B$9,MATCH(B1238,BP!$A$5:$A$9,1))-INDEX(BP!$A$5:$A$9,MATCH(B1238,BP!$A$5:$A$9,1)))*(B1238-INDEX(BP!$A$5:$A$9,MATCH(B1238,BP!$A$5:$A$9,1)))+INDEX(BP!$C$5:$C$9,MATCH(B1238,BP!$A$5:$A$9,1)),0))</f>
        <v>21</v>
      </c>
      <c r="D1238" s="12" t="str">
        <f aca="false">IF(NOT(ISNUMBER(C1238)),"",INDEX(BP!$F$5:$F$9,MATCH(C1238,BP!$E$5:$E$9,1)))</f>
        <v>ดีมาก</v>
      </c>
      <c r="E1238" s="12" t="n">
        <f aca="false">YEAR(A1238)</f>
        <v>2024</v>
      </c>
      <c r="F1238" s="12" t="n">
        <f aca="false">MONTH(A1238)</f>
        <v>5</v>
      </c>
      <c r="G1238" s="12" t="n">
        <v>13.7</v>
      </c>
      <c r="H1238" s="12" t="n">
        <v>35.6</v>
      </c>
      <c r="I1238" s="12" t="n">
        <v>213</v>
      </c>
      <c r="J1238" s="12" t="n">
        <v>3.9</v>
      </c>
      <c r="K1238" s="12" t="n">
        <v>0.4</v>
      </c>
      <c r="L1238" s="12" t="s">
        <v>36</v>
      </c>
    </row>
    <row r="1239" customFormat="false" ht="15" hidden="false" customHeight="false" outlineLevel="0" collapsed="false">
      <c r="A1239" s="11" t="n">
        <v>45434</v>
      </c>
      <c r="B1239" s="12" t="n">
        <v>11.2</v>
      </c>
      <c r="C1239" s="12" t="n">
        <f aca="false">IF(NOT(ISNUMBER(B1239)),"",ROUND((INDEX(BP!$D$5:$D$9,MATCH(B1239,BP!$A$5:$A$9,1))-INDEX(BP!$C$5:$C$9,MATCH(B1239,BP!$A$5:$A$9,1)))/(INDEX(BP!$B$5:$B$9,MATCH(B1239,BP!$A$5:$A$9,1))-INDEX(BP!$A$5:$A$9,MATCH(B1239,BP!$A$5:$A$9,1)))*(B1239-INDEX(BP!$A$5:$A$9,MATCH(B1239,BP!$A$5:$A$9,1)))+INDEX(BP!$C$5:$C$9,MATCH(B1239,BP!$A$5:$A$9,1)),0))</f>
        <v>19</v>
      </c>
      <c r="D1239" s="12" t="str">
        <f aca="false">IF(NOT(ISNUMBER(C1239)),"",INDEX(BP!$F$5:$F$9,MATCH(C1239,BP!$E$5:$E$9,1)))</f>
        <v>ดีมาก</v>
      </c>
      <c r="E1239" s="12" t="n">
        <f aca="false">YEAR(A1239)</f>
        <v>2024</v>
      </c>
      <c r="F1239" s="12" t="n">
        <f aca="false">MONTH(A1239)</f>
        <v>5</v>
      </c>
      <c r="G1239" s="12" t="n">
        <v>12.1</v>
      </c>
      <c r="H1239" s="12" t="n">
        <v>23.8</v>
      </c>
      <c r="I1239" s="12" t="n">
        <v>158</v>
      </c>
      <c r="J1239" s="12" t="n">
        <v>0.3</v>
      </c>
      <c r="K1239" s="12" t="n">
        <v>0.6</v>
      </c>
      <c r="L1239" s="12" t="s">
        <v>34</v>
      </c>
    </row>
    <row r="1240" customFormat="false" ht="15" hidden="false" customHeight="false" outlineLevel="0" collapsed="false">
      <c r="A1240" s="11" t="n">
        <v>45435</v>
      </c>
      <c r="B1240" s="12" t="n">
        <v>12</v>
      </c>
      <c r="C1240" s="12" t="n">
        <f aca="false">IF(NOT(ISNUMBER(B1240)),"",ROUND((INDEX(BP!$D$5:$D$9,MATCH(B1240,BP!$A$5:$A$9,1))-INDEX(BP!$C$5:$C$9,MATCH(B1240,BP!$A$5:$A$9,1)))/(INDEX(BP!$B$5:$B$9,MATCH(B1240,BP!$A$5:$A$9,1))-INDEX(BP!$A$5:$A$9,MATCH(B1240,BP!$A$5:$A$9,1)))*(B1240-INDEX(BP!$A$5:$A$9,MATCH(B1240,BP!$A$5:$A$9,1)))+INDEX(BP!$C$5:$C$9,MATCH(B1240,BP!$A$5:$A$9,1)),0))</f>
        <v>20</v>
      </c>
      <c r="D1240" s="12" t="str">
        <f aca="false">IF(NOT(ISNUMBER(C1240)),"",INDEX(BP!$F$5:$F$9,MATCH(C1240,BP!$E$5:$E$9,1)))</f>
        <v>ดีมาก</v>
      </c>
      <c r="E1240" s="12" t="n">
        <f aca="false">YEAR(A1240)</f>
        <v>2024</v>
      </c>
      <c r="F1240" s="12" t="n">
        <f aca="false">MONTH(A1240)</f>
        <v>5</v>
      </c>
      <c r="G1240" s="12" t="n">
        <v>14.8</v>
      </c>
      <c r="H1240" s="12" t="n">
        <v>31</v>
      </c>
      <c r="I1240" s="12" t="n">
        <v>204</v>
      </c>
      <c r="J1240" s="12" t="n">
        <v>7</v>
      </c>
      <c r="K1240" s="12" t="n">
        <v>0</v>
      </c>
      <c r="L1240" s="12" t="s">
        <v>36</v>
      </c>
    </row>
    <row r="1241" customFormat="false" ht="15" hidden="false" customHeight="false" outlineLevel="0" collapsed="false">
      <c r="A1241" s="11" t="n">
        <v>45436</v>
      </c>
      <c r="B1241" s="12" t="n">
        <v>13.2</v>
      </c>
      <c r="C1241" s="12" t="n">
        <f aca="false">IF(NOT(ISNUMBER(B1241)),"",ROUND((INDEX(BP!$D$5:$D$9,MATCH(B1241,BP!$A$5:$A$9,1))-INDEX(BP!$C$5:$C$9,MATCH(B1241,BP!$A$5:$A$9,1)))/(INDEX(BP!$B$5:$B$9,MATCH(B1241,BP!$A$5:$A$9,1))-INDEX(BP!$A$5:$A$9,MATCH(B1241,BP!$A$5:$A$9,1)))*(B1241-INDEX(BP!$A$5:$A$9,MATCH(B1241,BP!$A$5:$A$9,1)))+INDEX(BP!$C$5:$C$9,MATCH(B1241,BP!$A$5:$A$9,1)),0))</f>
        <v>22</v>
      </c>
      <c r="D1241" s="12" t="str">
        <f aca="false">IF(NOT(ISNUMBER(C1241)),"",INDEX(BP!$F$5:$F$9,MATCH(C1241,BP!$E$5:$E$9,1)))</f>
        <v>ดีมาก</v>
      </c>
      <c r="E1241" s="12" t="n">
        <f aca="false">YEAR(A1241)</f>
        <v>2024</v>
      </c>
      <c r="F1241" s="12" t="n">
        <f aca="false">MONTH(A1241)</f>
        <v>5</v>
      </c>
      <c r="G1241" s="12" t="n">
        <v>13.5</v>
      </c>
      <c r="H1241" s="12" t="n">
        <v>23.8</v>
      </c>
      <c r="I1241" s="12" t="n">
        <v>103</v>
      </c>
      <c r="J1241" s="12" t="n">
        <v>9</v>
      </c>
      <c r="K1241" s="12" t="n">
        <v>0</v>
      </c>
      <c r="L1241" s="12" t="s">
        <v>36</v>
      </c>
    </row>
    <row r="1242" customFormat="false" ht="15" hidden="false" customHeight="false" outlineLevel="0" collapsed="false">
      <c r="A1242" s="11" t="n">
        <v>45437</v>
      </c>
      <c r="B1242" s="12" t="n">
        <v>14.1</v>
      </c>
      <c r="C1242" s="12" t="n">
        <f aca="false">IF(NOT(ISNUMBER(B1242)),"",ROUND((INDEX(BP!$D$5:$D$9,MATCH(B1242,BP!$A$5:$A$9,1))-INDEX(BP!$C$5:$C$9,MATCH(B1242,BP!$A$5:$A$9,1)))/(INDEX(BP!$B$5:$B$9,MATCH(B1242,BP!$A$5:$A$9,1))-INDEX(BP!$A$5:$A$9,MATCH(B1242,BP!$A$5:$A$9,1)))*(B1242-INDEX(BP!$A$5:$A$9,MATCH(B1242,BP!$A$5:$A$9,1)))+INDEX(BP!$C$5:$C$9,MATCH(B1242,BP!$A$5:$A$9,1)),0))</f>
        <v>24</v>
      </c>
      <c r="D1242" s="12" t="str">
        <f aca="false">IF(NOT(ISNUMBER(C1242)),"",INDEX(BP!$F$5:$F$9,MATCH(C1242,BP!$E$5:$E$9,1)))</f>
        <v>ดีมาก</v>
      </c>
      <c r="E1242" s="12" t="n">
        <f aca="false">YEAR(A1242)</f>
        <v>2024</v>
      </c>
      <c r="F1242" s="12" t="n">
        <f aca="false">MONTH(A1242)</f>
        <v>5</v>
      </c>
      <c r="G1242" s="12" t="n">
        <v>11</v>
      </c>
      <c r="H1242" s="12" t="n">
        <v>29.9</v>
      </c>
      <c r="I1242" s="12" t="n">
        <v>144</v>
      </c>
      <c r="J1242" s="12" t="n">
        <v>0.7</v>
      </c>
      <c r="K1242" s="12" t="n">
        <v>14.4</v>
      </c>
      <c r="L1242" s="12" t="s">
        <v>35</v>
      </c>
    </row>
    <row r="1243" customFormat="false" ht="15" hidden="false" customHeight="false" outlineLevel="0" collapsed="false">
      <c r="A1243" s="11" t="n">
        <v>45438</v>
      </c>
      <c r="B1243" s="12" t="n">
        <v>14.9</v>
      </c>
      <c r="C1243" s="12" t="n">
        <f aca="false">IF(NOT(ISNUMBER(B1243)),"",ROUND((INDEX(BP!$D$5:$D$9,MATCH(B1243,BP!$A$5:$A$9,1))-INDEX(BP!$C$5:$C$9,MATCH(B1243,BP!$A$5:$A$9,1)))/(INDEX(BP!$B$5:$B$9,MATCH(B1243,BP!$A$5:$A$9,1))-INDEX(BP!$A$5:$A$9,MATCH(B1243,BP!$A$5:$A$9,1)))*(B1243-INDEX(BP!$A$5:$A$9,MATCH(B1243,BP!$A$5:$A$9,1)))+INDEX(BP!$C$5:$C$9,MATCH(B1243,BP!$A$5:$A$9,1)),0))</f>
        <v>25</v>
      </c>
      <c r="D1243" s="12" t="str">
        <f aca="false">IF(NOT(ISNUMBER(C1243)),"",INDEX(BP!$F$5:$F$9,MATCH(C1243,BP!$E$5:$E$9,1)))</f>
        <v>ดีมาก</v>
      </c>
      <c r="E1243" s="12" t="n">
        <f aca="false">YEAR(A1243)</f>
        <v>2024</v>
      </c>
      <c r="F1243" s="12" t="n">
        <f aca="false">MONTH(A1243)</f>
        <v>5</v>
      </c>
      <c r="G1243" s="12" t="n">
        <v>13.8</v>
      </c>
      <c r="H1243" s="12" t="n">
        <v>32.4</v>
      </c>
      <c r="I1243" s="12" t="n">
        <v>94</v>
      </c>
      <c r="J1243" s="12" t="n">
        <v>0.1</v>
      </c>
      <c r="K1243" s="12" t="n">
        <v>0</v>
      </c>
      <c r="L1243" s="12" t="s">
        <v>35</v>
      </c>
    </row>
    <row r="1244" customFormat="false" ht="15" hidden="false" customHeight="false" outlineLevel="0" collapsed="false">
      <c r="A1244" s="11" t="n">
        <v>45439</v>
      </c>
      <c r="B1244" s="12" t="n">
        <v>17.6</v>
      </c>
      <c r="C1244" s="12" t="n">
        <f aca="false">IF(NOT(ISNUMBER(B1244)),"",ROUND((INDEX(BP!$D$5:$D$9,MATCH(B1244,BP!$A$5:$A$9,1))-INDEX(BP!$C$5:$C$9,MATCH(B1244,BP!$A$5:$A$9,1)))/(INDEX(BP!$B$5:$B$9,MATCH(B1244,BP!$A$5:$A$9,1))-INDEX(BP!$A$5:$A$9,MATCH(B1244,BP!$A$5:$A$9,1)))*(B1244-INDEX(BP!$A$5:$A$9,MATCH(B1244,BP!$A$5:$A$9,1)))+INDEX(BP!$C$5:$C$9,MATCH(B1244,BP!$A$5:$A$9,1)),0))</f>
        <v>32</v>
      </c>
      <c r="D1244" s="12" t="str">
        <f aca="false">IF(NOT(ISNUMBER(C1244)),"",INDEX(BP!$F$5:$F$9,MATCH(C1244,BP!$E$5:$E$9,1)))</f>
        <v>ดี</v>
      </c>
      <c r="E1244" s="12" t="n">
        <f aca="false">YEAR(A1244)</f>
        <v>2024</v>
      </c>
      <c r="F1244" s="12" t="n">
        <f aca="false">MONTH(A1244)</f>
        <v>5</v>
      </c>
      <c r="G1244" s="12" t="n">
        <v>12</v>
      </c>
      <c r="H1244" s="12" t="n">
        <v>29.2</v>
      </c>
      <c r="I1244" s="12" t="n">
        <v>152</v>
      </c>
      <c r="J1244" s="12" t="n">
        <v>0</v>
      </c>
      <c r="K1244" s="12" t="n">
        <v>0</v>
      </c>
      <c r="L1244" s="12" t="s">
        <v>36</v>
      </c>
    </row>
    <row r="1245" customFormat="false" ht="15" hidden="false" customHeight="false" outlineLevel="0" collapsed="false">
      <c r="A1245" s="11" t="n">
        <v>45440</v>
      </c>
      <c r="B1245" s="12" t="n">
        <v>14.5</v>
      </c>
      <c r="C1245" s="12" t="n">
        <f aca="false">IF(NOT(ISNUMBER(B1245)),"",ROUND((INDEX(BP!$D$5:$D$9,MATCH(B1245,BP!$A$5:$A$9,1))-INDEX(BP!$C$5:$C$9,MATCH(B1245,BP!$A$5:$A$9,1)))/(INDEX(BP!$B$5:$B$9,MATCH(B1245,BP!$A$5:$A$9,1))-INDEX(BP!$A$5:$A$9,MATCH(B1245,BP!$A$5:$A$9,1)))*(B1245-INDEX(BP!$A$5:$A$9,MATCH(B1245,BP!$A$5:$A$9,1)))+INDEX(BP!$C$5:$C$9,MATCH(B1245,BP!$A$5:$A$9,1)),0))</f>
        <v>24</v>
      </c>
      <c r="D1245" s="12" t="str">
        <f aca="false">IF(NOT(ISNUMBER(C1245)),"",INDEX(BP!$F$5:$F$9,MATCH(C1245,BP!$E$5:$E$9,1)))</f>
        <v>ดีมาก</v>
      </c>
      <c r="E1245" s="12" t="n">
        <f aca="false">YEAR(A1245)</f>
        <v>2024</v>
      </c>
      <c r="F1245" s="12" t="n">
        <f aca="false">MONTH(A1245)</f>
        <v>5</v>
      </c>
      <c r="G1245" s="12" t="n">
        <v>11.5</v>
      </c>
      <c r="H1245" s="12" t="n">
        <v>28.4</v>
      </c>
      <c r="I1245" s="12" t="n">
        <v>208</v>
      </c>
      <c r="J1245" s="12" t="n">
        <v>9.5</v>
      </c>
      <c r="K1245" s="12" t="n">
        <v>0</v>
      </c>
      <c r="L1245" s="12" t="s">
        <v>36</v>
      </c>
    </row>
    <row r="1246" customFormat="false" ht="15" hidden="false" customHeight="false" outlineLevel="0" collapsed="false">
      <c r="A1246" s="11" t="n">
        <v>45441</v>
      </c>
      <c r="B1246" s="12" t="n">
        <v>14.5</v>
      </c>
      <c r="C1246" s="12" t="n">
        <f aca="false">IF(NOT(ISNUMBER(B1246)),"",ROUND((INDEX(BP!$D$5:$D$9,MATCH(B1246,BP!$A$5:$A$9,1))-INDEX(BP!$C$5:$C$9,MATCH(B1246,BP!$A$5:$A$9,1)))/(INDEX(BP!$B$5:$B$9,MATCH(B1246,BP!$A$5:$A$9,1))-INDEX(BP!$A$5:$A$9,MATCH(B1246,BP!$A$5:$A$9,1)))*(B1246-INDEX(BP!$A$5:$A$9,MATCH(B1246,BP!$A$5:$A$9,1)))+INDEX(BP!$C$5:$C$9,MATCH(B1246,BP!$A$5:$A$9,1)),0))</f>
        <v>24</v>
      </c>
      <c r="D1246" s="12" t="str">
        <f aca="false">IF(NOT(ISNUMBER(C1246)),"",INDEX(BP!$F$5:$F$9,MATCH(C1246,BP!$E$5:$E$9,1)))</f>
        <v>ดีมาก</v>
      </c>
      <c r="E1246" s="12" t="n">
        <f aca="false">YEAR(A1246)</f>
        <v>2024</v>
      </c>
      <c r="F1246" s="12" t="n">
        <f aca="false">MONTH(A1246)</f>
        <v>5</v>
      </c>
      <c r="G1246" s="12" t="n">
        <v>13</v>
      </c>
      <c r="H1246" s="12" t="n">
        <v>27</v>
      </c>
      <c r="I1246" s="12" t="n">
        <v>218</v>
      </c>
      <c r="J1246" s="12" t="n">
        <v>1</v>
      </c>
      <c r="K1246" s="12" t="n">
        <v>1.2</v>
      </c>
      <c r="L1246" s="12" t="s">
        <v>36</v>
      </c>
    </row>
    <row r="1247" customFormat="false" ht="15" hidden="false" customHeight="false" outlineLevel="0" collapsed="false">
      <c r="A1247" s="11" t="n">
        <v>45442</v>
      </c>
      <c r="B1247" s="12" t="n">
        <v>12.6</v>
      </c>
      <c r="C1247" s="12" t="n">
        <f aca="false">IF(NOT(ISNUMBER(B1247)),"",ROUND((INDEX(BP!$D$5:$D$9,MATCH(B1247,BP!$A$5:$A$9,1))-INDEX(BP!$C$5:$C$9,MATCH(B1247,BP!$A$5:$A$9,1)))/(INDEX(BP!$B$5:$B$9,MATCH(B1247,BP!$A$5:$A$9,1))-INDEX(BP!$A$5:$A$9,MATCH(B1247,BP!$A$5:$A$9,1)))*(B1247-INDEX(BP!$A$5:$A$9,MATCH(B1247,BP!$A$5:$A$9,1)))+INDEX(BP!$C$5:$C$9,MATCH(B1247,BP!$A$5:$A$9,1)),0))</f>
        <v>21</v>
      </c>
      <c r="D1247" s="12" t="str">
        <f aca="false">IF(NOT(ISNUMBER(C1247)),"",INDEX(BP!$F$5:$F$9,MATCH(C1247,BP!$E$5:$E$9,1)))</f>
        <v>ดีมาก</v>
      </c>
      <c r="E1247" s="12" t="n">
        <f aca="false">YEAR(A1247)</f>
        <v>2024</v>
      </c>
      <c r="F1247" s="12" t="n">
        <f aca="false">MONTH(A1247)</f>
        <v>5</v>
      </c>
      <c r="G1247" s="12" t="n">
        <v>16.8</v>
      </c>
      <c r="H1247" s="12" t="n">
        <v>32.4</v>
      </c>
      <c r="I1247" s="12" t="n">
        <v>221</v>
      </c>
      <c r="J1247" s="12" t="n">
        <v>13.9</v>
      </c>
      <c r="K1247" s="12" t="n">
        <v>0</v>
      </c>
      <c r="L1247" s="12" t="s">
        <v>36</v>
      </c>
    </row>
    <row r="1248" customFormat="false" ht="15" hidden="false" customHeight="false" outlineLevel="0" collapsed="false">
      <c r="A1248" s="11" t="n">
        <v>45443</v>
      </c>
      <c r="B1248" s="12" t="n">
        <v>11.2</v>
      </c>
      <c r="C1248" s="12" t="n">
        <f aca="false">IF(NOT(ISNUMBER(B1248)),"",ROUND((INDEX(BP!$D$5:$D$9,MATCH(B1248,BP!$A$5:$A$9,1))-INDEX(BP!$C$5:$C$9,MATCH(B1248,BP!$A$5:$A$9,1)))/(INDEX(BP!$B$5:$B$9,MATCH(B1248,BP!$A$5:$A$9,1))-INDEX(BP!$A$5:$A$9,MATCH(B1248,BP!$A$5:$A$9,1)))*(B1248-INDEX(BP!$A$5:$A$9,MATCH(B1248,BP!$A$5:$A$9,1)))+INDEX(BP!$C$5:$C$9,MATCH(B1248,BP!$A$5:$A$9,1)),0))</f>
        <v>19</v>
      </c>
      <c r="D1248" s="12" t="str">
        <f aca="false">IF(NOT(ISNUMBER(C1248)),"",INDEX(BP!$F$5:$F$9,MATCH(C1248,BP!$E$5:$E$9,1)))</f>
        <v>ดีมาก</v>
      </c>
      <c r="E1248" s="12" t="n">
        <f aca="false">YEAR(A1248)</f>
        <v>2024</v>
      </c>
      <c r="F1248" s="12" t="n">
        <f aca="false">MONTH(A1248)</f>
        <v>5</v>
      </c>
      <c r="G1248" s="12" t="n">
        <v>15</v>
      </c>
      <c r="H1248" s="12" t="n">
        <v>33.8</v>
      </c>
      <c r="I1248" s="12" t="n">
        <v>206</v>
      </c>
      <c r="J1248" s="12" t="n">
        <v>14.8</v>
      </c>
      <c r="K1248" s="12" t="n">
        <v>5.8</v>
      </c>
      <c r="L1248" s="12" t="s">
        <v>36</v>
      </c>
    </row>
    <row r="1249" customFormat="false" ht="15" hidden="false" customHeight="false" outlineLevel="0" collapsed="false">
      <c r="A1249" s="11" t="n">
        <v>45444</v>
      </c>
      <c r="B1249" s="12" t="n">
        <v>12.9</v>
      </c>
      <c r="C1249" s="12" t="n">
        <f aca="false">IF(NOT(ISNUMBER(B1249)),"",ROUND((INDEX(BP!$D$5:$D$9,MATCH(B1249,BP!$A$5:$A$9,1))-INDEX(BP!$C$5:$C$9,MATCH(B1249,BP!$A$5:$A$9,1)))/(INDEX(BP!$B$5:$B$9,MATCH(B1249,BP!$A$5:$A$9,1))-INDEX(BP!$A$5:$A$9,MATCH(B1249,BP!$A$5:$A$9,1)))*(B1249-INDEX(BP!$A$5:$A$9,MATCH(B1249,BP!$A$5:$A$9,1)))+INDEX(BP!$C$5:$C$9,MATCH(B1249,BP!$A$5:$A$9,1)),0))</f>
        <v>22</v>
      </c>
      <c r="D1249" s="12" t="str">
        <f aca="false">IF(NOT(ISNUMBER(C1249)),"",INDEX(BP!$F$5:$F$9,MATCH(C1249,BP!$E$5:$E$9,1)))</f>
        <v>ดีมาก</v>
      </c>
      <c r="E1249" s="12" t="n">
        <f aca="false">YEAR(A1249)</f>
        <v>2024</v>
      </c>
      <c r="F1249" s="12" t="n">
        <f aca="false">MONTH(A1249)</f>
        <v>6</v>
      </c>
      <c r="G1249" s="12" t="n">
        <v>12</v>
      </c>
      <c r="H1249" s="12" t="n">
        <v>25.2</v>
      </c>
      <c r="I1249" s="12" t="n">
        <v>197</v>
      </c>
      <c r="J1249" s="12" t="n">
        <v>21.3</v>
      </c>
      <c r="K1249" s="12" t="n">
        <v>0.6</v>
      </c>
      <c r="L1249" s="12" t="s">
        <v>35</v>
      </c>
    </row>
    <row r="1250" customFormat="false" ht="15" hidden="false" customHeight="false" outlineLevel="0" collapsed="false">
      <c r="A1250" s="11" t="n">
        <v>45445</v>
      </c>
      <c r="B1250" s="12" t="n">
        <v>11.9</v>
      </c>
      <c r="C1250" s="12" t="n">
        <f aca="false">IF(NOT(ISNUMBER(B1250)),"",ROUND((INDEX(BP!$D$5:$D$9,MATCH(B1250,BP!$A$5:$A$9,1))-INDEX(BP!$C$5:$C$9,MATCH(B1250,BP!$A$5:$A$9,1)))/(INDEX(BP!$B$5:$B$9,MATCH(B1250,BP!$A$5:$A$9,1))-INDEX(BP!$A$5:$A$9,MATCH(B1250,BP!$A$5:$A$9,1)))*(B1250-INDEX(BP!$A$5:$A$9,MATCH(B1250,BP!$A$5:$A$9,1)))+INDEX(BP!$C$5:$C$9,MATCH(B1250,BP!$A$5:$A$9,1)),0))</f>
        <v>20</v>
      </c>
      <c r="D1250" s="12" t="str">
        <f aca="false">IF(NOT(ISNUMBER(C1250)),"",INDEX(BP!$F$5:$F$9,MATCH(C1250,BP!$E$5:$E$9,1)))</f>
        <v>ดีมาก</v>
      </c>
      <c r="E1250" s="12" t="n">
        <f aca="false">YEAR(A1250)</f>
        <v>2024</v>
      </c>
      <c r="F1250" s="12" t="n">
        <f aca="false">MONTH(A1250)</f>
        <v>6</v>
      </c>
      <c r="G1250" s="12" t="n">
        <v>12.6</v>
      </c>
      <c r="H1250" s="12" t="n">
        <v>26.6</v>
      </c>
      <c r="I1250" s="12" t="n">
        <v>353</v>
      </c>
      <c r="J1250" s="12" t="n">
        <v>22.1</v>
      </c>
      <c r="K1250" s="12" t="n">
        <v>14.2</v>
      </c>
      <c r="L1250" s="12" t="s">
        <v>35</v>
      </c>
    </row>
    <row r="1251" customFormat="false" ht="15" hidden="false" customHeight="false" outlineLevel="0" collapsed="false">
      <c r="A1251" s="11" t="n">
        <v>45446</v>
      </c>
      <c r="B1251" s="12" t="n">
        <v>11.8</v>
      </c>
      <c r="C1251" s="12" t="n">
        <f aca="false">IF(NOT(ISNUMBER(B1251)),"",ROUND((INDEX(BP!$D$5:$D$9,MATCH(B1251,BP!$A$5:$A$9,1))-INDEX(BP!$C$5:$C$9,MATCH(B1251,BP!$A$5:$A$9,1)))/(INDEX(BP!$B$5:$B$9,MATCH(B1251,BP!$A$5:$A$9,1))-INDEX(BP!$A$5:$A$9,MATCH(B1251,BP!$A$5:$A$9,1)))*(B1251-INDEX(BP!$A$5:$A$9,MATCH(B1251,BP!$A$5:$A$9,1)))+INDEX(BP!$C$5:$C$9,MATCH(B1251,BP!$A$5:$A$9,1)),0))</f>
        <v>20</v>
      </c>
      <c r="D1251" s="12" t="str">
        <f aca="false">IF(NOT(ISNUMBER(C1251)),"",INDEX(BP!$F$5:$F$9,MATCH(C1251,BP!$E$5:$E$9,1)))</f>
        <v>ดีมาก</v>
      </c>
      <c r="E1251" s="12" t="n">
        <f aca="false">YEAR(A1251)</f>
        <v>2024</v>
      </c>
      <c r="F1251" s="12" t="n">
        <f aca="false">MONTH(A1251)</f>
        <v>6</v>
      </c>
      <c r="G1251" s="12" t="n">
        <v>11</v>
      </c>
      <c r="H1251" s="12" t="n">
        <v>25.9</v>
      </c>
      <c r="I1251" s="12" t="n">
        <v>223</v>
      </c>
      <c r="J1251" s="12" t="n">
        <v>14.8</v>
      </c>
      <c r="K1251" s="12" t="n">
        <v>0</v>
      </c>
      <c r="L1251" s="12" t="s">
        <v>34</v>
      </c>
    </row>
    <row r="1252" customFormat="false" ht="15" hidden="false" customHeight="false" outlineLevel="0" collapsed="false">
      <c r="A1252" s="11" t="n">
        <v>45447</v>
      </c>
      <c r="B1252" s="12" t="n">
        <v>12.8</v>
      </c>
      <c r="C1252" s="12" t="n">
        <f aca="false">IF(NOT(ISNUMBER(B1252)),"",ROUND((INDEX(BP!$D$5:$D$9,MATCH(B1252,BP!$A$5:$A$9,1))-INDEX(BP!$C$5:$C$9,MATCH(B1252,BP!$A$5:$A$9,1)))/(INDEX(BP!$B$5:$B$9,MATCH(B1252,BP!$A$5:$A$9,1))-INDEX(BP!$A$5:$A$9,MATCH(B1252,BP!$A$5:$A$9,1)))*(B1252-INDEX(BP!$A$5:$A$9,MATCH(B1252,BP!$A$5:$A$9,1)))+INDEX(BP!$C$5:$C$9,MATCH(B1252,BP!$A$5:$A$9,1)),0))</f>
        <v>21</v>
      </c>
      <c r="D1252" s="12" t="str">
        <f aca="false">IF(NOT(ISNUMBER(C1252)),"",INDEX(BP!$F$5:$F$9,MATCH(C1252,BP!$E$5:$E$9,1)))</f>
        <v>ดีมาก</v>
      </c>
      <c r="E1252" s="12" t="n">
        <f aca="false">YEAR(A1252)</f>
        <v>2024</v>
      </c>
      <c r="F1252" s="12" t="n">
        <f aca="false">MONTH(A1252)</f>
        <v>6</v>
      </c>
      <c r="G1252" s="12" t="n">
        <v>14.8</v>
      </c>
      <c r="H1252" s="12" t="n">
        <v>31</v>
      </c>
      <c r="I1252" s="12" t="n">
        <v>239</v>
      </c>
      <c r="J1252" s="12" t="n">
        <v>0</v>
      </c>
      <c r="K1252" s="12" t="n">
        <v>0</v>
      </c>
      <c r="L1252" s="12" t="s">
        <v>36</v>
      </c>
    </row>
    <row r="1253" customFormat="false" ht="15" hidden="false" customHeight="false" outlineLevel="0" collapsed="false">
      <c r="A1253" s="11" t="n">
        <v>45448</v>
      </c>
      <c r="B1253" s="12" t="n">
        <v>12.6</v>
      </c>
      <c r="C1253" s="12" t="n">
        <f aca="false">IF(NOT(ISNUMBER(B1253)),"",ROUND((INDEX(BP!$D$5:$D$9,MATCH(B1253,BP!$A$5:$A$9,1))-INDEX(BP!$C$5:$C$9,MATCH(B1253,BP!$A$5:$A$9,1)))/(INDEX(BP!$B$5:$B$9,MATCH(B1253,BP!$A$5:$A$9,1))-INDEX(BP!$A$5:$A$9,MATCH(B1253,BP!$A$5:$A$9,1)))*(B1253-INDEX(BP!$A$5:$A$9,MATCH(B1253,BP!$A$5:$A$9,1)))+INDEX(BP!$C$5:$C$9,MATCH(B1253,BP!$A$5:$A$9,1)),0))</f>
        <v>21</v>
      </c>
      <c r="D1253" s="12" t="str">
        <f aca="false">IF(NOT(ISNUMBER(C1253)),"",INDEX(BP!$F$5:$F$9,MATCH(C1253,BP!$E$5:$E$9,1)))</f>
        <v>ดีมาก</v>
      </c>
      <c r="E1253" s="12" t="n">
        <f aca="false">YEAR(A1253)</f>
        <v>2024</v>
      </c>
      <c r="F1253" s="12" t="n">
        <f aca="false">MONTH(A1253)</f>
        <v>6</v>
      </c>
      <c r="G1253" s="12" t="n">
        <v>18.9</v>
      </c>
      <c r="H1253" s="12" t="n">
        <v>38.2</v>
      </c>
      <c r="I1253" s="12" t="n">
        <v>247</v>
      </c>
      <c r="J1253" s="12" t="n">
        <v>0</v>
      </c>
      <c r="K1253" s="12" t="n">
        <v>0</v>
      </c>
      <c r="L1253" s="12" t="s">
        <v>36</v>
      </c>
    </row>
    <row r="1254" customFormat="false" ht="15" hidden="false" customHeight="false" outlineLevel="0" collapsed="false">
      <c r="A1254" s="11" t="n">
        <v>45449</v>
      </c>
      <c r="B1254" s="12" t="n">
        <v>12.1</v>
      </c>
      <c r="C1254" s="12" t="n">
        <f aca="false">IF(NOT(ISNUMBER(B1254)),"",ROUND((INDEX(BP!$D$5:$D$9,MATCH(B1254,BP!$A$5:$A$9,1))-INDEX(BP!$C$5:$C$9,MATCH(B1254,BP!$A$5:$A$9,1)))/(INDEX(BP!$B$5:$B$9,MATCH(B1254,BP!$A$5:$A$9,1))-INDEX(BP!$A$5:$A$9,MATCH(B1254,BP!$A$5:$A$9,1)))*(B1254-INDEX(BP!$A$5:$A$9,MATCH(B1254,BP!$A$5:$A$9,1)))+INDEX(BP!$C$5:$C$9,MATCH(B1254,BP!$A$5:$A$9,1)),0))</f>
        <v>20</v>
      </c>
      <c r="D1254" s="12" t="str">
        <f aca="false">IF(NOT(ISNUMBER(C1254)),"",INDEX(BP!$F$5:$F$9,MATCH(C1254,BP!$E$5:$E$9,1)))</f>
        <v>ดีมาก</v>
      </c>
      <c r="E1254" s="12" t="n">
        <f aca="false">YEAR(A1254)</f>
        <v>2024</v>
      </c>
      <c r="F1254" s="12" t="n">
        <f aca="false">MONTH(A1254)</f>
        <v>6</v>
      </c>
      <c r="G1254" s="12" t="n">
        <v>12.8</v>
      </c>
      <c r="H1254" s="12" t="n">
        <v>25.9</v>
      </c>
      <c r="I1254" s="12" t="n">
        <v>258</v>
      </c>
      <c r="J1254" s="12" t="n">
        <v>0.2</v>
      </c>
      <c r="K1254" s="12" t="n">
        <v>0</v>
      </c>
      <c r="L1254" s="12" t="s">
        <v>36</v>
      </c>
    </row>
    <row r="1255" customFormat="false" ht="15" hidden="false" customHeight="false" outlineLevel="0" collapsed="false">
      <c r="A1255" s="11" t="n">
        <v>45450</v>
      </c>
      <c r="B1255" s="12" t="n">
        <v>11.2</v>
      </c>
      <c r="C1255" s="12" t="n">
        <f aca="false">IF(NOT(ISNUMBER(B1255)),"",ROUND((INDEX(BP!$D$5:$D$9,MATCH(B1255,BP!$A$5:$A$9,1))-INDEX(BP!$C$5:$C$9,MATCH(B1255,BP!$A$5:$A$9,1)))/(INDEX(BP!$B$5:$B$9,MATCH(B1255,BP!$A$5:$A$9,1))-INDEX(BP!$A$5:$A$9,MATCH(B1255,BP!$A$5:$A$9,1)))*(B1255-INDEX(BP!$A$5:$A$9,MATCH(B1255,BP!$A$5:$A$9,1)))+INDEX(BP!$C$5:$C$9,MATCH(B1255,BP!$A$5:$A$9,1)),0))</f>
        <v>19</v>
      </c>
      <c r="D1255" s="12" t="str">
        <f aca="false">IF(NOT(ISNUMBER(C1255)),"",INDEX(BP!$F$5:$F$9,MATCH(C1255,BP!$E$5:$E$9,1)))</f>
        <v>ดีมาก</v>
      </c>
      <c r="E1255" s="12" t="n">
        <f aca="false">YEAR(A1255)</f>
        <v>2024</v>
      </c>
      <c r="F1255" s="12" t="n">
        <f aca="false">MONTH(A1255)</f>
        <v>6</v>
      </c>
      <c r="G1255" s="12" t="n">
        <v>14.2</v>
      </c>
      <c r="H1255" s="12" t="n">
        <v>28.8</v>
      </c>
      <c r="I1255" s="12" t="n">
        <v>219</v>
      </c>
      <c r="J1255" s="12" t="n">
        <v>1.5</v>
      </c>
      <c r="K1255" s="12" t="n">
        <v>33.2</v>
      </c>
      <c r="L1255" s="12" t="s">
        <v>36</v>
      </c>
    </row>
    <row r="1256" customFormat="false" ht="15" hidden="false" customHeight="false" outlineLevel="0" collapsed="false">
      <c r="A1256" s="11" t="n">
        <v>45451</v>
      </c>
      <c r="B1256" s="12" t="n">
        <v>12.3</v>
      </c>
      <c r="C1256" s="12" t="n">
        <f aca="false">IF(NOT(ISNUMBER(B1256)),"",ROUND((INDEX(BP!$D$5:$D$9,MATCH(B1256,BP!$A$5:$A$9,1))-INDEX(BP!$C$5:$C$9,MATCH(B1256,BP!$A$5:$A$9,1)))/(INDEX(BP!$B$5:$B$9,MATCH(B1256,BP!$A$5:$A$9,1))-INDEX(BP!$A$5:$A$9,MATCH(B1256,BP!$A$5:$A$9,1)))*(B1256-INDEX(BP!$A$5:$A$9,MATCH(B1256,BP!$A$5:$A$9,1)))+INDEX(BP!$C$5:$C$9,MATCH(B1256,BP!$A$5:$A$9,1)),0))</f>
        <v>21</v>
      </c>
      <c r="D1256" s="12" t="str">
        <f aca="false">IF(NOT(ISNUMBER(C1256)),"",INDEX(BP!$F$5:$F$9,MATCH(C1256,BP!$E$5:$E$9,1)))</f>
        <v>ดีมาก</v>
      </c>
      <c r="E1256" s="12" t="n">
        <f aca="false">YEAR(A1256)</f>
        <v>2024</v>
      </c>
      <c r="F1256" s="12" t="n">
        <f aca="false">MONTH(A1256)</f>
        <v>6</v>
      </c>
      <c r="G1256" s="12" t="n">
        <v>17.1</v>
      </c>
      <c r="H1256" s="12" t="n">
        <v>36.4</v>
      </c>
      <c r="I1256" s="12" t="n">
        <v>237</v>
      </c>
      <c r="J1256" s="12" t="n">
        <v>0.1</v>
      </c>
      <c r="K1256" s="12" t="n">
        <v>0</v>
      </c>
      <c r="L1256" s="12" t="s">
        <v>35</v>
      </c>
    </row>
    <row r="1257" customFormat="false" ht="15" hidden="false" customHeight="false" outlineLevel="0" collapsed="false">
      <c r="A1257" s="11" t="n">
        <v>45452</v>
      </c>
      <c r="B1257" s="12" t="n">
        <v>14.5</v>
      </c>
      <c r="C1257" s="12" t="n">
        <f aca="false">IF(NOT(ISNUMBER(B1257)),"",ROUND((INDEX(BP!$D$5:$D$9,MATCH(B1257,BP!$A$5:$A$9,1))-INDEX(BP!$C$5:$C$9,MATCH(B1257,BP!$A$5:$A$9,1)))/(INDEX(BP!$B$5:$B$9,MATCH(B1257,BP!$A$5:$A$9,1))-INDEX(BP!$A$5:$A$9,MATCH(B1257,BP!$A$5:$A$9,1)))*(B1257-INDEX(BP!$A$5:$A$9,MATCH(B1257,BP!$A$5:$A$9,1)))+INDEX(BP!$C$5:$C$9,MATCH(B1257,BP!$A$5:$A$9,1)),0))</f>
        <v>24</v>
      </c>
      <c r="D1257" s="12" t="str">
        <f aca="false">IF(NOT(ISNUMBER(C1257)),"",INDEX(BP!$F$5:$F$9,MATCH(C1257,BP!$E$5:$E$9,1)))</f>
        <v>ดีมาก</v>
      </c>
      <c r="E1257" s="12" t="n">
        <f aca="false">YEAR(A1257)</f>
        <v>2024</v>
      </c>
      <c r="F1257" s="12" t="n">
        <f aca="false">MONTH(A1257)</f>
        <v>6</v>
      </c>
      <c r="G1257" s="12" t="n">
        <v>22.1</v>
      </c>
      <c r="H1257" s="12" t="n">
        <v>46.4</v>
      </c>
      <c r="I1257" s="12" t="n">
        <v>244</v>
      </c>
      <c r="J1257" s="12" t="n">
        <v>0</v>
      </c>
      <c r="K1257" s="12" t="n">
        <v>0</v>
      </c>
      <c r="L1257" s="12" t="s">
        <v>35</v>
      </c>
    </row>
    <row r="1258" customFormat="false" ht="15" hidden="false" customHeight="false" outlineLevel="0" collapsed="false">
      <c r="A1258" s="11" t="n">
        <v>45453</v>
      </c>
      <c r="B1258" s="12" t="n">
        <v>13</v>
      </c>
      <c r="C1258" s="12" t="n">
        <f aca="false">IF(NOT(ISNUMBER(B1258)),"",ROUND((INDEX(BP!$D$5:$D$9,MATCH(B1258,BP!$A$5:$A$9,1))-INDEX(BP!$C$5:$C$9,MATCH(B1258,BP!$A$5:$A$9,1)))/(INDEX(BP!$B$5:$B$9,MATCH(B1258,BP!$A$5:$A$9,1))-INDEX(BP!$A$5:$A$9,MATCH(B1258,BP!$A$5:$A$9,1)))*(B1258-INDEX(BP!$A$5:$A$9,MATCH(B1258,BP!$A$5:$A$9,1)))+INDEX(BP!$C$5:$C$9,MATCH(B1258,BP!$A$5:$A$9,1)),0))</f>
        <v>22</v>
      </c>
      <c r="D1258" s="12" t="str">
        <f aca="false">IF(NOT(ISNUMBER(C1258)),"",INDEX(BP!$F$5:$F$9,MATCH(C1258,BP!$E$5:$E$9,1)))</f>
        <v>ดีมาก</v>
      </c>
      <c r="E1258" s="12" t="n">
        <f aca="false">YEAR(A1258)</f>
        <v>2024</v>
      </c>
      <c r="F1258" s="12" t="n">
        <f aca="false">MONTH(A1258)</f>
        <v>6</v>
      </c>
      <c r="G1258" s="12" t="n">
        <v>23.3</v>
      </c>
      <c r="H1258" s="12" t="n">
        <v>46.1</v>
      </c>
      <c r="I1258" s="12" t="n">
        <v>231</v>
      </c>
      <c r="J1258" s="12" t="n">
        <v>0</v>
      </c>
      <c r="K1258" s="12" t="n">
        <v>0</v>
      </c>
      <c r="L1258" s="12" t="s">
        <v>36</v>
      </c>
    </row>
    <row r="1259" customFormat="false" ht="15" hidden="false" customHeight="false" outlineLevel="0" collapsed="false">
      <c r="A1259" s="11" t="n">
        <v>45454</v>
      </c>
      <c r="B1259" s="12" t="n">
        <v>13.1</v>
      </c>
      <c r="C1259" s="12" t="n">
        <f aca="false">IF(NOT(ISNUMBER(B1259)),"",ROUND((INDEX(BP!$D$5:$D$9,MATCH(B1259,BP!$A$5:$A$9,1))-INDEX(BP!$C$5:$C$9,MATCH(B1259,BP!$A$5:$A$9,1)))/(INDEX(BP!$B$5:$B$9,MATCH(B1259,BP!$A$5:$A$9,1))-INDEX(BP!$A$5:$A$9,MATCH(B1259,BP!$A$5:$A$9,1)))*(B1259-INDEX(BP!$A$5:$A$9,MATCH(B1259,BP!$A$5:$A$9,1)))+INDEX(BP!$C$5:$C$9,MATCH(B1259,BP!$A$5:$A$9,1)),0))</f>
        <v>22</v>
      </c>
      <c r="D1259" s="12" t="str">
        <f aca="false">IF(NOT(ISNUMBER(C1259)),"",INDEX(BP!$F$5:$F$9,MATCH(C1259,BP!$E$5:$E$9,1)))</f>
        <v>ดีมาก</v>
      </c>
      <c r="E1259" s="12" t="n">
        <f aca="false">YEAR(A1259)</f>
        <v>2024</v>
      </c>
      <c r="F1259" s="12" t="n">
        <f aca="false">MONTH(A1259)</f>
        <v>6</v>
      </c>
      <c r="G1259" s="12" t="n">
        <v>20.8</v>
      </c>
      <c r="H1259" s="12" t="n">
        <v>42.8</v>
      </c>
      <c r="I1259" s="12" t="n">
        <v>241</v>
      </c>
      <c r="J1259" s="12" t="n">
        <v>0</v>
      </c>
      <c r="K1259" s="12" t="n">
        <v>0</v>
      </c>
      <c r="L1259" s="12" t="s">
        <v>36</v>
      </c>
    </row>
    <row r="1260" customFormat="false" ht="15" hidden="false" customHeight="false" outlineLevel="0" collapsed="false">
      <c r="A1260" s="11" t="n">
        <v>45455</v>
      </c>
      <c r="B1260" s="12" t="n">
        <v>12.7</v>
      </c>
      <c r="C1260" s="12" t="n">
        <f aca="false">IF(NOT(ISNUMBER(B1260)),"",ROUND((INDEX(BP!$D$5:$D$9,MATCH(B1260,BP!$A$5:$A$9,1))-INDEX(BP!$C$5:$C$9,MATCH(B1260,BP!$A$5:$A$9,1)))/(INDEX(BP!$B$5:$B$9,MATCH(B1260,BP!$A$5:$A$9,1))-INDEX(BP!$A$5:$A$9,MATCH(B1260,BP!$A$5:$A$9,1)))*(B1260-INDEX(BP!$A$5:$A$9,MATCH(B1260,BP!$A$5:$A$9,1)))+INDEX(BP!$C$5:$C$9,MATCH(B1260,BP!$A$5:$A$9,1)),0))</f>
        <v>21</v>
      </c>
      <c r="D1260" s="12" t="str">
        <f aca="false">IF(NOT(ISNUMBER(C1260)),"",INDEX(BP!$F$5:$F$9,MATCH(C1260,BP!$E$5:$E$9,1)))</f>
        <v>ดีมาก</v>
      </c>
      <c r="E1260" s="12" t="n">
        <f aca="false">YEAR(A1260)</f>
        <v>2024</v>
      </c>
      <c r="F1260" s="12" t="n">
        <f aca="false">MONTH(A1260)</f>
        <v>6</v>
      </c>
      <c r="G1260" s="12" t="n">
        <v>12.2</v>
      </c>
      <c r="H1260" s="12" t="n">
        <v>30.6</v>
      </c>
      <c r="I1260" s="12" t="n">
        <v>222</v>
      </c>
      <c r="J1260" s="12" t="n">
        <v>0.2</v>
      </c>
      <c r="K1260" s="12" t="n">
        <v>0</v>
      </c>
      <c r="L1260" s="12" t="s">
        <v>36</v>
      </c>
    </row>
    <row r="1261" customFormat="false" ht="15" hidden="false" customHeight="false" outlineLevel="0" collapsed="false">
      <c r="A1261" s="11" t="n">
        <v>45456</v>
      </c>
      <c r="B1261" s="12" t="n">
        <v>12.3</v>
      </c>
      <c r="C1261" s="12" t="n">
        <f aca="false">IF(NOT(ISNUMBER(B1261)),"",ROUND((INDEX(BP!$D$5:$D$9,MATCH(B1261,BP!$A$5:$A$9,1))-INDEX(BP!$C$5:$C$9,MATCH(B1261,BP!$A$5:$A$9,1)))/(INDEX(BP!$B$5:$B$9,MATCH(B1261,BP!$A$5:$A$9,1))-INDEX(BP!$A$5:$A$9,MATCH(B1261,BP!$A$5:$A$9,1)))*(B1261-INDEX(BP!$A$5:$A$9,MATCH(B1261,BP!$A$5:$A$9,1)))+INDEX(BP!$C$5:$C$9,MATCH(B1261,BP!$A$5:$A$9,1)),0))</f>
        <v>21</v>
      </c>
      <c r="D1261" s="12" t="str">
        <f aca="false">IF(NOT(ISNUMBER(C1261)),"",INDEX(BP!$F$5:$F$9,MATCH(C1261,BP!$E$5:$E$9,1)))</f>
        <v>ดีมาก</v>
      </c>
      <c r="E1261" s="12" t="n">
        <f aca="false">YEAR(A1261)</f>
        <v>2024</v>
      </c>
      <c r="F1261" s="12" t="n">
        <f aca="false">MONTH(A1261)</f>
        <v>6</v>
      </c>
      <c r="G1261" s="12" t="n">
        <v>17.2</v>
      </c>
      <c r="H1261" s="12" t="n">
        <v>30.6</v>
      </c>
      <c r="I1261" s="12" t="n">
        <v>261</v>
      </c>
      <c r="J1261" s="12" t="n">
        <v>3.4</v>
      </c>
      <c r="K1261" s="12" t="n">
        <v>0</v>
      </c>
      <c r="L1261" s="12" t="s">
        <v>36</v>
      </c>
    </row>
    <row r="1262" customFormat="false" ht="15" hidden="false" customHeight="false" outlineLevel="0" collapsed="false">
      <c r="A1262" s="11" t="n">
        <v>45457</v>
      </c>
      <c r="B1262" s="12" t="n">
        <v>12.5</v>
      </c>
      <c r="C1262" s="12" t="n">
        <f aca="false">IF(NOT(ISNUMBER(B1262)),"",ROUND((INDEX(BP!$D$5:$D$9,MATCH(B1262,BP!$A$5:$A$9,1))-INDEX(BP!$C$5:$C$9,MATCH(B1262,BP!$A$5:$A$9,1)))/(INDEX(BP!$B$5:$B$9,MATCH(B1262,BP!$A$5:$A$9,1))-INDEX(BP!$A$5:$A$9,MATCH(B1262,BP!$A$5:$A$9,1)))*(B1262-INDEX(BP!$A$5:$A$9,MATCH(B1262,BP!$A$5:$A$9,1)))+INDEX(BP!$C$5:$C$9,MATCH(B1262,BP!$A$5:$A$9,1)),0))</f>
        <v>21</v>
      </c>
      <c r="D1262" s="12" t="str">
        <f aca="false">IF(NOT(ISNUMBER(C1262)),"",INDEX(BP!$F$5:$F$9,MATCH(C1262,BP!$E$5:$E$9,1)))</f>
        <v>ดีมาก</v>
      </c>
      <c r="E1262" s="12" t="n">
        <f aca="false">YEAR(A1262)</f>
        <v>2024</v>
      </c>
      <c r="F1262" s="12" t="n">
        <f aca="false">MONTH(A1262)</f>
        <v>6</v>
      </c>
      <c r="G1262" s="12" t="n">
        <v>12.1</v>
      </c>
      <c r="H1262" s="12" t="n">
        <v>32.4</v>
      </c>
      <c r="I1262" s="12" t="n">
        <v>258</v>
      </c>
      <c r="J1262" s="12" t="n">
        <v>1.8</v>
      </c>
      <c r="K1262" s="12" t="n">
        <v>0</v>
      </c>
      <c r="L1262" s="12" t="s">
        <v>36</v>
      </c>
    </row>
    <row r="1263" customFormat="false" ht="15" hidden="false" customHeight="false" outlineLevel="0" collapsed="false">
      <c r="A1263" s="11" t="n">
        <v>45458</v>
      </c>
      <c r="B1263" s="12" t="n">
        <v>13</v>
      </c>
      <c r="C1263" s="12" t="n">
        <f aca="false">IF(NOT(ISNUMBER(B1263)),"",ROUND((INDEX(BP!$D$5:$D$9,MATCH(B1263,BP!$A$5:$A$9,1))-INDEX(BP!$C$5:$C$9,MATCH(B1263,BP!$A$5:$A$9,1)))/(INDEX(BP!$B$5:$B$9,MATCH(B1263,BP!$A$5:$A$9,1))-INDEX(BP!$A$5:$A$9,MATCH(B1263,BP!$A$5:$A$9,1)))*(B1263-INDEX(BP!$A$5:$A$9,MATCH(B1263,BP!$A$5:$A$9,1)))+INDEX(BP!$C$5:$C$9,MATCH(B1263,BP!$A$5:$A$9,1)),0))</f>
        <v>22</v>
      </c>
      <c r="D1263" s="12" t="str">
        <f aca="false">IF(NOT(ISNUMBER(C1263)),"",INDEX(BP!$F$5:$F$9,MATCH(C1263,BP!$E$5:$E$9,1)))</f>
        <v>ดีมาก</v>
      </c>
      <c r="E1263" s="12" t="n">
        <f aca="false">YEAR(A1263)</f>
        <v>2024</v>
      </c>
      <c r="F1263" s="12" t="n">
        <f aca="false">MONTH(A1263)</f>
        <v>6</v>
      </c>
      <c r="G1263" s="12" t="n">
        <v>14.8</v>
      </c>
      <c r="H1263" s="12" t="n">
        <v>30.2</v>
      </c>
      <c r="I1263" s="12" t="n">
        <v>235</v>
      </c>
      <c r="J1263" s="12" t="n">
        <v>7.1</v>
      </c>
      <c r="K1263" s="12" t="n">
        <v>0.2</v>
      </c>
      <c r="L1263" s="12" t="s">
        <v>35</v>
      </c>
    </row>
    <row r="1264" customFormat="false" ht="15" hidden="false" customHeight="false" outlineLevel="0" collapsed="false">
      <c r="A1264" s="11" t="n">
        <v>45459</v>
      </c>
      <c r="B1264" s="12" t="n">
        <v>12.9</v>
      </c>
      <c r="C1264" s="12" t="n">
        <f aca="false">IF(NOT(ISNUMBER(B1264)),"",ROUND((INDEX(BP!$D$5:$D$9,MATCH(B1264,BP!$A$5:$A$9,1))-INDEX(BP!$C$5:$C$9,MATCH(B1264,BP!$A$5:$A$9,1)))/(INDEX(BP!$B$5:$B$9,MATCH(B1264,BP!$A$5:$A$9,1))-INDEX(BP!$A$5:$A$9,MATCH(B1264,BP!$A$5:$A$9,1)))*(B1264-INDEX(BP!$A$5:$A$9,MATCH(B1264,BP!$A$5:$A$9,1)))+INDEX(BP!$C$5:$C$9,MATCH(B1264,BP!$A$5:$A$9,1)),0))</f>
        <v>22</v>
      </c>
      <c r="D1264" s="12" t="str">
        <f aca="false">IF(NOT(ISNUMBER(C1264)),"",INDEX(BP!$F$5:$F$9,MATCH(C1264,BP!$E$5:$E$9,1)))</f>
        <v>ดีมาก</v>
      </c>
      <c r="E1264" s="12" t="n">
        <f aca="false">YEAR(A1264)</f>
        <v>2024</v>
      </c>
      <c r="F1264" s="12" t="n">
        <f aca="false">MONTH(A1264)</f>
        <v>6</v>
      </c>
      <c r="G1264" s="12" t="n">
        <v>10.8</v>
      </c>
      <c r="H1264" s="12" t="n">
        <v>31</v>
      </c>
      <c r="I1264" s="12" t="n">
        <v>212</v>
      </c>
      <c r="J1264" s="12" t="n">
        <v>9</v>
      </c>
      <c r="K1264" s="12" t="n">
        <v>10.2</v>
      </c>
      <c r="L1264" s="12" t="s">
        <v>35</v>
      </c>
    </row>
    <row r="1265" customFormat="false" ht="15" hidden="false" customHeight="false" outlineLevel="0" collapsed="false">
      <c r="A1265" s="11" t="n">
        <v>45460</v>
      </c>
      <c r="B1265" s="12" t="n">
        <v>9.4</v>
      </c>
      <c r="C1265" s="12" t="n">
        <f aca="false">IF(NOT(ISNUMBER(B1265)),"",ROUND((INDEX(BP!$D$5:$D$9,MATCH(B1265,BP!$A$5:$A$9,1))-INDEX(BP!$C$5:$C$9,MATCH(B1265,BP!$A$5:$A$9,1)))/(INDEX(BP!$B$5:$B$9,MATCH(B1265,BP!$A$5:$A$9,1))-INDEX(BP!$A$5:$A$9,MATCH(B1265,BP!$A$5:$A$9,1)))*(B1265-INDEX(BP!$A$5:$A$9,MATCH(B1265,BP!$A$5:$A$9,1)))+INDEX(BP!$C$5:$C$9,MATCH(B1265,BP!$A$5:$A$9,1)),0))</f>
        <v>16</v>
      </c>
      <c r="D1265" s="12" t="str">
        <f aca="false">IF(NOT(ISNUMBER(C1265)),"",INDEX(BP!$F$5:$F$9,MATCH(C1265,BP!$E$5:$E$9,1)))</f>
        <v>ดีมาก</v>
      </c>
      <c r="E1265" s="12" t="n">
        <f aca="false">YEAR(A1265)</f>
        <v>2024</v>
      </c>
      <c r="F1265" s="12" t="n">
        <f aca="false">MONTH(A1265)</f>
        <v>6</v>
      </c>
      <c r="G1265" s="12" t="n">
        <v>22.4</v>
      </c>
      <c r="H1265" s="12" t="n">
        <v>45.4</v>
      </c>
      <c r="I1265" s="12" t="n">
        <v>221</v>
      </c>
      <c r="J1265" s="12" t="n">
        <v>2.2</v>
      </c>
      <c r="K1265" s="12" t="n">
        <v>0</v>
      </c>
      <c r="L1265" s="12" t="s">
        <v>36</v>
      </c>
    </row>
    <row r="1266" customFormat="false" ht="15" hidden="false" customHeight="false" outlineLevel="0" collapsed="false">
      <c r="A1266" s="11" t="n">
        <v>45461</v>
      </c>
      <c r="B1266" s="12" t="n">
        <v>10.7</v>
      </c>
      <c r="C1266" s="12" t="n">
        <f aca="false">IF(NOT(ISNUMBER(B1266)),"",ROUND((INDEX(BP!$D$5:$D$9,MATCH(B1266,BP!$A$5:$A$9,1))-INDEX(BP!$C$5:$C$9,MATCH(B1266,BP!$A$5:$A$9,1)))/(INDEX(BP!$B$5:$B$9,MATCH(B1266,BP!$A$5:$A$9,1))-INDEX(BP!$A$5:$A$9,MATCH(B1266,BP!$A$5:$A$9,1)))*(B1266-INDEX(BP!$A$5:$A$9,MATCH(B1266,BP!$A$5:$A$9,1)))+INDEX(BP!$C$5:$C$9,MATCH(B1266,BP!$A$5:$A$9,1)),0))</f>
        <v>18</v>
      </c>
      <c r="D1266" s="12" t="str">
        <f aca="false">IF(NOT(ISNUMBER(C1266)),"",INDEX(BP!$F$5:$F$9,MATCH(C1266,BP!$E$5:$E$9,1)))</f>
        <v>ดีมาก</v>
      </c>
      <c r="E1266" s="12" t="n">
        <f aca="false">YEAR(A1266)</f>
        <v>2024</v>
      </c>
      <c r="F1266" s="12" t="n">
        <f aca="false">MONTH(A1266)</f>
        <v>6</v>
      </c>
      <c r="G1266" s="12" t="n">
        <v>13</v>
      </c>
      <c r="H1266" s="12" t="n">
        <v>29.9</v>
      </c>
      <c r="I1266" s="12" t="n">
        <v>228</v>
      </c>
      <c r="J1266" s="12" t="n">
        <v>5.6</v>
      </c>
      <c r="K1266" s="12" t="n">
        <v>2.2</v>
      </c>
      <c r="L1266" s="12" t="s">
        <v>36</v>
      </c>
    </row>
    <row r="1267" customFormat="false" ht="15" hidden="false" customHeight="false" outlineLevel="0" collapsed="false">
      <c r="A1267" s="11" t="n">
        <v>45462</v>
      </c>
      <c r="B1267" s="12" t="n">
        <v>10.8</v>
      </c>
      <c r="C1267" s="12" t="n">
        <f aca="false">IF(NOT(ISNUMBER(B1267)),"",ROUND((INDEX(BP!$D$5:$D$9,MATCH(B1267,BP!$A$5:$A$9,1))-INDEX(BP!$C$5:$C$9,MATCH(B1267,BP!$A$5:$A$9,1)))/(INDEX(BP!$B$5:$B$9,MATCH(B1267,BP!$A$5:$A$9,1))-INDEX(BP!$A$5:$A$9,MATCH(B1267,BP!$A$5:$A$9,1)))*(B1267-INDEX(BP!$A$5:$A$9,MATCH(B1267,BP!$A$5:$A$9,1)))+INDEX(BP!$C$5:$C$9,MATCH(B1267,BP!$A$5:$A$9,1)),0))</f>
        <v>18</v>
      </c>
      <c r="D1267" s="12" t="str">
        <f aca="false">IF(NOT(ISNUMBER(C1267)),"",INDEX(BP!$F$5:$F$9,MATCH(C1267,BP!$E$5:$E$9,1)))</f>
        <v>ดีมาก</v>
      </c>
      <c r="E1267" s="12" t="n">
        <f aca="false">YEAR(A1267)</f>
        <v>2024</v>
      </c>
      <c r="F1267" s="12" t="n">
        <f aca="false">MONTH(A1267)</f>
        <v>6</v>
      </c>
      <c r="G1267" s="12" t="n">
        <v>15.3</v>
      </c>
      <c r="H1267" s="12" t="n">
        <v>41.4</v>
      </c>
      <c r="I1267" s="12" t="n">
        <v>247</v>
      </c>
      <c r="J1267" s="12" t="n">
        <v>12.3</v>
      </c>
      <c r="K1267" s="12" t="n">
        <v>0.8</v>
      </c>
      <c r="L1267" s="12" t="s">
        <v>36</v>
      </c>
    </row>
    <row r="1268" customFormat="false" ht="15" hidden="false" customHeight="false" outlineLevel="0" collapsed="false">
      <c r="A1268" s="11" t="n">
        <v>45463</v>
      </c>
      <c r="B1268" s="12" t="n">
        <v>9.9</v>
      </c>
      <c r="C1268" s="12" t="n">
        <f aca="false">IF(NOT(ISNUMBER(B1268)),"",ROUND((INDEX(BP!$D$5:$D$9,MATCH(B1268,BP!$A$5:$A$9,1))-INDEX(BP!$C$5:$C$9,MATCH(B1268,BP!$A$5:$A$9,1)))/(INDEX(BP!$B$5:$B$9,MATCH(B1268,BP!$A$5:$A$9,1))-INDEX(BP!$A$5:$A$9,MATCH(B1268,BP!$A$5:$A$9,1)))*(B1268-INDEX(BP!$A$5:$A$9,MATCH(B1268,BP!$A$5:$A$9,1)))+INDEX(BP!$C$5:$C$9,MATCH(B1268,BP!$A$5:$A$9,1)),0))</f>
        <v>17</v>
      </c>
      <c r="D1268" s="12" t="str">
        <f aca="false">IF(NOT(ISNUMBER(C1268)),"",INDEX(BP!$F$5:$F$9,MATCH(C1268,BP!$E$5:$E$9,1)))</f>
        <v>ดีมาก</v>
      </c>
      <c r="E1268" s="12" t="n">
        <f aca="false">YEAR(A1268)</f>
        <v>2024</v>
      </c>
      <c r="F1268" s="12" t="n">
        <f aca="false">MONTH(A1268)</f>
        <v>6</v>
      </c>
      <c r="G1268" s="12" t="n">
        <v>16.9</v>
      </c>
      <c r="H1268" s="12" t="n">
        <v>38.5</v>
      </c>
      <c r="I1268" s="12" t="n">
        <v>246</v>
      </c>
      <c r="J1268" s="12" t="n">
        <v>0.8</v>
      </c>
      <c r="K1268" s="12" t="n">
        <v>2.2</v>
      </c>
      <c r="L1268" s="12" t="s">
        <v>36</v>
      </c>
    </row>
    <row r="1269" customFormat="false" ht="15" hidden="false" customHeight="false" outlineLevel="0" collapsed="false">
      <c r="A1269" s="11" t="n">
        <v>45464</v>
      </c>
      <c r="B1269" s="12" t="n">
        <v>9.2</v>
      </c>
      <c r="C1269" s="12" t="n">
        <f aca="false">IF(NOT(ISNUMBER(B1269)),"",ROUND((INDEX(BP!$D$5:$D$9,MATCH(B1269,BP!$A$5:$A$9,1))-INDEX(BP!$C$5:$C$9,MATCH(B1269,BP!$A$5:$A$9,1)))/(INDEX(BP!$B$5:$B$9,MATCH(B1269,BP!$A$5:$A$9,1))-INDEX(BP!$A$5:$A$9,MATCH(B1269,BP!$A$5:$A$9,1)))*(B1269-INDEX(BP!$A$5:$A$9,MATCH(B1269,BP!$A$5:$A$9,1)))+INDEX(BP!$C$5:$C$9,MATCH(B1269,BP!$A$5:$A$9,1)),0))</f>
        <v>15</v>
      </c>
      <c r="D1269" s="12" t="str">
        <f aca="false">IF(NOT(ISNUMBER(C1269)),"",INDEX(BP!$F$5:$F$9,MATCH(C1269,BP!$E$5:$E$9,1)))</f>
        <v>ดีมาก</v>
      </c>
      <c r="E1269" s="12" t="n">
        <f aca="false">YEAR(A1269)</f>
        <v>2024</v>
      </c>
      <c r="F1269" s="12" t="n">
        <f aca="false">MONTH(A1269)</f>
        <v>6</v>
      </c>
      <c r="G1269" s="12" t="n">
        <v>20.8</v>
      </c>
      <c r="H1269" s="12" t="n">
        <v>49</v>
      </c>
      <c r="I1269" s="12" t="n">
        <v>249</v>
      </c>
      <c r="J1269" s="12" t="n">
        <v>0.7</v>
      </c>
      <c r="K1269" s="12" t="n">
        <v>2.2</v>
      </c>
      <c r="L1269" s="12" t="s">
        <v>36</v>
      </c>
    </row>
    <row r="1270" customFormat="false" ht="15" hidden="false" customHeight="false" outlineLevel="0" collapsed="false">
      <c r="A1270" s="11" t="n">
        <v>45465</v>
      </c>
      <c r="B1270" s="12" t="n">
        <v>11.1</v>
      </c>
      <c r="C1270" s="12" t="n">
        <f aca="false">IF(NOT(ISNUMBER(B1270)),"",ROUND((INDEX(BP!$D$5:$D$9,MATCH(B1270,BP!$A$5:$A$9,1))-INDEX(BP!$C$5:$C$9,MATCH(B1270,BP!$A$5:$A$9,1)))/(INDEX(BP!$B$5:$B$9,MATCH(B1270,BP!$A$5:$A$9,1))-INDEX(BP!$A$5:$A$9,MATCH(B1270,BP!$A$5:$A$9,1)))*(B1270-INDEX(BP!$A$5:$A$9,MATCH(B1270,BP!$A$5:$A$9,1)))+INDEX(BP!$C$5:$C$9,MATCH(B1270,BP!$A$5:$A$9,1)),0))</f>
        <v>19</v>
      </c>
      <c r="D1270" s="12" t="str">
        <f aca="false">IF(NOT(ISNUMBER(C1270)),"",INDEX(BP!$F$5:$F$9,MATCH(C1270,BP!$E$5:$E$9,1)))</f>
        <v>ดีมาก</v>
      </c>
      <c r="E1270" s="12" t="n">
        <f aca="false">YEAR(A1270)</f>
        <v>2024</v>
      </c>
      <c r="F1270" s="12" t="n">
        <f aca="false">MONTH(A1270)</f>
        <v>6</v>
      </c>
      <c r="G1270" s="12" t="n">
        <v>20.2</v>
      </c>
      <c r="H1270" s="12" t="n">
        <v>39.6</v>
      </c>
      <c r="I1270" s="12" t="n">
        <v>217</v>
      </c>
      <c r="J1270" s="12" t="n">
        <v>0.5</v>
      </c>
      <c r="K1270" s="12" t="n">
        <v>0.2</v>
      </c>
      <c r="L1270" s="12" t="s">
        <v>35</v>
      </c>
    </row>
    <row r="1271" customFormat="false" ht="15" hidden="false" customHeight="false" outlineLevel="0" collapsed="false">
      <c r="A1271" s="11" t="n">
        <v>45466</v>
      </c>
      <c r="B1271" s="12" t="n">
        <v>10.8</v>
      </c>
      <c r="C1271" s="12" t="n">
        <f aca="false">IF(NOT(ISNUMBER(B1271)),"",ROUND((INDEX(BP!$D$5:$D$9,MATCH(B1271,BP!$A$5:$A$9,1))-INDEX(BP!$C$5:$C$9,MATCH(B1271,BP!$A$5:$A$9,1)))/(INDEX(BP!$B$5:$B$9,MATCH(B1271,BP!$A$5:$A$9,1))-INDEX(BP!$A$5:$A$9,MATCH(B1271,BP!$A$5:$A$9,1)))*(B1271-INDEX(BP!$A$5:$A$9,MATCH(B1271,BP!$A$5:$A$9,1)))+INDEX(BP!$C$5:$C$9,MATCH(B1271,BP!$A$5:$A$9,1)),0))</f>
        <v>18</v>
      </c>
      <c r="D1271" s="12" t="str">
        <f aca="false">IF(NOT(ISNUMBER(C1271)),"",INDEX(BP!$F$5:$F$9,MATCH(C1271,BP!$E$5:$E$9,1)))</f>
        <v>ดีมาก</v>
      </c>
      <c r="E1271" s="12" t="n">
        <f aca="false">YEAR(A1271)</f>
        <v>2024</v>
      </c>
      <c r="F1271" s="12" t="n">
        <f aca="false">MONTH(A1271)</f>
        <v>6</v>
      </c>
      <c r="G1271" s="12" t="n">
        <v>17.4</v>
      </c>
      <c r="H1271" s="12" t="n">
        <v>37.4</v>
      </c>
      <c r="I1271" s="12" t="n">
        <v>234</v>
      </c>
      <c r="J1271" s="12" t="n">
        <v>2.3</v>
      </c>
      <c r="K1271" s="12" t="n">
        <v>2.6</v>
      </c>
      <c r="L1271" s="12" t="s">
        <v>35</v>
      </c>
    </row>
    <row r="1272" customFormat="false" ht="15" hidden="false" customHeight="false" outlineLevel="0" collapsed="false">
      <c r="A1272" s="11" t="n">
        <v>45467</v>
      </c>
      <c r="B1272" s="12" t="n">
        <v>10.2</v>
      </c>
      <c r="C1272" s="12" t="n">
        <f aca="false">IF(NOT(ISNUMBER(B1272)),"",ROUND((INDEX(BP!$D$5:$D$9,MATCH(B1272,BP!$A$5:$A$9,1))-INDEX(BP!$C$5:$C$9,MATCH(B1272,BP!$A$5:$A$9,1)))/(INDEX(BP!$B$5:$B$9,MATCH(B1272,BP!$A$5:$A$9,1))-INDEX(BP!$A$5:$A$9,MATCH(B1272,BP!$A$5:$A$9,1)))*(B1272-INDEX(BP!$A$5:$A$9,MATCH(B1272,BP!$A$5:$A$9,1)))+INDEX(BP!$C$5:$C$9,MATCH(B1272,BP!$A$5:$A$9,1)),0))</f>
        <v>17</v>
      </c>
      <c r="D1272" s="12" t="str">
        <f aca="false">IF(NOT(ISNUMBER(C1272)),"",INDEX(BP!$F$5:$F$9,MATCH(C1272,BP!$E$5:$E$9,1)))</f>
        <v>ดีมาก</v>
      </c>
      <c r="E1272" s="12" t="n">
        <f aca="false">YEAR(A1272)</f>
        <v>2024</v>
      </c>
      <c r="F1272" s="12" t="n">
        <f aca="false">MONTH(A1272)</f>
        <v>6</v>
      </c>
      <c r="G1272" s="12" t="n">
        <v>15</v>
      </c>
      <c r="H1272" s="12" t="n">
        <v>33.5</v>
      </c>
      <c r="I1272" s="12" t="n">
        <v>222</v>
      </c>
      <c r="J1272" s="12" t="n">
        <v>0.2</v>
      </c>
      <c r="K1272" s="12" t="n">
        <v>1.8</v>
      </c>
      <c r="L1272" s="12" t="s">
        <v>36</v>
      </c>
    </row>
    <row r="1273" customFormat="false" ht="15" hidden="false" customHeight="false" outlineLevel="0" collapsed="false">
      <c r="A1273" s="11" t="n">
        <v>45468</v>
      </c>
      <c r="B1273" s="12" t="n">
        <v>11.4</v>
      </c>
      <c r="C1273" s="12" t="n">
        <f aca="false">IF(NOT(ISNUMBER(B1273)),"",ROUND((INDEX(BP!$D$5:$D$9,MATCH(B1273,BP!$A$5:$A$9,1))-INDEX(BP!$C$5:$C$9,MATCH(B1273,BP!$A$5:$A$9,1)))/(INDEX(BP!$B$5:$B$9,MATCH(B1273,BP!$A$5:$A$9,1))-INDEX(BP!$A$5:$A$9,MATCH(B1273,BP!$A$5:$A$9,1)))*(B1273-INDEX(BP!$A$5:$A$9,MATCH(B1273,BP!$A$5:$A$9,1)))+INDEX(BP!$C$5:$C$9,MATCH(B1273,BP!$A$5:$A$9,1)),0))</f>
        <v>19</v>
      </c>
      <c r="D1273" s="12" t="str">
        <f aca="false">IF(NOT(ISNUMBER(C1273)),"",INDEX(BP!$F$5:$F$9,MATCH(C1273,BP!$E$5:$E$9,1)))</f>
        <v>ดีมาก</v>
      </c>
      <c r="E1273" s="12" t="n">
        <f aca="false">YEAR(A1273)</f>
        <v>2024</v>
      </c>
      <c r="F1273" s="12" t="n">
        <f aca="false">MONTH(A1273)</f>
        <v>6</v>
      </c>
      <c r="G1273" s="12" t="n">
        <v>8.9</v>
      </c>
      <c r="H1273" s="12" t="n">
        <v>17.3</v>
      </c>
      <c r="I1273" s="12" t="n">
        <v>150</v>
      </c>
      <c r="J1273" s="12" t="n">
        <v>0.4</v>
      </c>
      <c r="K1273" s="12" t="n">
        <v>0</v>
      </c>
      <c r="L1273" s="12" t="s">
        <v>36</v>
      </c>
    </row>
    <row r="1274" customFormat="false" ht="15" hidden="false" customHeight="false" outlineLevel="0" collapsed="false">
      <c r="A1274" s="11" t="n">
        <v>45469</v>
      </c>
      <c r="B1274" s="12" t="n">
        <v>13.7</v>
      </c>
      <c r="C1274" s="12" t="n">
        <f aca="false">IF(NOT(ISNUMBER(B1274)),"",ROUND((INDEX(BP!$D$5:$D$9,MATCH(B1274,BP!$A$5:$A$9,1))-INDEX(BP!$C$5:$C$9,MATCH(B1274,BP!$A$5:$A$9,1)))/(INDEX(BP!$B$5:$B$9,MATCH(B1274,BP!$A$5:$A$9,1))-INDEX(BP!$A$5:$A$9,MATCH(B1274,BP!$A$5:$A$9,1)))*(B1274-INDEX(BP!$A$5:$A$9,MATCH(B1274,BP!$A$5:$A$9,1)))+INDEX(BP!$C$5:$C$9,MATCH(B1274,BP!$A$5:$A$9,1)),0))</f>
        <v>23</v>
      </c>
      <c r="D1274" s="12" t="str">
        <f aca="false">IF(NOT(ISNUMBER(C1274)),"",INDEX(BP!$F$5:$F$9,MATCH(C1274,BP!$E$5:$E$9,1)))</f>
        <v>ดีมาก</v>
      </c>
      <c r="E1274" s="12" t="n">
        <f aca="false">YEAR(A1274)</f>
        <v>2024</v>
      </c>
      <c r="F1274" s="12" t="n">
        <f aca="false">MONTH(A1274)</f>
        <v>6</v>
      </c>
      <c r="G1274" s="12" t="n">
        <v>13.1</v>
      </c>
      <c r="H1274" s="12" t="n">
        <v>26.3</v>
      </c>
      <c r="I1274" s="12" t="n">
        <v>115</v>
      </c>
      <c r="J1274" s="12" t="n">
        <v>1.1</v>
      </c>
      <c r="K1274" s="12" t="n">
        <v>3</v>
      </c>
      <c r="L1274" s="12" t="s">
        <v>36</v>
      </c>
    </row>
    <row r="1275" customFormat="false" ht="15" hidden="false" customHeight="false" outlineLevel="0" collapsed="false">
      <c r="A1275" s="11" t="n">
        <v>45470</v>
      </c>
      <c r="B1275" s="12" t="n">
        <v>12.9</v>
      </c>
      <c r="C1275" s="12" t="n">
        <f aca="false">IF(NOT(ISNUMBER(B1275)),"",ROUND((INDEX(BP!$D$5:$D$9,MATCH(B1275,BP!$A$5:$A$9,1))-INDEX(BP!$C$5:$C$9,MATCH(B1275,BP!$A$5:$A$9,1)))/(INDEX(BP!$B$5:$B$9,MATCH(B1275,BP!$A$5:$A$9,1))-INDEX(BP!$A$5:$A$9,MATCH(B1275,BP!$A$5:$A$9,1)))*(B1275-INDEX(BP!$A$5:$A$9,MATCH(B1275,BP!$A$5:$A$9,1)))+INDEX(BP!$C$5:$C$9,MATCH(B1275,BP!$A$5:$A$9,1)),0))</f>
        <v>22</v>
      </c>
      <c r="D1275" s="12" t="str">
        <f aca="false">IF(NOT(ISNUMBER(C1275)),"",INDEX(BP!$F$5:$F$9,MATCH(C1275,BP!$E$5:$E$9,1)))</f>
        <v>ดีมาก</v>
      </c>
      <c r="E1275" s="12" t="n">
        <f aca="false">YEAR(A1275)</f>
        <v>2024</v>
      </c>
      <c r="F1275" s="12" t="n">
        <f aca="false">MONTH(A1275)</f>
        <v>6</v>
      </c>
      <c r="G1275" s="12" t="n">
        <v>14.9</v>
      </c>
      <c r="H1275" s="12" t="n">
        <v>33.5</v>
      </c>
      <c r="I1275" s="12" t="n">
        <v>85</v>
      </c>
      <c r="J1275" s="12" t="n">
        <v>2.5</v>
      </c>
      <c r="K1275" s="12" t="n">
        <v>16.6</v>
      </c>
      <c r="L1275" s="12" t="s">
        <v>36</v>
      </c>
    </row>
    <row r="1276" customFormat="false" ht="15" hidden="false" customHeight="false" outlineLevel="0" collapsed="false">
      <c r="A1276" s="11" t="n">
        <v>45471</v>
      </c>
      <c r="B1276" s="12" t="n">
        <v>10.9</v>
      </c>
      <c r="C1276" s="12" t="n">
        <f aca="false">IF(NOT(ISNUMBER(B1276)),"",ROUND((INDEX(BP!$D$5:$D$9,MATCH(B1276,BP!$A$5:$A$9,1))-INDEX(BP!$C$5:$C$9,MATCH(B1276,BP!$A$5:$A$9,1)))/(INDEX(BP!$B$5:$B$9,MATCH(B1276,BP!$A$5:$A$9,1))-INDEX(BP!$A$5:$A$9,MATCH(B1276,BP!$A$5:$A$9,1)))*(B1276-INDEX(BP!$A$5:$A$9,MATCH(B1276,BP!$A$5:$A$9,1)))+INDEX(BP!$C$5:$C$9,MATCH(B1276,BP!$A$5:$A$9,1)),0))</f>
        <v>18</v>
      </c>
      <c r="D1276" s="12" t="str">
        <f aca="false">IF(NOT(ISNUMBER(C1276)),"",INDEX(BP!$F$5:$F$9,MATCH(C1276,BP!$E$5:$E$9,1)))</f>
        <v>ดีมาก</v>
      </c>
      <c r="E1276" s="12" t="n">
        <f aca="false">YEAR(A1276)</f>
        <v>2024</v>
      </c>
      <c r="F1276" s="12" t="n">
        <f aca="false">MONTH(A1276)</f>
        <v>6</v>
      </c>
      <c r="G1276" s="12" t="n">
        <v>10.1</v>
      </c>
      <c r="H1276" s="12" t="n">
        <v>27.7</v>
      </c>
      <c r="I1276" s="12" t="n">
        <v>218</v>
      </c>
      <c r="J1276" s="12" t="n">
        <v>18.6</v>
      </c>
      <c r="K1276" s="12" t="n">
        <v>1.2</v>
      </c>
      <c r="L1276" s="12" t="s">
        <v>36</v>
      </c>
    </row>
    <row r="1277" customFormat="false" ht="15" hidden="false" customHeight="false" outlineLevel="0" collapsed="false">
      <c r="A1277" s="11" t="n">
        <v>45472</v>
      </c>
      <c r="B1277" s="12" t="n">
        <v>12.2</v>
      </c>
      <c r="C1277" s="12" t="n">
        <f aca="false">IF(NOT(ISNUMBER(B1277)),"",ROUND((INDEX(BP!$D$5:$D$9,MATCH(B1277,BP!$A$5:$A$9,1))-INDEX(BP!$C$5:$C$9,MATCH(B1277,BP!$A$5:$A$9,1)))/(INDEX(BP!$B$5:$B$9,MATCH(B1277,BP!$A$5:$A$9,1))-INDEX(BP!$A$5:$A$9,MATCH(B1277,BP!$A$5:$A$9,1)))*(B1277-INDEX(BP!$A$5:$A$9,MATCH(B1277,BP!$A$5:$A$9,1)))+INDEX(BP!$C$5:$C$9,MATCH(B1277,BP!$A$5:$A$9,1)),0))</f>
        <v>20</v>
      </c>
      <c r="D1277" s="12" t="str">
        <f aca="false">IF(NOT(ISNUMBER(C1277)),"",INDEX(BP!$F$5:$F$9,MATCH(C1277,BP!$E$5:$E$9,1)))</f>
        <v>ดีมาก</v>
      </c>
      <c r="E1277" s="12" t="n">
        <f aca="false">YEAR(A1277)</f>
        <v>2024</v>
      </c>
      <c r="F1277" s="12" t="n">
        <f aca="false">MONTH(A1277)</f>
        <v>6</v>
      </c>
      <c r="G1277" s="12" t="n">
        <v>9.9</v>
      </c>
      <c r="H1277" s="12" t="n">
        <v>29.5</v>
      </c>
      <c r="I1277" s="12" t="n">
        <v>190</v>
      </c>
      <c r="J1277" s="12" t="n">
        <v>22.6</v>
      </c>
      <c r="K1277" s="12" t="n">
        <v>4</v>
      </c>
      <c r="L1277" s="12" t="s">
        <v>35</v>
      </c>
    </row>
    <row r="1278" customFormat="false" ht="15" hidden="false" customHeight="false" outlineLevel="0" collapsed="false">
      <c r="A1278" s="11" t="n">
        <v>45473</v>
      </c>
      <c r="B1278" s="12" t="n">
        <v>10.6</v>
      </c>
      <c r="C1278" s="12" t="n">
        <f aca="false">IF(NOT(ISNUMBER(B1278)),"",ROUND((INDEX(BP!$D$5:$D$9,MATCH(B1278,BP!$A$5:$A$9,1))-INDEX(BP!$C$5:$C$9,MATCH(B1278,BP!$A$5:$A$9,1)))/(INDEX(BP!$B$5:$B$9,MATCH(B1278,BP!$A$5:$A$9,1))-INDEX(BP!$A$5:$A$9,MATCH(B1278,BP!$A$5:$A$9,1)))*(B1278-INDEX(BP!$A$5:$A$9,MATCH(B1278,BP!$A$5:$A$9,1)))+INDEX(BP!$C$5:$C$9,MATCH(B1278,BP!$A$5:$A$9,1)),0))</f>
        <v>18</v>
      </c>
      <c r="D1278" s="12" t="str">
        <f aca="false">IF(NOT(ISNUMBER(C1278)),"",INDEX(BP!$F$5:$F$9,MATCH(C1278,BP!$E$5:$E$9,1)))</f>
        <v>ดีมาก</v>
      </c>
      <c r="E1278" s="12" t="n">
        <f aca="false">YEAR(A1278)</f>
        <v>2024</v>
      </c>
      <c r="F1278" s="12" t="n">
        <f aca="false">MONTH(A1278)</f>
        <v>6</v>
      </c>
      <c r="G1278" s="12" t="n">
        <v>16</v>
      </c>
      <c r="H1278" s="12" t="n">
        <v>34.2</v>
      </c>
      <c r="I1278" s="12" t="n">
        <v>236</v>
      </c>
      <c r="J1278" s="12" t="n">
        <v>3.6</v>
      </c>
      <c r="K1278" s="12" t="n">
        <v>1.2</v>
      </c>
      <c r="L1278" s="12" t="s">
        <v>35</v>
      </c>
    </row>
    <row r="1279" customFormat="false" ht="15" hidden="false" customHeight="false" outlineLevel="0" collapsed="false">
      <c r="A1279" s="11" t="n">
        <v>45474</v>
      </c>
      <c r="B1279" s="12" t="n">
        <v>10.5</v>
      </c>
      <c r="C1279" s="12" t="n">
        <f aca="false">IF(NOT(ISNUMBER(B1279)),"",ROUND((INDEX(BP!$D$5:$D$9,MATCH(B1279,BP!$A$5:$A$9,1))-INDEX(BP!$C$5:$C$9,MATCH(B1279,BP!$A$5:$A$9,1)))/(INDEX(BP!$B$5:$B$9,MATCH(B1279,BP!$A$5:$A$9,1))-INDEX(BP!$A$5:$A$9,MATCH(B1279,BP!$A$5:$A$9,1)))*(B1279-INDEX(BP!$A$5:$A$9,MATCH(B1279,BP!$A$5:$A$9,1)))+INDEX(BP!$C$5:$C$9,MATCH(B1279,BP!$A$5:$A$9,1)),0))</f>
        <v>18</v>
      </c>
      <c r="D1279" s="12" t="str">
        <f aca="false">IF(NOT(ISNUMBER(C1279)),"",INDEX(BP!$F$5:$F$9,MATCH(C1279,BP!$E$5:$E$9,1)))</f>
        <v>ดีมาก</v>
      </c>
      <c r="E1279" s="12" t="n">
        <f aca="false">YEAR(A1279)</f>
        <v>2024</v>
      </c>
      <c r="F1279" s="12" t="n">
        <f aca="false">MONTH(A1279)</f>
        <v>7</v>
      </c>
      <c r="G1279" s="12" t="n">
        <v>12.2</v>
      </c>
      <c r="H1279" s="12" t="n">
        <v>22.3</v>
      </c>
      <c r="I1279" s="12" t="n">
        <v>195</v>
      </c>
      <c r="J1279" s="12" t="n">
        <v>0</v>
      </c>
      <c r="K1279" s="12" t="n">
        <v>0.2</v>
      </c>
      <c r="L1279" s="12" t="s">
        <v>36</v>
      </c>
    </row>
    <row r="1280" customFormat="false" ht="15" hidden="false" customHeight="false" outlineLevel="0" collapsed="false">
      <c r="A1280" s="11" t="n">
        <v>45475</v>
      </c>
      <c r="B1280" s="12" t="n">
        <v>13</v>
      </c>
      <c r="C1280" s="12" t="n">
        <f aca="false">IF(NOT(ISNUMBER(B1280)),"",ROUND((INDEX(BP!$D$5:$D$9,MATCH(B1280,BP!$A$5:$A$9,1))-INDEX(BP!$C$5:$C$9,MATCH(B1280,BP!$A$5:$A$9,1)))/(INDEX(BP!$B$5:$B$9,MATCH(B1280,BP!$A$5:$A$9,1))-INDEX(BP!$A$5:$A$9,MATCH(B1280,BP!$A$5:$A$9,1)))*(B1280-INDEX(BP!$A$5:$A$9,MATCH(B1280,BP!$A$5:$A$9,1)))+INDEX(BP!$C$5:$C$9,MATCH(B1280,BP!$A$5:$A$9,1)),0))</f>
        <v>22</v>
      </c>
      <c r="D1280" s="12" t="str">
        <f aca="false">IF(NOT(ISNUMBER(C1280)),"",INDEX(BP!$F$5:$F$9,MATCH(C1280,BP!$E$5:$E$9,1)))</f>
        <v>ดีมาก</v>
      </c>
      <c r="E1280" s="12" t="n">
        <f aca="false">YEAR(A1280)</f>
        <v>2024</v>
      </c>
      <c r="F1280" s="12" t="n">
        <f aca="false">MONTH(A1280)</f>
        <v>7</v>
      </c>
      <c r="G1280" s="12" t="n">
        <v>8.6</v>
      </c>
      <c r="H1280" s="12" t="n">
        <v>19.1</v>
      </c>
      <c r="I1280" s="12" t="n">
        <v>251</v>
      </c>
      <c r="J1280" s="12" t="n">
        <v>6.1</v>
      </c>
      <c r="K1280" s="12" t="n">
        <v>0</v>
      </c>
      <c r="L1280" s="12" t="s">
        <v>36</v>
      </c>
    </row>
    <row r="1281" customFormat="false" ht="15" hidden="false" customHeight="false" outlineLevel="0" collapsed="false">
      <c r="A1281" s="11" t="n">
        <v>45476</v>
      </c>
      <c r="B1281" s="12" t="n">
        <v>13.1</v>
      </c>
      <c r="C1281" s="12" t="n">
        <f aca="false">IF(NOT(ISNUMBER(B1281)),"",ROUND((INDEX(BP!$D$5:$D$9,MATCH(B1281,BP!$A$5:$A$9,1))-INDEX(BP!$C$5:$C$9,MATCH(B1281,BP!$A$5:$A$9,1)))/(INDEX(BP!$B$5:$B$9,MATCH(B1281,BP!$A$5:$A$9,1))-INDEX(BP!$A$5:$A$9,MATCH(B1281,BP!$A$5:$A$9,1)))*(B1281-INDEX(BP!$A$5:$A$9,MATCH(B1281,BP!$A$5:$A$9,1)))+INDEX(BP!$C$5:$C$9,MATCH(B1281,BP!$A$5:$A$9,1)),0))</f>
        <v>22</v>
      </c>
      <c r="D1281" s="12" t="str">
        <f aca="false">IF(NOT(ISNUMBER(C1281)),"",INDEX(BP!$F$5:$F$9,MATCH(C1281,BP!$E$5:$E$9,1)))</f>
        <v>ดีมาก</v>
      </c>
      <c r="E1281" s="12" t="n">
        <f aca="false">YEAR(A1281)</f>
        <v>2024</v>
      </c>
      <c r="F1281" s="12" t="n">
        <f aca="false">MONTH(A1281)</f>
        <v>7</v>
      </c>
      <c r="G1281" s="12" t="n">
        <v>13.6</v>
      </c>
      <c r="H1281" s="12" t="n">
        <v>27.7</v>
      </c>
      <c r="I1281" s="12" t="n">
        <v>229</v>
      </c>
      <c r="J1281" s="12" t="n">
        <v>0.5</v>
      </c>
      <c r="K1281" s="12" t="n">
        <v>0</v>
      </c>
      <c r="L1281" s="12" t="s">
        <v>36</v>
      </c>
    </row>
    <row r="1282" customFormat="false" ht="15" hidden="false" customHeight="false" outlineLevel="0" collapsed="false">
      <c r="A1282" s="11" t="n">
        <v>45477</v>
      </c>
      <c r="B1282" s="12" t="n">
        <v>11.6</v>
      </c>
      <c r="C1282" s="12" t="n">
        <f aca="false">IF(NOT(ISNUMBER(B1282)),"",ROUND((INDEX(BP!$D$5:$D$9,MATCH(B1282,BP!$A$5:$A$9,1))-INDEX(BP!$C$5:$C$9,MATCH(B1282,BP!$A$5:$A$9,1)))/(INDEX(BP!$B$5:$B$9,MATCH(B1282,BP!$A$5:$A$9,1))-INDEX(BP!$A$5:$A$9,MATCH(B1282,BP!$A$5:$A$9,1)))*(B1282-INDEX(BP!$A$5:$A$9,MATCH(B1282,BP!$A$5:$A$9,1)))+INDEX(BP!$C$5:$C$9,MATCH(B1282,BP!$A$5:$A$9,1)),0))</f>
        <v>19</v>
      </c>
      <c r="D1282" s="12" t="str">
        <f aca="false">IF(NOT(ISNUMBER(C1282)),"",INDEX(BP!$F$5:$F$9,MATCH(C1282,BP!$E$5:$E$9,1)))</f>
        <v>ดีมาก</v>
      </c>
      <c r="E1282" s="12" t="n">
        <f aca="false">YEAR(A1282)</f>
        <v>2024</v>
      </c>
      <c r="F1282" s="12" t="n">
        <f aca="false">MONTH(A1282)</f>
        <v>7</v>
      </c>
      <c r="G1282" s="12" t="n">
        <v>9.6</v>
      </c>
      <c r="H1282" s="12" t="n">
        <v>22</v>
      </c>
      <c r="I1282" s="12" t="n">
        <v>222</v>
      </c>
      <c r="J1282" s="12" t="n">
        <v>0.7</v>
      </c>
      <c r="K1282" s="12" t="n">
        <v>0</v>
      </c>
      <c r="L1282" s="12" t="s">
        <v>36</v>
      </c>
    </row>
    <row r="1283" customFormat="false" ht="15" hidden="false" customHeight="false" outlineLevel="0" collapsed="false">
      <c r="A1283" s="11" t="n">
        <v>45478</v>
      </c>
      <c r="B1283" s="12" t="n">
        <v>11.1</v>
      </c>
      <c r="C1283" s="12" t="n">
        <f aca="false">IF(NOT(ISNUMBER(B1283)),"",ROUND((INDEX(BP!$D$5:$D$9,MATCH(B1283,BP!$A$5:$A$9,1))-INDEX(BP!$C$5:$C$9,MATCH(B1283,BP!$A$5:$A$9,1)))/(INDEX(BP!$B$5:$B$9,MATCH(B1283,BP!$A$5:$A$9,1))-INDEX(BP!$A$5:$A$9,MATCH(B1283,BP!$A$5:$A$9,1)))*(B1283-INDEX(BP!$A$5:$A$9,MATCH(B1283,BP!$A$5:$A$9,1)))+INDEX(BP!$C$5:$C$9,MATCH(B1283,BP!$A$5:$A$9,1)),0))</f>
        <v>19</v>
      </c>
      <c r="D1283" s="12" t="str">
        <f aca="false">IF(NOT(ISNUMBER(C1283)),"",INDEX(BP!$F$5:$F$9,MATCH(C1283,BP!$E$5:$E$9,1)))</f>
        <v>ดีมาก</v>
      </c>
      <c r="E1283" s="12" t="n">
        <f aca="false">YEAR(A1283)</f>
        <v>2024</v>
      </c>
      <c r="F1283" s="12" t="n">
        <f aca="false">MONTH(A1283)</f>
        <v>7</v>
      </c>
      <c r="G1283" s="12" t="n">
        <v>16.3</v>
      </c>
      <c r="H1283" s="12" t="n">
        <v>33.5</v>
      </c>
      <c r="I1283" s="12" t="n">
        <v>235</v>
      </c>
      <c r="J1283" s="12" t="n">
        <v>9.4</v>
      </c>
      <c r="K1283" s="12" t="n">
        <v>0</v>
      </c>
      <c r="L1283" s="12" t="s">
        <v>36</v>
      </c>
    </row>
    <row r="1284" customFormat="false" ht="15" hidden="false" customHeight="false" outlineLevel="0" collapsed="false">
      <c r="A1284" s="11" t="n">
        <v>45479</v>
      </c>
      <c r="B1284" s="12" t="n">
        <v>12.2</v>
      </c>
      <c r="C1284" s="12" t="n">
        <f aca="false">IF(NOT(ISNUMBER(B1284)),"",ROUND((INDEX(BP!$D$5:$D$9,MATCH(B1284,BP!$A$5:$A$9,1))-INDEX(BP!$C$5:$C$9,MATCH(B1284,BP!$A$5:$A$9,1)))/(INDEX(BP!$B$5:$B$9,MATCH(B1284,BP!$A$5:$A$9,1))-INDEX(BP!$A$5:$A$9,MATCH(B1284,BP!$A$5:$A$9,1)))*(B1284-INDEX(BP!$A$5:$A$9,MATCH(B1284,BP!$A$5:$A$9,1)))+INDEX(BP!$C$5:$C$9,MATCH(B1284,BP!$A$5:$A$9,1)),0))</f>
        <v>20</v>
      </c>
      <c r="D1284" s="12" t="str">
        <f aca="false">IF(NOT(ISNUMBER(C1284)),"",INDEX(BP!$F$5:$F$9,MATCH(C1284,BP!$E$5:$E$9,1)))</f>
        <v>ดีมาก</v>
      </c>
      <c r="E1284" s="12" t="n">
        <f aca="false">YEAR(A1284)</f>
        <v>2024</v>
      </c>
      <c r="F1284" s="12" t="n">
        <f aca="false">MONTH(A1284)</f>
        <v>7</v>
      </c>
      <c r="G1284" s="12" t="n">
        <v>10.3</v>
      </c>
      <c r="H1284" s="12" t="n">
        <v>24.1</v>
      </c>
      <c r="I1284" s="12" t="n">
        <v>237</v>
      </c>
      <c r="J1284" s="12" t="n">
        <v>1.2</v>
      </c>
      <c r="K1284" s="12" t="n">
        <v>13</v>
      </c>
      <c r="L1284" s="12" t="s">
        <v>35</v>
      </c>
    </row>
    <row r="1285" customFormat="false" ht="15" hidden="false" customHeight="false" outlineLevel="0" collapsed="false">
      <c r="A1285" s="11" t="n">
        <v>45480</v>
      </c>
      <c r="B1285" s="12" t="n">
        <v>11.1</v>
      </c>
      <c r="C1285" s="12" t="n">
        <f aca="false">IF(NOT(ISNUMBER(B1285)),"",ROUND((INDEX(BP!$D$5:$D$9,MATCH(B1285,BP!$A$5:$A$9,1))-INDEX(BP!$C$5:$C$9,MATCH(B1285,BP!$A$5:$A$9,1)))/(INDEX(BP!$B$5:$B$9,MATCH(B1285,BP!$A$5:$A$9,1))-INDEX(BP!$A$5:$A$9,MATCH(B1285,BP!$A$5:$A$9,1)))*(B1285-INDEX(BP!$A$5:$A$9,MATCH(B1285,BP!$A$5:$A$9,1)))+INDEX(BP!$C$5:$C$9,MATCH(B1285,BP!$A$5:$A$9,1)),0))</f>
        <v>19</v>
      </c>
      <c r="D1285" s="12" t="str">
        <f aca="false">IF(NOT(ISNUMBER(C1285)),"",INDEX(BP!$F$5:$F$9,MATCH(C1285,BP!$E$5:$E$9,1)))</f>
        <v>ดีมาก</v>
      </c>
      <c r="E1285" s="12" t="n">
        <f aca="false">YEAR(A1285)</f>
        <v>2024</v>
      </c>
      <c r="F1285" s="12" t="n">
        <f aca="false">MONTH(A1285)</f>
        <v>7</v>
      </c>
      <c r="G1285" s="12" t="n">
        <v>10.9</v>
      </c>
      <c r="H1285" s="12" t="n">
        <v>33.1</v>
      </c>
      <c r="I1285" s="12" t="n">
        <v>232</v>
      </c>
      <c r="J1285" s="12" t="n">
        <v>3.4</v>
      </c>
      <c r="K1285" s="12" t="n">
        <v>0</v>
      </c>
      <c r="L1285" s="12" t="s">
        <v>35</v>
      </c>
    </row>
    <row r="1286" customFormat="false" ht="15" hidden="false" customHeight="false" outlineLevel="0" collapsed="false">
      <c r="A1286" s="11" t="n">
        <v>45481</v>
      </c>
      <c r="B1286" s="12" t="n">
        <v>11</v>
      </c>
      <c r="C1286" s="12" t="n">
        <f aca="false">IF(NOT(ISNUMBER(B1286)),"",ROUND((INDEX(BP!$D$5:$D$9,MATCH(B1286,BP!$A$5:$A$9,1))-INDEX(BP!$C$5:$C$9,MATCH(B1286,BP!$A$5:$A$9,1)))/(INDEX(BP!$B$5:$B$9,MATCH(B1286,BP!$A$5:$A$9,1))-INDEX(BP!$A$5:$A$9,MATCH(B1286,BP!$A$5:$A$9,1)))*(B1286-INDEX(BP!$A$5:$A$9,MATCH(B1286,BP!$A$5:$A$9,1)))+INDEX(BP!$C$5:$C$9,MATCH(B1286,BP!$A$5:$A$9,1)),0))</f>
        <v>18</v>
      </c>
      <c r="D1286" s="12" t="str">
        <f aca="false">IF(NOT(ISNUMBER(C1286)),"",INDEX(BP!$F$5:$F$9,MATCH(C1286,BP!$E$5:$E$9,1)))</f>
        <v>ดีมาก</v>
      </c>
      <c r="E1286" s="12" t="n">
        <f aca="false">YEAR(A1286)</f>
        <v>2024</v>
      </c>
      <c r="F1286" s="12" t="n">
        <f aca="false">MONTH(A1286)</f>
        <v>7</v>
      </c>
      <c r="G1286" s="12" t="n">
        <v>13.5</v>
      </c>
      <c r="H1286" s="12" t="n">
        <v>28.4</v>
      </c>
      <c r="I1286" s="12" t="n">
        <v>215</v>
      </c>
      <c r="J1286" s="12" t="n">
        <v>21.6</v>
      </c>
      <c r="K1286" s="12" t="n">
        <v>0.2</v>
      </c>
      <c r="L1286" s="12" t="s">
        <v>36</v>
      </c>
    </row>
    <row r="1287" customFormat="false" ht="15" hidden="false" customHeight="false" outlineLevel="0" collapsed="false">
      <c r="A1287" s="11" t="n">
        <v>45482</v>
      </c>
      <c r="B1287" s="12" t="n">
        <v>11.8</v>
      </c>
      <c r="C1287" s="12" t="n">
        <f aca="false">IF(NOT(ISNUMBER(B1287)),"",ROUND((INDEX(BP!$D$5:$D$9,MATCH(B1287,BP!$A$5:$A$9,1))-INDEX(BP!$C$5:$C$9,MATCH(B1287,BP!$A$5:$A$9,1)))/(INDEX(BP!$B$5:$B$9,MATCH(B1287,BP!$A$5:$A$9,1))-INDEX(BP!$A$5:$A$9,MATCH(B1287,BP!$A$5:$A$9,1)))*(B1287-INDEX(BP!$A$5:$A$9,MATCH(B1287,BP!$A$5:$A$9,1)))+INDEX(BP!$C$5:$C$9,MATCH(B1287,BP!$A$5:$A$9,1)),0))</f>
        <v>20</v>
      </c>
      <c r="D1287" s="12" t="str">
        <f aca="false">IF(NOT(ISNUMBER(C1287)),"",INDEX(BP!$F$5:$F$9,MATCH(C1287,BP!$E$5:$E$9,1)))</f>
        <v>ดีมาก</v>
      </c>
      <c r="E1287" s="12" t="n">
        <f aca="false">YEAR(A1287)</f>
        <v>2024</v>
      </c>
      <c r="F1287" s="12" t="n">
        <f aca="false">MONTH(A1287)</f>
        <v>7</v>
      </c>
      <c r="G1287" s="12" t="n">
        <v>13.3</v>
      </c>
      <c r="H1287" s="12" t="n">
        <v>28.8</v>
      </c>
      <c r="I1287" s="12" t="n">
        <v>220</v>
      </c>
      <c r="J1287" s="12" t="n">
        <v>17.6</v>
      </c>
      <c r="K1287" s="12" t="n">
        <v>8.8</v>
      </c>
      <c r="L1287" s="12" t="s">
        <v>36</v>
      </c>
    </row>
    <row r="1288" customFormat="false" ht="15" hidden="false" customHeight="false" outlineLevel="0" collapsed="false">
      <c r="A1288" s="11" t="n">
        <v>45483</v>
      </c>
      <c r="B1288" s="12" t="n">
        <v>11.3</v>
      </c>
      <c r="C1288" s="12" t="n">
        <f aca="false">IF(NOT(ISNUMBER(B1288)),"",ROUND((INDEX(BP!$D$5:$D$9,MATCH(B1288,BP!$A$5:$A$9,1))-INDEX(BP!$C$5:$C$9,MATCH(B1288,BP!$A$5:$A$9,1)))/(INDEX(BP!$B$5:$B$9,MATCH(B1288,BP!$A$5:$A$9,1))-INDEX(BP!$A$5:$A$9,MATCH(B1288,BP!$A$5:$A$9,1)))*(B1288-INDEX(BP!$A$5:$A$9,MATCH(B1288,BP!$A$5:$A$9,1)))+INDEX(BP!$C$5:$C$9,MATCH(B1288,BP!$A$5:$A$9,1)),0))</f>
        <v>19</v>
      </c>
      <c r="D1288" s="12" t="str">
        <f aca="false">IF(NOT(ISNUMBER(C1288)),"",INDEX(BP!$F$5:$F$9,MATCH(C1288,BP!$E$5:$E$9,1)))</f>
        <v>ดีมาก</v>
      </c>
      <c r="E1288" s="12" t="n">
        <f aca="false">YEAR(A1288)</f>
        <v>2024</v>
      </c>
      <c r="F1288" s="12" t="n">
        <f aca="false">MONTH(A1288)</f>
        <v>7</v>
      </c>
      <c r="G1288" s="12" t="n">
        <v>19.9</v>
      </c>
      <c r="H1288" s="12" t="n">
        <v>42.1</v>
      </c>
      <c r="I1288" s="12" t="n">
        <v>220</v>
      </c>
      <c r="J1288" s="12" t="n">
        <v>23.5</v>
      </c>
      <c r="K1288" s="12" t="n">
        <v>0.2</v>
      </c>
      <c r="L1288" s="12" t="s">
        <v>36</v>
      </c>
    </row>
    <row r="1289" customFormat="false" ht="15" hidden="false" customHeight="false" outlineLevel="0" collapsed="false">
      <c r="A1289" s="11" t="n">
        <v>45484</v>
      </c>
      <c r="B1289" s="12" t="n">
        <v>11.2</v>
      </c>
      <c r="C1289" s="12" t="n">
        <f aca="false">IF(NOT(ISNUMBER(B1289)),"",ROUND((INDEX(BP!$D$5:$D$9,MATCH(B1289,BP!$A$5:$A$9,1))-INDEX(BP!$C$5:$C$9,MATCH(B1289,BP!$A$5:$A$9,1)))/(INDEX(BP!$B$5:$B$9,MATCH(B1289,BP!$A$5:$A$9,1))-INDEX(BP!$A$5:$A$9,MATCH(B1289,BP!$A$5:$A$9,1)))*(B1289-INDEX(BP!$A$5:$A$9,MATCH(B1289,BP!$A$5:$A$9,1)))+INDEX(BP!$C$5:$C$9,MATCH(B1289,BP!$A$5:$A$9,1)),0))</f>
        <v>19</v>
      </c>
      <c r="D1289" s="12" t="str">
        <f aca="false">IF(NOT(ISNUMBER(C1289)),"",INDEX(BP!$F$5:$F$9,MATCH(C1289,BP!$E$5:$E$9,1)))</f>
        <v>ดีมาก</v>
      </c>
      <c r="E1289" s="12" t="n">
        <f aca="false">YEAR(A1289)</f>
        <v>2024</v>
      </c>
      <c r="F1289" s="12" t="n">
        <f aca="false">MONTH(A1289)</f>
        <v>7</v>
      </c>
      <c r="G1289" s="12" t="n">
        <v>14</v>
      </c>
      <c r="H1289" s="12" t="n">
        <v>33.5</v>
      </c>
      <c r="I1289" s="12" t="n">
        <v>230</v>
      </c>
      <c r="J1289" s="12" t="n">
        <v>6.2</v>
      </c>
      <c r="K1289" s="12" t="n">
        <v>0</v>
      </c>
      <c r="L1289" s="12" t="s">
        <v>36</v>
      </c>
    </row>
    <row r="1290" customFormat="false" ht="15" hidden="false" customHeight="false" outlineLevel="0" collapsed="false">
      <c r="A1290" s="11" t="n">
        <v>45485</v>
      </c>
      <c r="B1290" s="12" t="n">
        <v>11.9</v>
      </c>
      <c r="C1290" s="12" t="n">
        <f aca="false">IF(NOT(ISNUMBER(B1290)),"",ROUND((INDEX(BP!$D$5:$D$9,MATCH(B1290,BP!$A$5:$A$9,1))-INDEX(BP!$C$5:$C$9,MATCH(B1290,BP!$A$5:$A$9,1)))/(INDEX(BP!$B$5:$B$9,MATCH(B1290,BP!$A$5:$A$9,1))-INDEX(BP!$A$5:$A$9,MATCH(B1290,BP!$A$5:$A$9,1)))*(B1290-INDEX(BP!$A$5:$A$9,MATCH(B1290,BP!$A$5:$A$9,1)))+INDEX(BP!$C$5:$C$9,MATCH(B1290,BP!$A$5:$A$9,1)),0))</f>
        <v>20</v>
      </c>
      <c r="D1290" s="12" t="str">
        <f aca="false">IF(NOT(ISNUMBER(C1290)),"",INDEX(BP!$F$5:$F$9,MATCH(C1290,BP!$E$5:$E$9,1)))</f>
        <v>ดีมาก</v>
      </c>
      <c r="E1290" s="12" t="n">
        <f aca="false">YEAR(A1290)</f>
        <v>2024</v>
      </c>
      <c r="F1290" s="12" t="n">
        <f aca="false">MONTH(A1290)</f>
        <v>7</v>
      </c>
      <c r="G1290" s="12" t="n">
        <v>12</v>
      </c>
      <c r="H1290" s="12" t="n">
        <v>27.4</v>
      </c>
      <c r="I1290" s="12" t="n">
        <v>221</v>
      </c>
      <c r="J1290" s="12" t="n">
        <v>9.5</v>
      </c>
      <c r="K1290" s="12" t="n">
        <v>1.8</v>
      </c>
      <c r="L1290" s="12" t="s">
        <v>36</v>
      </c>
    </row>
    <row r="1291" customFormat="false" ht="15" hidden="false" customHeight="false" outlineLevel="0" collapsed="false">
      <c r="A1291" s="11" t="n">
        <v>45486</v>
      </c>
      <c r="B1291" s="12" t="n">
        <v>12.6</v>
      </c>
      <c r="C1291" s="12" t="n">
        <f aca="false">IF(NOT(ISNUMBER(B1291)),"",ROUND((INDEX(BP!$D$5:$D$9,MATCH(B1291,BP!$A$5:$A$9,1))-INDEX(BP!$C$5:$C$9,MATCH(B1291,BP!$A$5:$A$9,1)))/(INDEX(BP!$B$5:$B$9,MATCH(B1291,BP!$A$5:$A$9,1))-INDEX(BP!$A$5:$A$9,MATCH(B1291,BP!$A$5:$A$9,1)))*(B1291-INDEX(BP!$A$5:$A$9,MATCH(B1291,BP!$A$5:$A$9,1)))+INDEX(BP!$C$5:$C$9,MATCH(B1291,BP!$A$5:$A$9,1)),0))</f>
        <v>21</v>
      </c>
      <c r="D1291" s="12" t="str">
        <f aca="false">IF(NOT(ISNUMBER(C1291)),"",INDEX(BP!$F$5:$F$9,MATCH(C1291,BP!$E$5:$E$9,1)))</f>
        <v>ดีมาก</v>
      </c>
      <c r="E1291" s="12" t="n">
        <f aca="false">YEAR(A1291)</f>
        <v>2024</v>
      </c>
      <c r="F1291" s="12" t="n">
        <f aca="false">MONTH(A1291)</f>
        <v>7</v>
      </c>
      <c r="G1291" s="12" t="n">
        <v>14</v>
      </c>
      <c r="H1291" s="12" t="n">
        <v>26.6</v>
      </c>
      <c r="I1291" s="12" t="n">
        <v>235</v>
      </c>
      <c r="J1291" s="12" t="n">
        <v>0.7</v>
      </c>
      <c r="K1291" s="12" t="n">
        <v>0</v>
      </c>
      <c r="L1291" s="12" t="s">
        <v>35</v>
      </c>
    </row>
    <row r="1292" customFormat="false" ht="15" hidden="false" customHeight="false" outlineLevel="0" collapsed="false">
      <c r="A1292" s="11" t="n">
        <v>45487</v>
      </c>
      <c r="B1292" s="12" t="n">
        <v>11.7</v>
      </c>
      <c r="C1292" s="12" t="n">
        <f aca="false">IF(NOT(ISNUMBER(B1292)),"",ROUND((INDEX(BP!$D$5:$D$9,MATCH(B1292,BP!$A$5:$A$9,1))-INDEX(BP!$C$5:$C$9,MATCH(B1292,BP!$A$5:$A$9,1)))/(INDEX(BP!$B$5:$B$9,MATCH(B1292,BP!$A$5:$A$9,1))-INDEX(BP!$A$5:$A$9,MATCH(B1292,BP!$A$5:$A$9,1)))*(B1292-INDEX(BP!$A$5:$A$9,MATCH(B1292,BP!$A$5:$A$9,1)))+INDEX(BP!$C$5:$C$9,MATCH(B1292,BP!$A$5:$A$9,1)),0))</f>
        <v>20</v>
      </c>
      <c r="D1292" s="12" t="str">
        <f aca="false">IF(NOT(ISNUMBER(C1292)),"",INDEX(BP!$F$5:$F$9,MATCH(C1292,BP!$E$5:$E$9,1)))</f>
        <v>ดีมาก</v>
      </c>
      <c r="E1292" s="12" t="n">
        <f aca="false">YEAR(A1292)</f>
        <v>2024</v>
      </c>
      <c r="F1292" s="12" t="n">
        <f aca="false">MONTH(A1292)</f>
        <v>7</v>
      </c>
      <c r="G1292" s="12" t="n">
        <v>15.8</v>
      </c>
      <c r="H1292" s="12" t="n">
        <v>38.5</v>
      </c>
      <c r="I1292" s="12" t="n">
        <v>234</v>
      </c>
      <c r="J1292" s="12" t="n">
        <v>0.3</v>
      </c>
      <c r="K1292" s="12" t="n">
        <v>9</v>
      </c>
      <c r="L1292" s="12" t="s">
        <v>35</v>
      </c>
    </row>
    <row r="1293" customFormat="false" ht="15" hidden="false" customHeight="false" outlineLevel="0" collapsed="false">
      <c r="A1293" s="11" t="n">
        <v>45488</v>
      </c>
      <c r="B1293" s="12" t="n">
        <v>12.6</v>
      </c>
      <c r="C1293" s="12" t="n">
        <f aca="false">IF(NOT(ISNUMBER(B1293)),"",ROUND((INDEX(BP!$D$5:$D$9,MATCH(B1293,BP!$A$5:$A$9,1))-INDEX(BP!$C$5:$C$9,MATCH(B1293,BP!$A$5:$A$9,1)))/(INDEX(BP!$B$5:$B$9,MATCH(B1293,BP!$A$5:$A$9,1))-INDEX(BP!$A$5:$A$9,MATCH(B1293,BP!$A$5:$A$9,1)))*(B1293-INDEX(BP!$A$5:$A$9,MATCH(B1293,BP!$A$5:$A$9,1)))+INDEX(BP!$C$5:$C$9,MATCH(B1293,BP!$A$5:$A$9,1)),0))</f>
        <v>21</v>
      </c>
      <c r="D1293" s="12" t="str">
        <f aca="false">IF(NOT(ISNUMBER(C1293)),"",INDEX(BP!$F$5:$F$9,MATCH(C1293,BP!$E$5:$E$9,1)))</f>
        <v>ดีมาก</v>
      </c>
      <c r="E1293" s="12" t="n">
        <f aca="false">YEAR(A1293)</f>
        <v>2024</v>
      </c>
      <c r="F1293" s="12" t="n">
        <f aca="false">MONTH(A1293)</f>
        <v>7</v>
      </c>
      <c r="G1293" s="12" t="n">
        <v>16.2</v>
      </c>
      <c r="H1293" s="12" t="n">
        <v>35.3</v>
      </c>
      <c r="I1293" s="12" t="n">
        <v>242</v>
      </c>
      <c r="J1293" s="12" t="n">
        <v>2.4</v>
      </c>
      <c r="K1293" s="12" t="n">
        <v>0</v>
      </c>
      <c r="L1293" s="12" t="s">
        <v>36</v>
      </c>
    </row>
    <row r="1294" customFormat="false" ht="15" hidden="false" customHeight="false" outlineLevel="0" collapsed="false">
      <c r="A1294" s="11" t="n">
        <v>45489</v>
      </c>
      <c r="B1294" s="12" t="n">
        <v>12.8</v>
      </c>
      <c r="C1294" s="12" t="n">
        <f aca="false">IF(NOT(ISNUMBER(B1294)),"",ROUND((INDEX(BP!$D$5:$D$9,MATCH(B1294,BP!$A$5:$A$9,1))-INDEX(BP!$C$5:$C$9,MATCH(B1294,BP!$A$5:$A$9,1)))/(INDEX(BP!$B$5:$B$9,MATCH(B1294,BP!$A$5:$A$9,1))-INDEX(BP!$A$5:$A$9,MATCH(B1294,BP!$A$5:$A$9,1)))*(B1294-INDEX(BP!$A$5:$A$9,MATCH(B1294,BP!$A$5:$A$9,1)))+INDEX(BP!$C$5:$C$9,MATCH(B1294,BP!$A$5:$A$9,1)),0))</f>
        <v>21</v>
      </c>
      <c r="D1294" s="12" t="str">
        <f aca="false">IF(NOT(ISNUMBER(C1294)),"",INDEX(BP!$F$5:$F$9,MATCH(C1294,BP!$E$5:$E$9,1)))</f>
        <v>ดีมาก</v>
      </c>
      <c r="E1294" s="12" t="n">
        <f aca="false">YEAR(A1294)</f>
        <v>2024</v>
      </c>
      <c r="F1294" s="12" t="n">
        <f aca="false">MONTH(A1294)</f>
        <v>7</v>
      </c>
      <c r="G1294" s="12" t="n">
        <v>17.2</v>
      </c>
      <c r="H1294" s="12" t="n">
        <v>38.5</v>
      </c>
      <c r="I1294" s="12" t="n">
        <v>226</v>
      </c>
      <c r="J1294" s="12" t="n">
        <v>2.5</v>
      </c>
      <c r="K1294" s="12" t="n">
        <v>25.9</v>
      </c>
      <c r="L1294" s="12" t="s">
        <v>36</v>
      </c>
    </row>
    <row r="1295" customFormat="false" ht="15" hidden="false" customHeight="false" outlineLevel="0" collapsed="false">
      <c r="A1295" s="11" t="n">
        <v>45490</v>
      </c>
      <c r="B1295" s="12" t="n">
        <v>12.2</v>
      </c>
      <c r="C1295" s="12" t="n">
        <f aca="false">IF(NOT(ISNUMBER(B1295)),"",ROUND((INDEX(BP!$D$5:$D$9,MATCH(B1295,BP!$A$5:$A$9,1))-INDEX(BP!$C$5:$C$9,MATCH(B1295,BP!$A$5:$A$9,1)))/(INDEX(BP!$B$5:$B$9,MATCH(B1295,BP!$A$5:$A$9,1))-INDEX(BP!$A$5:$A$9,MATCH(B1295,BP!$A$5:$A$9,1)))*(B1295-INDEX(BP!$A$5:$A$9,MATCH(B1295,BP!$A$5:$A$9,1)))+INDEX(BP!$C$5:$C$9,MATCH(B1295,BP!$A$5:$A$9,1)),0))</f>
        <v>20</v>
      </c>
      <c r="D1295" s="12" t="str">
        <f aca="false">IF(NOT(ISNUMBER(C1295)),"",INDEX(BP!$F$5:$F$9,MATCH(C1295,BP!$E$5:$E$9,1)))</f>
        <v>ดีมาก</v>
      </c>
      <c r="E1295" s="12" t="n">
        <f aca="false">YEAR(A1295)</f>
        <v>2024</v>
      </c>
      <c r="F1295" s="12" t="n">
        <f aca="false">MONTH(A1295)</f>
        <v>7</v>
      </c>
      <c r="G1295" s="12" t="n">
        <v>13.4</v>
      </c>
      <c r="H1295" s="12" t="n">
        <v>29.2</v>
      </c>
      <c r="I1295" s="12" t="n">
        <v>224</v>
      </c>
      <c r="J1295" s="12" t="n">
        <v>0.1</v>
      </c>
      <c r="K1295" s="12" t="n">
        <v>7.6</v>
      </c>
      <c r="L1295" s="12" t="s">
        <v>36</v>
      </c>
    </row>
    <row r="1296" customFormat="false" ht="15" hidden="false" customHeight="false" outlineLevel="0" collapsed="false">
      <c r="A1296" s="11" t="n">
        <v>45491</v>
      </c>
      <c r="B1296" s="12" t="n">
        <v>13.2</v>
      </c>
      <c r="C1296" s="12" t="n">
        <f aca="false">IF(NOT(ISNUMBER(B1296)),"",ROUND((INDEX(BP!$D$5:$D$9,MATCH(B1296,BP!$A$5:$A$9,1))-INDEX(BP!$C$5:$C$9,MATCH(B1296,BP!$A$5:$A$9,1)))/(INDEX(BP!$B$5:$B$9,MATCH(B1296,BP!$A$5:$A$9,1))-INDEX(BP!$A$5:$A$9,MATCH(B1296,BP!$A$5:$A$9,1)))*(B1296-INDEX(BP!$A$5:$A$9,MATCH(B1296,BP!$A$5:$A$9,1)))+INDEX(BP!$C$5:$C$9,MATCH(B1296,BP!$A$5:$A$9,1)),0))</f>
        <v>22</v>
      </c>
      <c r="D1296" s="12" t="str">
        <f aca="false">IF(NOT(ISNUMBER(C1296)),"",INDEX(BP!$F$5:$F$9,MATCH(C1296,BP!$E$5:$E$9,1)))</f>
        <v>ดีมาก</v>
      </c>
      <c r="E1296" s="12" t="n">
        <f aca="false">YEAR(A1296)</f>
        <v>2024</v>
      </c>
      <c r="F1296" s="12" t="n">
        <f aca="false">MONTH(A1296)</f>
        <v>7</v>
      </c>
      <c r="G1296" s="12" t="n">
        <v>16.6</v>
      </c>
      <c r="H1296" s="12" t="n">
        <v>37.4</v>
      </c>
      <c r="I1296" s="12" t="n">
        <v>218</v>
      </c>
      <c r="J1296" s="12" t="n">
        <v>0.3</v>
      </c>
      <c r="K1296" s="12" t="n">
        <v>0</v>
      </c>
      <c r="L1296" s="12" t="s">
        <v>36</v>
      </c>
    </row>
    <row r="1297" customFormat="false" ht="15" hidden="false" customHeight="false" outlineLevel="0" collapsed="false">
      <c r="A1297" s="11" t="n">
        <v>45492</v>
      </c>
      <c r="B1297" s="12" t="n">
        <v>13.5</v>
      </c>
      <c r="C1297" s="12" t="n">
        <f aca="false">IF(NOT(ISNUMBER(B1297)),"",ROUND((INDEX(BP!$D$5:$D$9,MATCH(B1297,BP!$A$5:$A$9,1))-INDEX(BP!$C$5:$C$9,MATCH(B1297,BP!$A$5:$A$9,1)))/(INDEX(BP!$B$5:$B$9,MATCH(B1297,BP!$A$5:$A$9,1))-INDEX(BP!$A$5:$A$9,MATCH(B1297,BP!$A$5:$A$9,1)))*(B1297-INDEX(BP!$A$5:$A$9,MATCH(B1297,BP!$A$5:$A$9,1)))+INDEX(BP!$C$5:$C$9,MATCH(B1297,BP!$A$5:$A$9,1)),0))</f>
        <v>23</v>
      </c>
      <c r="D1297" s="12" t="str">
        <f aca="false">IF(NOT(ISNUMBER(C1297)),"",INDEX(BP!$F$5:$F$9,MATCH(C1297,BP!$E$5:$E$9,1)))</f>
        <v>ดีมาก</v>
      </c>
      <c r="E1297" s="12" t="n">
        <f aca="false">YEAR(A1297)</f>
        <v>2024</v>
      </c>
      <c r="F1297" s="12" t="n">
        <f aca="false">MONTH(A1297)</f>
        <v>7</v>
      </c>
      <c r="G1297" s="12" t="n">
        <v>9</v>
      </c>
      <c r="H1297" s="12" t="n">
        <v>25.2</v>
      </c>
      <c r="I1297" s="12" t="n">
        <v>157</v>
      </c>
      <c r="J1297" s="12" t="n">
        <v>2</v>
      </c>
      <c r="K1297" s="12" t="n">
        <v>10.8</v>
      </c>
      <c r="L1297" s="12" t="s">
        <v>36</v>
      </c>
    </row>
    <row r="1298" customFormat="false" ht="15" hidden="false" customHeight="false" outlineLevel="0" collapsed="false">
      <c r="A1298" s="11" t="n">
        <v>45493</v>
      </c>
      <c r="B1298" s="12" t="n">
        <v>13.5</v>
      </c>
      <c r="C1298" s="12" t="n">
        <f aca="false">IF(NOT(ISNUMBER(B1298)),"",ROUND((INDEX(BP!$D$5:$D$9,MATCH(B1298,BP!$A$5:$A$9,1))-INDEX(BP!$C$5:$C$9,MATCH(B1298,BP!$A$5:$A$9,1)))/(INDEX(BP!$B$5:$B$9,MATCH(B1298,BP!$A$5:$A$9,1))-INDEX(BP!$A$5:$A$9,MATCH(B1298,BP!$A$5:$A$9,1)))*(B1298-INDEX(BP!$A$5:$A$9,MATCH(B1298,BP!$A$5:$A$9,1)))+INDEX(BP!$C$5:$C$9,MATCH(B1298,BP!$A$5:$A$9,1)),0))</f>
        <v>23</v>
      </c>
      <c r="D1298" s="12" t="str">
        <f aca="false">IF(NOT(ISNUMBER(C1298)),"",INDEX(BP!$F$5:$F$9,MATCH(C1298,BP!$E$5:$E$9,1)))</f>
        <v>ดีมาก</v>
      </c>
      <c r="E1298" s="12" t="n">
        <f aca="false">YEAR(A1298)</f>
        <v>2024</v>
      </c>
      <c r="F1298" s="12" t="n">
        <f aca="false">MONTH(A1298)</f>
        <v>7</v>
      </c>
      <c r="G1298" s="12" t="n">
        <v>10</v>
      </c>
      <c r="H1298" s="12" t="n">
        <v>25.2</v>
      </c>
      <c r="I1298" s="12" t="n">
        <v>220</v>
      </c>
      <c r="J1298" s="12" t="n">
        <v>0.9</v>
      </c>
      <c r="K1298" s="12" t="n">
        <v>0</v>
      </c>
      <c r="L1298" s="12" t="s">
        <v>34</v>
      </c>
    </row>
    <row r="1299" customFormat="false" ht="15" hidden="false" customHeight="false" outlineLevel="0" collapsed="false">
      <c r="A1299" s="11" t="n">
        <v>45494</v>
      </c>
      <c r="B1299" s="12" t="n">
        <v>13.8</v>
      </c>
      <c r="C1299" s="12" t="n">
        <f aca="false">IF(NOT(ISNUMBER(B1299)),"",ROUND((INDEX(BP!$D$5:$D$9,MATCH(B1299,BP!$A$5:$A$9,1))-INDEX(BP!$C$5:$C$9,MATCH(B1299,BP!$A$5:$A$9,1)))/(INDEX(BP!$B$5:$B$9,MATCH(B1299,BP!$A$5:$A$9,1))-INDEX(BP!$A$5:$A$9,MATCH(B1299,BP!$A$5:$A$9,1)))*(B1299-INDEX(BP!$A$5:$A$9,MATCH(B1299,BP!$A$5:$A$9,1)))+INDEX(BP!$C$5:$C$9,MATCH(B1299,BP!$A$5:$A$9,1)),0))</f>
        <v>23</v>
      </c>
      <c r="D1299" s="12" t="str">
        <f aca="false">IF(NOT(ISNUMBER(C1299)),"",INDEX(BP!$F$5:$F$9,MATCH(C1299,BP!$E$5:$E$9,1)))</f>
        <v>ดีมาก</v>
      </c>
      <c r="E1299" s="12" t="n">
        <f aca="false">YEAR(A1299)</f>
        <v>2024</v>
      </c>
      <c r="F1299" s="12" t="n">
        <f aca="false">MONTH(A1299)</f>
        <v>7</v>
      </c>
      <c r="G1299" s="12" t="n">
        <v>14.6</v>
      </c>
      <c r="H1299" s="12" t="n">
        <v>31.3</v>
      </c>
      <c r="I1299" s="12" t="n">
        <v>204</v>
      </c>
      <c r="J1299" s="12" t="n">
        <v>0.7</v>
      </c>
      <c r="K1299" s="12" t="n">
        <v>0</v>
      </c>
      <c r="L1299" s="12" t="s">
        <v>34</v>
      </c>
    </row>
    <row r="1300" customFormat="false" ht="15" hidden="false" customHeight="false" outlineLevel="0" collapsed="false">
      <c r="A1300" s="11" t="n">
        <v>45495</v>
      </c>
      <c r="B1300" s="12" t="n">
        <v>13.8</v>
      </c>
      <c r="C1300" s="12" t="n">
        <f aca="false">IF(NOT(ISNUMBER(B1300)),"",ROUND((INDEX(BP!$D$5:$D$9,MATCH(B1300,BP!$A$5:$A$9,1))-INDEX(BP!$C$5:$C$9,MATCH(B1300,BP!$A$5:$A$9,1)))/(INDEX(BP!$B$5:$B$9,MATCH(B1300,BP!$A$5:$A$9,1))-INDEX(BP!$A$5:$A$9,MATCH(B1300,BP!$A$5:$A$9,1)))*(B1300-INDEX(BP!$A$5:$A$9,MATCH(B1300,BP!$A$5:$A$9,1)))+INDEX(BP!$C$5:$C$9,MATCH(B1300,BP!$A$5:$A$9,1)),0))</f>
        <v>23</v>
      </c>
      <c r="D1300" s="12" t="str">
        <f aca="false">IF(NOT(ISNUMBER(C1300)),"",INDEX(BP!$F$5:$F$9,MATCH(C1300,BP!$E$5:$E$9,1)))</f>
        <v>ดีมาก</v>
      </c>
      <c r="E1300" s="12" t="n">
        <f aca="false">YEAR(A1300)</f>
        <v>2024</v>
      </c>
      <c r="F1300" s="12" t="n">
        <f aca="false">MONTH(A1300)</f>
        <v>7</v>
      </c>
      <c r="G1300" s="12" t="n">
        <v>13.9</v>
      </c>
      <c r="H1300" s="12" t="n">
        <v>30.2</v>
      </c>
      <c r="I1300" s="12" t="n">
        <v>238</v>
      </c>
      <c r="J1300" s="12" t="n">
        <v>2.5</v>
      </c>
      <c r="K1300" s="12" t="n">
        <v>0</v>
      </c>
      <c r="L1300" s="12" t="s">
        <v>34</v>
      </c>
    </row>
    <row r="1301" customFormat="false" ht="15" hidden="false" customHeight="false" outlineLevel="0" collapsed="false">
      <c r="A1301" s="11" t="n">
        <v>45496</v>
      </c>
      <c r="B1301" s="12" t="n">
        <v>16.3</v>
      </c>
      <c r="C1301" s="12" t="n">
        <f aca="false">IF(NOT(ISNUMBER(B1301)),"",ROUND((INDEX(BP!$D$5:$D$9,MATCH(B1301,BP!$A$5:$A$9,1))-INDEX(BP!$C$5:$C$9,MATCH(B1301,BP!$A$5:$A$9,1)))/(INDEX(BP!$B$5:$B$9,MATCH(B1301,BP!$A$5:$A$9,1))-INDEX(BP!$A$5:$A$9,MATCH(B1301,BP!$A$5:$A$9,1)))*(B1301-INDEX(BP!$A$5:$A$9,MATCH(B1301,BP!$A$5:$A$9,1)))+INDEX(BP!$C$5:$C$9,MATCH(B1301,BP!$A$5:$A$9,1)),0))</f>
        <v>29</v>
      </c>
      <c r="D1301" s="12" t="str">
        <f aca="false">IF(NOT(ISNUMBER(C1301)),"",INDEX(BP!$F$5:$F$9,MATCH(C1301,BP!$E$5:$E$9,1)))</f>
        <v>ดี</v>
      </c>
      <c r="E1301" s="12" t="n">
        <f aca="false">YEAR(A1301)</f>
        <v>2024</v>
      </c>
      <c r="F1301" s="12" t="n">
        <f aca="false">MONTH(A1301)</f>
        <v>7</v>
      </c>
      <c r="G1301" s="12" t="n">
        <v>17.3</v>
      </c>
      <c r="H1301" s="12" t="n">
        <v>37.4</v>
      </c>
      <c r="I1301" s="12" t="n">
        <v>223</v>
      </c>
      <c r="J1301" s="12" t="n">
        <v>0.8</v>
      </c>
      <c r="K1301" s="12" t="n">
        <v>0</v>
      </c>
      <c r="L1301" s="12" t="s">
        <v>36</v>
      </c>
    </row>
    <row r="1302" customFormat="false" ht="15" hidden="false" customHeight="false" outlineLevel="0" collapsed="false">
      <c r="A1302" s="11" t="n">
        <v>45497</v>
      </c>
      <c r="B1302" s="12" t="n">
        <v>20.9</v>
      </c>
      <c r="C1302" s="12" t="n">
        <f aca="false">IF(NOT(ISNUMBER(B1302)),"",ROUND((INDEX(BP!$D$5:$D$9,MATCH(B1302,BP!$A$5:$A$9,1))-INDEX(BP!$C$5:$C$9,MATCH(B1302,BP!$A$5:$A$9,1)))/(INDEX(BP!$B$5:$B$9,MATCH(B1302,BP!$A$5:$A$9,1))-INDEX(BP!$A$5:$A$9,MATCH(B1302,BP!$A$5:$A$9,1)))*(B1302-INDEX(BP!$A$5:$A$9,MATCH(B1302,BP!$A$5:$A$9,1)))+INDEX(BP!$C$5:$C$9,MATCH(B1302,BP!$A$5:$A$9,1)),0))</f>
        <v>40</v>
      </c>
      <c r="D1302" s="12" t="str">
        <f aca="false">IF(NOT(ISNUMBER(C1302)),"",INDEX(BP!$F$5:$F$9,MATCH(C1302,BP!$E$5:$E$9,1)))</f>
        <v>ดี</v>
      </c>
      <c r="E1302" s="12" t="n">
        <f aca="false">YEAR(A1302)</f>
        <v>2024</v>
      </c>
      <c r="F1302" s="12" t="n">
        <f aca="false">MONTH(A1302)</f>
        <v>7</v>
      </c>
      <c r="G1302" s="12" t="n">
        <v>19.1</v>
      </c>
      <c r="H1302" s="12" t="n">
        <v>43.6</v>
      </c>
      <c r="I1302" s="12" t="n">
        <v>241</v>
      </c>
      <c r="J1302" s="12" t="n">
        <v>0.8</v>
      </c>
      <c r="K1302" s="12" t="n">
        <v>0</v>
      </c>
      <c r="L1302" s="12" t="s">
        <v>36</v>
      </c>
    </row>
    <row r="1303" customFormat="false" ht="15" hidden="false" customHeight="false" outlineLevel="0" collapsed="false">
      <c r="A1303" s="11" t="n">
        <v>45498</v>
      </c>
      <c r="B1303" s="12" t="n">
        <v>20.8</v>
      </c>
      <c r="C1303" s="12" t="n">
        <f aca="false">IF(NOT(ISNUMBER(B1303)),"",ROUND((INDEX(BP!$D$5:$D$9,MATCH(B1303,BP!$A$5:$A$9,1))-INDEX(BP!$C$5:$C$9,MATCH(B1303,BP!$A$5:$A$9,1)))/(INDEX(BP!$B$5:$B$9,MATCH(B1303,BP!$A$5:$A$9,1))-INDEX(BP!$A$5:$A$9,MATCH(B1303,BP!$A$5:$A$9,1)))*(B1303-INDEX(BP!$A$5:$A$9,MATCH(B1303,BP!$A$5:$A$9,1)))+INDEX(BP!$C$5:$C$9,MATCH(B1303,BP!$A$5:$A$9,1)),0))</f>
        <v>40</v>
      </c>
      <c r="D1303" s="12" t="str">
        <f aca="false">IF(NOT(ISNUMBER(C1303)),"",INDEX(BP!$F$5:$F$9,MATCH(C1303,BP!$E$5:$E$9,1)))</f>
        <v>ดี</v>
      </c>
      <c r="E1303" s="12" t="n">
        <f aca="false">YEAR(A1303)</f>
        <v>2024</v>
      </c>
      <c r="F1303" s="12" t="n">
        <f aca="false">MONTH(A1303)</f>
        <v>7</v>
      </c>
      <c r="G1303" s="12" t="n">
        <v>16.1</v>
      </c>
      <c r="H1303" s="12" t="n">
        <v>36.7</v>
      </c>
      <c r="I1303" s="12" t="n">
        <v>225</v>
      </c>
      <c r="J1303" s="12" t="n">
        <v>0.1</v>
      </c>
      <c r="K1303" s="12" t="n">
        <v>0</v>
      </c>
      <c r="L1303" s="12" t="s">
        <v>36</v>
      </c>
    </row>
    <row r="1304" customFormat="false" ht="15" hidden="false" customHeight="false" outlineLevel="0" collapsed="false">
      <c r="A1304" s="11" t="n">
        <v>45499</v>
      </c>
      <c r="B1304" s="12" t="n">
        <v>21.9</v>
      </c>
      <c r="C1304" s="12" t="n">
        <f aca="false">IF(NOT(ISNUMBER(B1304)),"",ROUND((INDEX(BP!$D$5:$D$9,MATCH(B1304,BP!$A$5:$A$9,1))-INDEX(BP!$C$5:$C$9,MATCH(B1304,BP!$A$5:$A$9,1)))/(INDEX(BP!$B$5:$B$9,MATCH(B1304,BP!$A$5:$A$9,1))-INDEX(BP!$A$5:$A$9,MATCH(B1304,BP!$A$5:$A$9,1)))*(B1304-INDEX(BP!$A$5:$A$9,MATCH(B1304,BP!$A$5:$A$9,1)))+INDEX(BP!$C$5:$C$9,MATCH(B1304,BP!$A$5:$A$9,1)),0))</f>
        <v>42</v>
      </c>
      <c r="D1304" s="12" t="str">
        <f aca="false">IF(NOT(ISNUMBER(C1304)),"",INDEX(BP!$F$5:$F$9,MATCH(C1304,BP!$E$5:$E$9,1)))</f>
        <v>ดี</v>
      </c>
      <c r="E1304" s="12" t="n">
        <f aca="false">YEAR(A1304)</f>
        <v>2024</v>
      </c>
      <c r="F1304" s="12" t="n">
        <f aca="false">MONTH(A1304)</f>
        <v>7</v>
      </c>
      <c r="G1304" s="12" t="n">
        <v>20</v>
      </c>
      <c r="H1304" s="12" t="n">
        <v>41.4</v>
      </c>
      <c r="I1304" s="12" t="n">
        <v>220</v>
      </c>
      <c r="J1304" s="12" t="n">
        <v>1.4</v>
      </c>
      <c r="K1304" s="12" t="n">
        <v>0</v>
      </c>
      <c r="L1304" s="12" t="s">
        <v>36</v>
      </c>
    </row>
    <row r="1305" customFormat="false" ht="15" hidden="false" customHeight="false" outlineLevel="0" collapsed="false">
      <c r="A1305" s="11" t="n">
        <v>45500</v>
      </c>
      <c r="B1305" s="12" t="n">
        <v>22.5</v>
      </c>
      <c r="C1305" s="12" t="n">
        <f aca="false">IF(NOT(ISNUMBER(B1305)),"",ROUND((INDEX(BP!$D$5:$D$9,MATCH(B1305,BP!$A$5:$A$9,1))-INDEX(BP!$C$5:$C$9,MATCH(B1305,BP!$A$5:$A$9,1)))/(INDEX(BP!$B$5:$B$9,MATCH(B1305,BP!$A$5:$A$9,1))-INDEX(BP!$A$5:$A$9,MATCH(B1305,BP!$A$5:$A$9,1)))*(B1305-INDEX(BP!$A$5:$A$9,MATCH(B1305,BP!$A$5:$A$9,1)))+INDEX(BP!$C$5:$C$9,MATCH(B1305,BP!$A$5:$A$9,1)),0))</f>
        <v>44</v>
      </c>
      <c r="D1305" s="12" t="str">
        <f aca="false">IF(NOT(ISNUMBER(C1305)),"",INDEX(BP!$F$5:$F$9,MATCH(C1305,BP!$E$5:$E$9,1)))</f>
        <v>ดี</v>
      </c>
      <c r="E1305" s="12" t="n">
        <f aca="false">YEAR(A1305)</f>
        <v>2024</v>
      </c>
      <c r="F1305" s="12" t="n">
        <f aca="false">MONTH(A1305)</f>
        <v>7</v>
      </c>
      <c r="G1305" s="12" t="n">
        <v>17.4</v>
      </c>
      <c r="H1305" s="12" t="n">
        <v>37.8</v>
      </c>
      <c r="I1305" s="12" t="n">
        <v>208</v>
      </c>
      <c r="J1305" s="12" t="n">
        <v>3.3</v>
      </c>
      <c r="K1305" s="12" t="n">
        <v>0</v>
      </c>
      <c r="L1305" s="12" t="s">
        <v>35</v>
      </c>
    </row>
    <row r="1306" customFormat="false" ht="15" hidden="false" customHeight="false" outlineLevel="0" collapsed="false">
      <c r="A1306" s="11" t="n">
        <v>45501</v>
      </c>
      <c r="B1306" s="12" t="n">
        <v>20.8</v>
      </c>
      <c r="C1306" s="12" t="n">
        <f aca="false">IF(NOT(ISNUMBER(B1306)),"",ROUND((INDEX(BP!$D$5:$D$9,MATCH(B1306,BP!$A$5:$A$9,1))-INDEX(BP!$C$5:$C$9,MATCH(B1306,BP!$A$5:$A$9,1)))/(INDEX(BP!$B$5:$B$9,MATCH(B1306,BP!$A$5:$A$9,1))-INDEX(BP!$A$5:$A$9,MATCH(B1306,BP!$A$5:$A$9,1)))*(B1306-INDEX(BP!$A$5:$A$9,MATCH(B1306,BP!$A$5:$A$9,1)))+INDEX(BP!$C$5:$C$9,MATCH(B1306,BP!$A$5:$A$9,1)),0))</f>
        <v>40</v>
      </c>
      <c r="D1306" s="12" t="str">
        <f aca="false">IF(NOT(ISNUMBER(C1306)),"",INDEX(BP!$F$5:$F$9,MATCH(C1306,BP!$E$5:$E$9,1)))</f>
        <v>ดี</v>
      </c>
      <c r="E1306" s="12" t="n">
        <f aca="false">YEAR(A1306)</f>
        <v>2024</v>
      </c>
      <c r="F1306" s="12" t="n">
        <f aca="false">MONTH(A1306)</f>
        <v>7</v>
      </c>
      <c r="G1306" s="12" t="n">
        <v>11.3</v>
      </c>
      <c r="H1306" s="12" t="n">
        <v>35.6</v>
      </c>
      <c r="I1306" s="12" t="n">
        <v>128</v>
      </c>
      <c r="J1306" s="12" t="n">
        <v>16.3</v>
      </c>
      <c r="K1306" s="12" t="n">
        <v>44.2</v>
      </c>
      <c r="L1306" s="12" t="s">
        <v>34</v>
      </c>
    </row>
    <row r="1307" customFormat="false" ht="15" hidden="false" customHeight="false" outlineLevel="0" collapsed="false">
      <c r="A1307" s="11" t="n">
        <v>45502</v>
      </c>
      <c r="B1307" s="12" t="n">
        <v>15.7</v>
      </c>
      <c r="C1307" s="12" t="n">
        <f aca="false">IF(NOT(ISNUMBER(B1307)),"",ROUND((INDEX(BP!$D$5:$D$9,MATCH(B1307,BP!$A$5:$A$9,1))-INDEX(BP!$C$5:$C$9,MATCH(B1307,BP!$A$5:$A$9,1)))/(INDEX(BP!$B$5:$B$9,MATCH(B1307,BP!$A$5:$A$9,1))-INDEX(BP!$A$5:$A$9,MATCH(B1307,BP!$A$5:$A$9,1)))*(B1307-INDEX(BP!$A$5:$A$9,MATCH(B1307,BP!$A$5:$A$9,1)))+INDEX(BP!$C$5:$C$9,MATCH(B1307,BP!$A$5:$A$9,1)),0))</f>
        <v>27</v>
      </c>
      <c r="D1307" s="12" t="str">
        <f aca="false">IF(NOT(ISNUMBER(C1307)),"",INDEX(BP!$F$5:$F$9,MATCH(C1307,BP!$E$5:$E$9,1)))</f>
        <v>ดี</v>
      </c>
      <c r="E1307" s="12" t="n">
        <f aca="false">YEAR(A1307)</f>
        <v>2024</v>
      </c>
      <c r="F1307" s="12" t="n">
        <f aca="false">MONTH(A1307)</f>
        <v>7</v>
      </c>
      <c r="G1307" s="12" t="n">
        <v>16.1</v>
      </c>
      <c r="H1307" s="12" t="n">
        <v>36.7</v>
      </c>
      <c r="I1307" s="12" t="n">
        <v>206</v>
      </c>
      <c r="J1307" s="12" t="n">
        <v>2.9</v>
      </c>
      <c r="K1307" s="12" t="n">
        <v>0</v>
      </c>
      <c r="L1307" s="12" t="s">
        <v>34</v>
      </c>
    </row>
    <row r="1308" customFormat="false" ht="15" hidden="false" customHeight="false" outlineLevel="0" collapsed="false">
      <c r="A1308" s="11" t="n">
        <v>45503</v>
      </c>
      <c r="B1308" s="12" t="n">
        <v>18.2</v>
      </c>
      <c r="C1308" s="12" t="n">
        <f aca="false">IF(NOT(ISNUMBER(B1308)),"",ROUND((INDEX(BP!$D$5:$D$9,MATCH(B1308,BP!$A$5:$A$9,1))-INDEX(BP!$C$5:$C$9,MATCH(B1308,BP!$A$5:$A$9,1)))/(INDEX(BP!$B$5:$B$9,MATCH(B1308,BP!$A$5:$A$9,1))-INDEX(BP!$A$5:$A$9,MATCH(B1308,BP!$A$5:$A$9,1)))*(B1308-INDEX(BP!$A$5:$A$9,MATCH(B1308,BP!$A$5:$A$9,1)))+INDEX(BP!$C$5:$C$9,MATCH(B1308,BP!$A$5:$A$9,1)),0))</f>
        <v>34</v>
      </c>
      <c r="D1308" s="12" t="str">
        <f aca="false">IF(NOT(ISNUMBER(C1308)),"",INDEX(BP!$F$5:$F$9,MATCH(C1308,BP!$E$5:$E$9,1)))</f>
        <v>ดี</v>
      </c>
      <c r="E1308" s="12" t="n">
        <f aca="false">YEAR(A1308)</f>
        <v>2024</v>
      </c>
      <c r="F1308" s="12" t="n">
        <f aca="false">MONTH(A1308)</f>
        <v>7</v>
      </c>
      <c r="G1308" s="12" t="n">
        <v>10.9</v>
      </c>
      <c r="H1308" s="12" t="n">
        <v>25.9</v>
      </c>
      <c r="I1308" s="12" t="n">
        <v>150</v>
      </c>
      <c r="J1308" s="12" t="n">
        <v>4.9</v>
      </c>
      <c r="K1308" s="12" t="n">
        <v>14.8</v>
      </c>
      <c r="L1308" s="12" t="s">
        <v>36</v>
      </c>
    </row>
    <row r="1309" customFormat="false" ht="15" hidden="false" customHeight="false" outlineLevel="0" collapsed="false">
      <c r="A1309" s="11" t="n">
        <v>45504</v>
      </c>
      <c r="B1309" s="12" t="n">
        <v>15.2</v>
      </c>
      <c r="C1309" s="12" t="n">
        <f aca="false">IF(NOT(ISNUMBER(B1309)),"",ROUND((INDEX(BP!$D$5:$D$9,MATCH(B1309,BP!$A$5:$A$9,1))-INDEX(BP!$C$5:$C$9,MATCH(B1309,BP!$A$5:$A$9,1)))/(INDEX(BP!$B$5:$B$9,MATCH(B1309,BP!$A$5:$A$9,1))-INDEX(BP!$A$5:$A$9,MATCH(B1309,BP!$A$5:$A$9,1)))*(B1309-INDEX(BP!$A$5:$A$9,MATCH(B1309,BP!$A$5:$A$9,1)))+INDEX(BP!$C$5:$C$9,MATCH(B1309,BP!$A$5:$A$9,1)),0))</f>
        <v>26</v>
      </c>
      <c r="D1309" s="12" t="str">
        <f aca="false">IF(NOT(ISNUMBER(C1309)),"",INDEX(BP!$F$5:$F$9,MATCH(C1309,BP!$E$5:$E$9,1)))</f>
        <v>ดี</v>
      </c>
      <c r="E1309" s="12" t="n">
        <f aca="false">YEAR(A1309)</f>
        <v>2024</v>
      </c>
      <c r="F1309" s="12" t="n">
        <f aca="false">MONTH(A1309)</f>
        <v>7</v>
      </c>
      <c r="G1309" s="12" t="n">
        <v>15.6</v>
      </c>
      <c r="H1309" s="12" t="n">
        <v>33.5</v>
      </c>
      <c r="I1309" s="12" t="n">
        <v>179</v>
      </c>
      <c r="J1309" s="12" t="n">
        <v>32.1</v>
      </c>
      <c r="K1309" s="12" t="n">
        <v>0.2</v>
      </c>
      <c r="L1309" s="12" t="s">
        <v>36</v>
      </c>
    </row>
    <row r="1310" customFormat="false" ht="15" hidden="false" customHeight="false" outlineLevel="0" collapsed="false">
      <c r="A1310" s="11" t="n">
        <v>45505</v>
      </c>
      <c r="B1310" s="12" t="n">
        <v>20.6</v>
      </c>
      <c r="C1310" s="12" t="n">
        <f aca="false">IF(NOT(ISNUMBER(B1310)),"",ROUND((INDEX(BP!$D$5:$D$9,MATCH(B1310,BP!$A$5:$A$9,1))-INDEX(BP!$C$5:$C$9,MATCH(B1310,BP!$A$5:$A$9,1)))/(INDEX(BP!$B$5:$B$9,MATCH(B1310,BP!$A$5:$A$9,1))-INDEX(BP!$A$5:$A$9,MATCH(B1310,BP!$A$5:$A$9,1)))*(B1310-INDEX(BP!$A$5:$A$9,MATCH(B1310,BP!$A$5:$A$9,1)))+INDEX(BP!$C$5:$C$9,MATCH(B1310,BP!$A$5:$A$9,1)),0))</f>
        <v>39</v>
      </c>
      <c r="D1310" s="12" t="str">
        <f aca="false">IF(NOT(ISNUMBER(C1310)),"",INDEX(BP!$F$5:$F$9,MATCH(C1310,BP!$E$5:$E$9,1)))</f>
        <v>ดี</v>
      </c>
      <c r="E1310" s="12" t="n">
        <f aca="false">YEAR(A1310)</f>
        <v>2024</v>
      </c>
      <c r="F1310" s="12" t="n">
        <f aca="false">MONTH(A1310)</f>
        <v>8</v>
      </c>
      <c r="G1310" s="12" t="n">
        <v>15</v>
      </c>
      <c r="H1310" s="12" t="n">
        <v>27</v>
      </c>
      <c r="I1310" s="12" t="n">
        <v>177</v>
      </c>
      <c r="J1310" s="12" t="n">
        <v>28.2</v>
      </c>
      <c r="K1310" s="12" t="n">
        <v>0</v>
      </c>
      <c r="L1310" s="12" t="s">
        <v>36</v>
      </c>
    </row>
    <row r="1311" customFormat="false" ht="15" hidden="false" customHeight="false" outlineLevel="0" collapsed="false">
      <c r="A1311" s="11" t="n">
        <v>45506</v>
      </c>
      <c r="B1311" s="12" t="n">
        <v>19.6</v>
      </c>
      <c r="C1311" s="12" t="n">
        <f aca="false">IF(NOT(ISNUMBER(B1311)),"",ROUND((INDEX(BP!$D$5:$D$9,MATCH(B1311,BP!$A$5:$A$9,1))-INDEX(BP!$C$5:$C$9,MATCH(B1311,BP!$A$5:$A$9,1)))/(INDEX(BP!$B$5:$B$9,MATCH(B1311,BP!$A$5:$A$9,1))-INDEX(BP!$A$5:$A$9,MATCH(B1311,BP!$A$5:$A$9,1)))*(B1311-INDEX(BP!$A$5:$A$9,MATCH(B1311,BP!$A$5:$A$9,1)))+INDEX(BP!$C$5:$C$9,MATCH(B1311,BP!$A$5:$A$9,1)),0))</f>
        <v>37</v>
      </c>
      <c r="D1311" s="12" t="str">
        <f aca="false">IF(NOT(ISNUMBER(C1311)),"",INDEX(BP!$F$5:$F$9,MATCH(C1311,BP!$E$5:$E$9,1)))</f>
        <v>ดี</v>
      </c>
      <c r="E1311" s="12" t="n">
        <f aca="false">YEAR(A1311)</f>
        <v>2024</v>
      </c>
      <c r="F1311" s="12" t="n">
        <f aca="false">MONTH(A1311)</f>
        <v>8</v>
      </c>
      <c r="G1311" s="12" t="n">
        <v>8.7</v>
      </c>
      <c r="H1311" s="12" t="n">
        <v>25.6</v>
      </c>
      <c r="I1311" s="12" t="n">
        <v>149</v>
      </c>
      <c r="J1311" s="12" t="n">
        <v>7.6</v>
      </c>
      <c r="K1311" s="12" t="n">
        <v>0</v>
      </c>
      <c r="L1311" s="12" t="s">
        <v>36</v>
      </c>
    </row>
    <row r="1312" customFormat="false" ht="15" hidden="false" customHeight="false" outlineLevel="0" collapsed="false">
      <c r="A1312" s="11" t="n">
        <v>45507</v>
      </c>
      <c r="B1312" s="12" t="n">
        <v>19.7</v>
      </c>
      <c r="C1312" s="12" t="n">
        <f aca="false">IF(NOT(ISNUMBER(B1312)),"",ROUND((INDEX(BP!$D$5:$D$9,MATCH(B1312,BP!$A$5:$A$9,1))-INDEX(BP!$C$5:$C$9,MATCH(B1312,BP!$A$5:$A$9,1)))/(INDEX(BP!$B$5:$B$9,MATCH(B1312,BP!$A$5:$A$9,1))-INDEX(BP!$A$5:$A$9,MATCH(B1312,BP!$A$5:$A$9,1)))*(B1312-INDEX(BP!$A$5:$A$9,MATCH(B1312,BP!$A$5:$A$9,1)))+INDEX(BP!$C$5:$C$9,MATCH(B1312,BP!$A$5:$A$9,1)),0))</f>
        <v>37</v>
      </c>
      <c r="D1312" s="12" t="str">
        <f aca="false">IF(NOT(ISNUMBER(C1312)),"",INDEX(BP!$F$5:$F$9,MATCH(C1312,BP!$E$5:$E$9,1)))</f>
        <v>ดี</v>
      </c>
      <c r="E1312" s="12" t="n">
        <f aca="false">YEAR(A1312)</f>
        <v>2024</v>
      </c>
      <c r="F1312" s="12" t="n">
        <f aca="false">MONTH(A1312)</f>
        <v>8</v>
      </c>
      <c r="G1312" s="12" t="n">
        <v>12.1</v>
      </c>
      <c r="H1312" s="12" t="n">
        <v>34.9</v>
      </c>
      <c r="I1312" s="12" t="n">
        <v>225</v>
      </c>
      <c r="J1312" s="12" t="n">
        <v>18.8</v>
      </c>
      <c r="K1312" s="12" t="n">
        <v>22.6</v>
      </c>
      <c r="L1312" s="12" t="s">
        <v>35</v>
      </c>
    </row>
    <row r="1313" customFormat="false" ht="15" hidden="false" customHeight="false" outlineLevel="0" collapsed="false">
      <c r="A1313" s="11" t="n">
        <v>45508</v>
      </c>
      <c r="B1313" s="12" t="n">
        <v>14.4</v>
      </c>
      <c r="C1313" s="12" t="n">
        <f aca="false">IF(NOT(ISNUMBER(B1313)),"",ROUND((INDEX(BP!$D$5:$D$9,MATCH(B1313,BP!$A$5:$A$9,1))-INDEX(BP!$C$5:$C$9,MATCH(B1313,BP!$A$5:$A$9,1)))/(INDEX(BP!$B$5:$B$9,MATCH(B1313,BP!$A$5:$A$9,1))-INDEX(BP!$A$5:$A$9,MATCH(B1313,BP!$A$5:$A$9,1)))*(B1313-INDEX(BP!$A$5:$A$9,MATCH(B1313,BP!$A$5:$A$9,1)))+INDEX(BP!$C$5:$C$9,MATCH(B1313,BP!$A$5:$A$9,1)),0))</f>
        <v>24</v>
      </c>
      <c r="D1313" s="12" t="str">
        <f aca="false">IF(NOT(ISNUMBER(C1313)),"",INDEX(BP!$F$5:$F$9,MATCH(C1313,BP!$E$5:$E$9,1)))</f>
        <v>ดีมาก</v>
      </c>
      <c r="E1313" s="12" t="n">
        <f aca="false">YEAR(A1313)</f>
        <v>2024</v>
      </c>
      <c r="F1313" s="12" t="n">
        <f aca="false">MONTH(A1313)</f>
        <v>8</v>
      </c>
      <c r="G1313" s="12" t="n">
        <v>14.6</v>
      </c>
      <c r="H1313" s="12" t="n">
        <v>31.3</v>
      </c>
      <c r="I1313" s="12" t="n">
        <v>217</v>
      </c>
      <c r="J1313" s="12" t="n">
        <v>12.7</v>
      </c>
      <c r="K1313" s="12" t="n">
        <v>7.2</v>
      </c>
      <c r="L1313" s="12" t="s">
        <v>35</v>
      </c>
    </row>
    <row r="1314" customFormat="false" ht="15" hidden="false" customHeight="false" outlineLevel="0" collapsed="false">
      <c r="A1314" s="11" t="n">
        <v>45509</v>
      </c>
      <c r="B1314" s="12" t="n">
        <v>12.6</v>
      </c>
      <c r="C1314" s="12" t="n">
        <f aca="false">IF(NOT(ISNUMBER(B1314)),"",ROUND((INDEX(BP!$D$5:$D$9,MATCH(B1314,BP!$A$5:$A$9,1))-INDEX(BP!$C$5:$C$9,MATCH(B1314,BP!$A$5:$A$9,1)))/(INDEX(BP!$B$5:$B$9,MATCH(B1314,BP!$A$5:$A$9,1))-INDEX(BP!$A$5:$A$9,MATCH(B1314,BP!$A$5:$A$9,1)))*(B1314-INDEX(BP!$A$5:$A$9,MATCH(B1314,BP!$A$5:$A$9,1)))+INDEX(BP!$C$5:$C$9,MATCH(B1314,BP!$A$5:$A$9,1)),0))</f>
        <v>21</v>
      </c>
      <c r="D1314" s="12" t="str">
        <f aca="false">IF(NOT(ISNUMBER(C1314)),"",INDEX(BP!$F$5:$F$9,MATCH(C1314,BP!$E$5:$E$9,1)))</f>
        <v>ดีมาก</v>
      </c>
      <c r="E1314" s="12" t="n">
        <f aca="false">YEAR(A1314)</f>
        <v>2024</v>
      </c>
      <c r="F1314" s="12" t="n">
        <f aca="false">MONTH(A1314)</f>
        <v>8</v>
      </c>
      <c r="G1314" s="12" t="n">
        <v>8.9</v>
      </c>
      <c r="H1314" s="12" t="n">
        <v>22.3</v>
      </c>
      <c r="I1314" s="12" t="n">
        <v>242</v>
      </c>
      <c r="J1314" s="12" t="n">
        <v>2.5</v>
      </c>
      <c r="K1314" s="12" t="n">
        <v>1.8</v>
      </c>
      <c r="L1314" s="12" t="s">
        <v>36</v>
      </c>
    </row>
    <row r="1315" customFormat="false" ht="15" hidden="false" customHeight="false" outlineLevel="0" collapsed="false">
      <c r="A1315" s="11" t="n">
        <v>45510</v>
      </c>
      <c r="B1315" s="12" t="n">
        <v>11.5</v>
      </c>
      <c r="C1315" s="12" t="n">
        <f aca="false">IF(NOT(ISNUMBER(B1315)),"",ROUND((INDEX(BP!$D$5:$D$9,MATCH(B1315,BP!$A$5:$A$9,1))-INDEX(BP!$C$5:$C$9,MATCH(B1315,BP!$A$5:$A$9,1)))/(INDEX(BP!$B$5:$B$9,MATCH(B1315,BP!$A$5:$A$9,1))-INDEX(BP!$A$5:$A$9,MATCH(B1315,BP!$A$5:$A$9,1)))*(B1315-INDEX(BP!$A$5:$A$9,MATCH(B1315,BP!$A$5:$A$9,1)))+INDEX(BP!$C$5:$C$9,MATCH(B1315,BP!$A$5:$A$9,1)),0))</f>
        <v>19</v>
      </c>
      <c r="D1315" s="12" t="str">
        <f aca="false">IF(NOT(ISNUMBER(C1315)),"",INDEX(BP!$F$5:$F$9,MATCH(C1315,BP!$E$5:$E$9,1)))</f>
        <v>ดีมาก</v>
      </c>
      <c r="E1315" s="12" t="n">
        <f aca="false">YEAR(A1315)</f>
        <v>2024</v>
      </c>
      <c r="F1315" s="12" t="n">
        <f aca="false">MONTH(A1315)</f>
        <v>8</v>
      </c>
      <c r="G1315" s="12" t="n">
        <v>18.4</v>
      </c>
      <c r="H1315" s="12" t="n">
        <v>37.8</v>
      </c>
      <c r="I1315" s="12" t="n">
        <v>223</v>
      </c>
      <c r="J1315" s="12" t="n">
        <v>18.3</v>
      </c>
      <c r="K1315" s="12" t="n">
        <v>0</v>
      </c>
      <c r="L1315" s="12" t="s">
        <v>36</v>
      </c>
    </row>
    <row r="1316" customFormat="false" ht="15" hidden="false" customHeight="false" outlineLevel="0" collapsed="false">
      <c r="A1316" s="11" t="n">
        <v>45511</v>
      </c>
      <c r="B1316" s="12" t="n">
        <v>10.1</v>
      </c>
      <c r="C1316" s="12" t="n">
        <f aca="false">IF(NOT(ISNUMBER(B1316)),"",ROUND((INDEX(BP!$D$5:$D$9,MATCH(B1316,BP!$A$5:$A$9,1))-INDEX(BP!$C$5:$C$9,MATCH(B1316,BP!$A$5:$A$9,1)))/(INDEX(BP!$B$5:$B$9,MATCH(B1316,BP!$A$5:$A$9,1))-INDEX(BP!$A$5:$A$9,MATCH(B1316,BP!$A$5:$A$9,1)))*(B1316-INDEX(BP!$A$5:$A$9,MATCH(B1316,BP!$A$5:$A$9,1)))+INDEX(BP!$C$5:$C$9,MATCH(B1316,BP!$A$5:$A$9,1)),0))</f>
        <v>17</v>
      </c>
      <c r="D1316" s="12" t="str">
        <f aca="false">IF(NOT(ISNUMBER(C1316)),"",INDEX(BP!$F$5:$F$9,MATCH(C1316,BP!$E$5:$E$9,1)))</f>
        <v>ดีมาก</v>
      </c>
      <c r="E1316" s="12" t="n">
        <f aca="false">YEAR(A1316)</f>
        <v>2024</v>
      </c>
      <c r="F1316" s="12" t="n">
        <f aca="false">MONTH(A1316)</f>
        <v>8</v>
      </c>
      <c r="G1316" s="12" t="n">
        <v>13.1</v>
      </c>
      <c r="H1316" s="12" t="n">
        <v>34.9</v>
      </c>
      <c r="I1316" s="12" t="n">
        <v>217</v>
      </c>
      <c r="J1316" s="12" t="n">
        <v>3.3</v>
      </c>
      <c r="K1316" s="12" t="n">
        <v>0</v>
      </c>
      <c r="L1316" s="12" t="s">
        <v>36</v>
      </c>
    </row>
    <row r="1317" customFormat="false" ht="15" hidden="false" customHeight="false" outlineLevel="0" collapsed="false">
      <c r="A1317" s="11" t="n">
        <v>45512</v>
      </c>
      <c r="B1317" s="12" t="n">
        <v>15.8</v>
      </c>
      <c r="C1317" s="12" t="n">
        <f aca="false">IF(NOT(ISNUMBER(B1317)),"",ROUND((INDEX(BP!$D$5:$D$9,MATCH(B1317,BP!$A$5:$A$9,1))-INDEX(BP!$C$5:$C$9,MATCH(B1317,BP!$A$5:$A$9,1)))/(INDEX(BP!$B$5:$B$9,MATCH(B1317,BP!$A$5:$A$9,1))-INDEX(BP!$A$5:$A$9,MATCH(B1317,BP!$A$5:$A$9,1)))*(B1317-INDEX(BP!$A$5:$A$9,MATCH(B1317,BP!$A$5:$A$9,1)))+INDEX(BP!$C$5:$C$9,MATCH(B1317,BP!$A$5:$A$9,1)),0))</f>
        <v>28</v>
      </c>
      <c r="D1317" s="12" t="str">
        <f aca="false">IF(NOT(ISNUMBER(C1317)),"",INDEX(BP!$F$5:$F$9,MATCH(C1317,BP!$E$5:$E$9,1)))</f>
        <v>ดี</v>
      </c>
      <c r="E1317" s="12" t="n">
        <f aca="false">YEAR(A1317)</f>
        <v>2024</v>
      </c>
      <c r="F1317" s="12" t="n">
        <f aca="false">MONTH(A1317)</f>
        <v>8</v>
      </c>
      <c r="G1317" s="12" t="n">
        <v>13.4</v>
      </c>
      <c r="H1317" s="12" t="n">
        <v>31</v>
      </c>
      <c r="I1317" s="12" t="n">
        <v>159</v>
      </c>
      <c r="J1317" s="12" t="n">
        <v>0.5</v>
      </c>
      <c r="K1317" s="12" t="n">
        <v>0</v>
      </c>
      <c r="L1317" s="12" t="s">
        <v>36</v>
      </c>
    </row>
    <row r="1318" customFormat="false" ht="15" hidden="false" customHeight="false" outlineLevel="0" collapsed="false">
      <c r="A1318" s="11" t="n">
        <v>45513</v>
      </c>
      <c r="B1318" s="12" t="n">
        <v>16.2</v>
      </c>
      <c r="C1318" s="12" t="n">
        <f aca="false">IF(NOT(ISNUMBER(B1318)),"",ROUND((INDEX(BP!$D$5:$D$9,MATCH(B1318,BP!$A$5:$A$9,1))-INDEX(BP!$C$5:$C$9,MATCH(B1318,BP!$A$5:$A$9,1)))/(INDEX(BP!$B$5:$B$9,MATCH(B1318,BP!$A$5:$A$9,1))-INDEX(BP!$A$5:$A$9,MATCH(B1318,BP!$A$5:$A$9,1)))*(B1318-INDEX(BP!$A$5:$A$9,MATCH(B1318,BP!$A$5:$A$9,1)))+INDEX(BP!$C$5:$C$9,MATCH(B1318,BP!$A$5:$A$9,1)),0))</f>
        <v>29</v>
      </c>
      <c r="D1318" s="12" t="str">
        <f aca="false">IF(NOT(ISNUMBER(C1318)),"",INDEX(BP!$F$5:$F$9,MATCH(C1318,BP!$E$5:$E$9,1)))</f>
        <v>ดี</v>
      </c>
      <c r="E1318" s="12" t="n">
        <f aca="false">YEAR(A1318)</f>
        <v>2024</v>
      </c>
      <c r="F1318" s="12" t="n">
        <f aca="false">MONTH(A1318)</f>
        <v>8</v>
      </c>
      <c r="G1318" s="12" t="n">
        <v>14.5</v>
      </c>
      <c r="H1318" s="12" t="n">
        <v>26.6</v>
      </c>
      <c r="I1318" s="12" t="n">
        <v>232</v>
      </c>
      <c r="J1318" s="12" t="n">
        <v>19.2</v>
      </c>
      <c r="K1318" s="12" t="n">
        <v>4.4</v>
      </c>
      <c r="L1318" s="12" t="s">
        <v>36</v>
      </c>
    </row>
    <row r="1319" customFormat="false" ht="15" hidden="false" customHeight="false" outlineLevel="0" collapsed="false">
      <c r="A1319" s="11" t="n">
        <v>45514</v>
      </c>
      <c r="B1319" s="12" t="n">
        <v>9.9</v>
      </c>
      <c r="C1319" s="12" t="n">
        <f aca="false">IF(NOT(ISNUMBER(B1319)),"",ROUND((INDEX(BP!$D$5:$D$9,MATCH(B1319,BP!$A$5:$A$9,1))-INDEX(BP!$C$5:$C$9,MATCH(B1319,BP!$A$5:$A$9,1)))/(INDEX(BP!$B$5:$B$9,MATCH(B1319,BP!$A$5:$A$9,1))-INDEX(BP!$A$5:$A$9,MATCH(B1319,BP!$A$5:$A$9,1)))*(B1319-INDEX(BP!$A$5:$A$9,MATCH(B1319,BP!$A$5:$A$9,1)))+INDEX(BP!$C$5:$C$9,MATCH(B1319,BP!$A$5:$A$9,1)),0))</f>
        <v>17</v>
      </c>
      <c r="D1319" s="12" t="str">
        <f aca="false">IF(NOT(ISNUMBER(C1319)),"",INDEX(BP!$F$5:$F$9,MATCH(C1319,BP!$E$5:$E$9,1)))</f>
        <v>ดีมาก</v>
      </c>
      <c r="E1319" s="12" t="n">
        <f aca="false">YEAR(A1319)</f>
        <v>2024</v>
      </c>
      <c r="F1319" s="12" t="n">
        <f aca="false">MONTH(A1319)</f>
        <v>8</v>
      </c>
      <c r="G1319" s="12" t="n">
        <v>13.6</v>
      </c>
      <c r="H1319" s="12" t="n">
        <v>30.2</v>
      </c>
      <c r="I1319" s="12" t="n">
        <v>228</v>
      </c>
      <c r="J1319" s="12" t="n">
        <v>2.7</v>
      </c>
      <c r="K1319" s="12" t="n">
        <v>0</v>
      </c>
      <c r="L1319" s="12" t="s">
        <v>35</v>
      </c>
    </row>
    <row r="1320" customFormat="false" ht="15" hidden="false" customHeight="false" outlineLevel="0" collapsed="false">
      <c r="A1320" s="11" t="n">
        <v>45515</v>
      </c>
      <c r="B1320" s="12" t="n">
        <v>11.3</v>
      </c>
      <c r="C1320" s="12" t="n">
        <f aca="false">IF(NOT(ISNUMBER(B1320)),"",ROUND((INDEX(BP!$D$5:$D$9,MATCH(B1320,BP!$A$5:$A$9,1))-INDEX(BP!$C$5:$C$9,MATCH(B1320,BP!$A$5:$A$9,1)))/(INDEX(BP!$B$5:$B$9,MATCH(B1320,BP!$A$5:$A$9,1))-INDEX(BP!$A$5:$A$9,MATCH(B1320,BP!$A$5:$A$9,1)))*(B1320-INDEX(BP!$A$5:$A$9,MATCH(B1320,BP!$A$5:$A$9,1)))+INDEX(BP!$C$5:$C$9,MATCH(B1320,BP!$A$5:$A$9,1)),0))</f>
        <v>19</v>
      </c>
      <c r="D1320" s="12" t="str">
        <f aca="false">IF(NOT(ISNUMBER(C1320)),"",INDEX(BP!$F$5:$F$9,MATCH(C1320,BP!$E$5:$E$9,1)))</f>
        <v>ดีมาก</v>
      </c>
      <c r="E1320" s="12" t="n">
        <f aca="false">YEAR(A1320)</f>
        <v>2024</v>
      </c>
      <c r="F1320" s="12" t="n">
        <f aca="false">MONTH(A1320)</f>
        <v>8</v>
      </c>
      <c r="G1320" s="12" t="n">
        <v>17.2</v>
      </c>
      <c r="H1320" s="12" t="n">
        <v>36.4</v>
      </c>
      <c r="I1320" s="12" t="n">
        <v>220</v>
      </c>
      <c r="J1320" s="12" t="n">
        <v>19</v>
      </c>
      <c r="K1320" s="12" t="n">
        <v>0.2</v>
      </c>
      <c r="L1320" s="12" t="s">
        <v>35</v>
      </c>
    </row>
    <row r="1321" customFormat="false" ht="15" hidden="false" customHeight="false" outlineLevel="0" collapsed="false">
      <c r="A1321" s="11" t="n">
        <v>45516</v>
      </c>
      <c r="B1321" s="12" t="n">
        <v>8.4</v>
      </c>
      <c r="C1321" s="12" t="n">
        <f aca="false">IF(NOT(ISNUMBER(B1321)),"",ROUND((INDEX(BP!$D$5:$D$9,MATCH(B1321,BP!$A$5:$A$9,1))-INDEX(BP!$C$5:$C$9,MATCH(B1321,BP!$A$5:$A$9,1)))/(INDEX(BP!$B$5:$B$9,MATCH(B1321,BP!$A$5:$A$9,1))-INDEX(BP!$A$5:$A$9,MATCH(B1321,BP!$A$5:$A$9,1)))*(B1321-INDEX(BP!$A$5:$A$9,MATCH(B1321,BP!$A$5:$A$9,1)))+INDEX(BP!$C$5:$C$9,MATCH(B1321,BP!$A$5:$A$9,1)),0))</f>
        <v>14</v>
      </c>
      <c r="D1321" s="12" t="str">
        <f aca="false">IF(NOT(ISNUMBER(C1321)),"",INDEX(BP!$F$5:$F$9,MATCH(C1321,BP!$E$5:$E$9,1)))</f>
        <v>ดีมาก</v>
      </c>
      <c r="E1321" s="12" t="n">
        <f aca="false">YEAR(A1321)</f>
        <v>2024</v>
      </c>
      <c r="F1321" s="12" t="n">
        <f aca="false">MONTH(A1321)</f>
        <v>8</v>
      </c>
      <c r="G1321" s="12" t="n">
        <v>17.6</v>
      </c>
      <c r="H1321" s="12" t="n">
        <v>38.2</v>
      </c>
      <c r="I1321" s="12" t="n">
        <v>225</v>
      </c>
      <c r="J1321" s="12" t="n">
        <v>1.9</v>
      </c>
      <c r="K1321" s="12" t="n">
        <v>0</v>
      </c>
      <c r="L1321" s="12" t="s">
        <v>34</v>
      </c>
    </row>
    <row r="1322" customFormat="false" ht="15" hidden="false" customHeight="false" outlineLevel="0" collapsed="false">
      <c r="A1322" s="11" t="n">
        <v>45517</v>
      </c>
      <c r="B1322" s="12" t="n">
        <v>10.7</v>
      </c>
      <c r="C1322" s="12" t="n">
        <f aca="false">IF(NOT(ISNUMBER(B1322)),"",ROUND((INDEX(BP!$D$5:$D$9,MATCH(B1322,BP!$A$5:$A$9,1))-INDEX(BP!$C$5:$C$9,MATCH(B1322,BP!$A$5:$A$9,1)))/(INDEX(BP!$B$5:$B$9,MATCH(B1322,BP!$A$5:$A$9,1))-INDEX(BP!$A$5:$A$9,MATCH(B1322,BP!$A$5:$A$9,1)))*(B1322-INDEX(BP!$A$5:$A$9,MATCH(B1322,BP!$A$5:$A$9,1)))+INDEX(BP!$C$5:$C$9,MATCH(B1322,BP!$A$5:$A$9,1)),0))</f>
        <v>18</v>
      </c>
      <c r="D1322" s="12" t="str">
        <f aca="false">IF(NOT(ISNUMBER(C1322)),"",INDEX(BP!$F$5:$F$9,MATCH(C1322,BP!$E$5:$E$9,1)))</f>
        <v>ดีมาก</v>
      </c>
      <c r="E1322" s="12" t="n">
        <f aca="false">YEAR(A1322)</f>
        <v>2024</v>
      </c>
      <c r="F1322" s="12" t="n">
        <f aca="false">MONTH(A1322)</f>
        <v>8</v>
      </c>
      <c r="G1322" s="12" t="n">
        <v>12</v>
      </c>
      <c r="H1322" s="12" t="n">
        <v>29.5</v>
      </c>
      <c r="I1322" s="12" t="n">
        <v>224</v>
      </c>
      <c r="J1322" s="12" t="n">
        <v>7.6</v>
      </c>
      <c r="K1322" s="12" t="n">
        <v>18</v>
      </c>
      <c r="L1322" s="12" t="s">
        <v>36</v>
      </c>
    </row>
    <row r="1323" customFormat="false" ht="15" hidden="false" customHeight="false" outlineLevel="0" collapsed="false">
      <c r="A1323" s="11" t="n">
        <v>45518</v>
      </c>
      <c r="B1323" s="12" t="n">
        <v>12.6</v>
      </c>
      <c r="C1323" s="12" t="n">
        <f aca="false">IF(NOT(ISNUMBER(B1323)),"",ROUND((INDEX(BP!$D$5:$D$9,MATCH(B1323,BP!$A$5:$A$9,1))-INDEX(BP!$C$5:$C$9,MATCH(B1323,BP!$A$5:$A$9,1)))/(INDEX(BP!$B$5:$B$9,MATCH(B1323,BP!$A$5:$A$9,1))-INDEX(BP!$A$5:$A$9,MATCH(B1323,BP!$A$5:$A$9,1)))*(B1323-INDEX(BP!$A$5:$A$9,MATCH(B1323,BP!$A$5:$A$9,1)))+INDEX(BP!$C$5:$C$9,MATCH(B1323,BP!$A$5:$A$9,1)),0))</f>
        <v>21</v>
      </c>
      <c r="D1323" s="12" t="str">
        <f aca="false">IF(NOT(ISNUMBER(C1323)),"",INDEX(BP!$F$5:$F$9,MATCH(C1323,BP!$E$5:$E$9,1)))</f>
        <v>ดีมาก</v>
      </c>
      <c r="E1323" s="12" t="n">
        <f aca="false">YEAR(A1323)</f>
        <v>2024</v>
      </c>
      <c r="F1323" s="12" t="n">
        <f aca="false">MONTH(A1323)</f>
        <v>8</v>
      </c>
      <c r="G1323" s="12" t="n">
        <v>17.1</v>
      </c>
      <c r="H1323" s="12" t="n">
        <v>36.4</v>
      </c>
      <c r="I1323" s="12" t="n">
        <v>219</v>
      </c>
      <c r="J1323" s="12" t="n">
        <v>6.7</v>
      </c>
      <c r="K1323" s="12" t="n">
        <v>43.6</v>
      </c>
      <c r="L1323" s="12" t="s">
        <v>36</v>
      </c>
    </row>
    <row r="1324" customFormat="false" ht="15" hidden="false" customHeight="false" outlineLevel="0" collapsed="false">
      <c r="A1324" s="11" t="n">
        <v>45519</v>
      </c>
      <c r="B1324" s="12" t="n">
        <v>11.7</v>
      </c>
      <c r="C1324" s="12" t="n">
        <f aca="false">IF(NOT(ISNUMBER(B1324)),"",ROUND((INDEX(BP!$D$5:$D$9,MATCH(B1324,BP!$A$5:$A$9,1))-INDEX(BP!$C$5:$C$9,MATCH(B1324,BP!$A$5:$A$9,1)))/(INDEX(BP!$B$5:$B$9,MATCH(B1324,BP!$A$5:$A$9,1))-INDEX(BP!$A$5:$A$9,MATCH(B1324,BP!$A$5:$A$9,1)))*(B1324-INDEX(BP!$A$5:$A$9,MATCH(B1324,BP!$A$5:$A$9,1)))+INDEX(BP!$C$5:$C$9,MATCH(B1324,BP!$A$5:$A$9,1)),0))</f>
        <v>20</v>
      </c>
      <c r="D1324" s="12" t="str">
        <f aca="false">IF(NOT(ISNUMBER(C1324)),"",INDEX(BP!$F$5:$F$9,MATCH(C1324,BP!$E$5:$E$9,1)))</f>
        <v>ดีมาก</v>
      </c>
      <c r="E1324" s="12" t="n">
        <f aca="false">YEAR(A1324)</f>
        <v>2024</v>
      </c>
      <c r="F1324" s="12" t="n">
        <f aca="false">MONTH(A1324)</f>
        <v>8</v>
      </c>
      <c r="G1324" s="12" t="n">
        <v>13.4</v>
      </c>
      <c r="H1324" s="12" t="n">
        <v>29.2</v>
      </c>
      <c r="I1324" s="12" t="n">
        <v>214</v>
      </c>
      <c r="J1324" s="12" t="n">
        <v>4.1</v>
      </c>
      <c r="K1324" s="12" t="n">
        <v>0.4</v>
      </c>
      <c r="L1324" s="12" t="s">
        <v>36</v>
      </c>
    </row>
    <row r="1325" customFormat="false" ht="15" hidden="false" customHeight="false" outlineLevel="0" collapsed="false">
      <c r="A1325" s="11" t="n">
        <v>45520</v>
      </c>
      <c r="B1325" s="12" t="n">
        <v>14.5</v>
      </c>
      <c r="C1325" s="12" t="n">
        <f aca="false">IF(NOT(ISNUMBER(B1325)),"",ROUND((INDEX(BP!$D$5:$D$9,MATCH(B1325,BP!$A$5:$A$9,1))-INDEX(BP!$C$5:$C$9,MATCH(B1325,BP!$A$5:$A$9,1)))/(INDEX(BP!$B$5:$B$9,MATCH(B1325,BP!$A$5:$A$9,1))-INDEX(BP!$A$5:$A$9,MATCH(B1325,BP!$A$5:$A$9,1)))*(B1325-INDEX(BP!$A$5:$A$9,MATCH(B1325,BP!$A$5:$A$9,1)))+INDEX(BP!$C$5:$C$9,MATCH(B1325,BP!$A$5:$A$9,1)),0))</f>
        <v>24</v>
      </c>
      <c r="D1325" s="12" t="str">
        <f aca="false">IF(NOT(ISNUMBER(C1325)),"",INDEX(BP!$F$5:$F$9,MATCH(C1325,BP!$E$5:$E$9,1)))</f>
        <v>ดีมาก</v>
      </c>
      <c r="E1325" s="12" t="n">
        <f aca="false">YEAR(A1325)</f>
        <v>2024</v>
      </c>
      <c r="F1325" s="12" t="n">
        <f aca="false">MONTH(A1325)</f>
        <v>8</v>
      </c>
      <c r="G1325" s="12" t="n">
        <v>15.2</v>
      </c>
      <c r="H1325" s="12" t="n">
        <v>27.7</v>
      </c>
      <c r="I1325" s="12" t="n">
        <v>211</v>
      </c>
      <c r="J1325" s="12" t="n">
        <v>2.7</v>
      </c>
      <c r="K1325" s="12" t="n">
        <v>20</v>
      </c>
      <c r="L1325" s="12" t="s">
        <v>36</v>
      </c>
    </row>
    <row r="1326" customFormat="false" ht="15" hidden="false" customHeight="false" outlineLevel="0" collapsed="false">
      <c r="A1326" s="11" t="n">
        <v>45521</v>
      </c>
      <c r="B1326" s="12" t="n">
        <v>12.3</v>
      </c>
      <c r="C1326" s="12" t="n">
        <f aca="false">IF(NOT(ISNUMBER(B1326)),"",ROUND((INDEX(BP!$D$5:$D$9,MATCH(B1326,BP!$A$5:$A$9,1))-INDEX(BP!$C$5:$C$9,MATCH(B1326,BP!$A$5:$A$9,1)))/(INDEX(BP!$B$5:$B$9,MATCH(B1326,BP!$A$5:$A$9,1))-INDEX(BP!$A$5:$A$9,MATCH(B1326,BP!$A$5:$A$9,1)))*(B1326-INDEX(BP!$A$5:$A$9,MATCH(B1326,BP!$A$5:$A$9,1)))+INDEX(BP!$C$5:$C$9,MATCH(B1326,BP!$A$5:$A$9,1)),0))</f>
        <v>21</v>
      </c>
      <c r="D1326" s="12" t="str">
        <f aca="false">IF(NOT(ISNUMBER(C1326)),"",INDEX(BP!$F$5:$F$9,MATCH(C1326,BP!$E$5:$E$9,1)))</f>
        <v>ดีมาก</v>
      </c>
      <c r="E1326" s="12" t="n">
        <f aca="false">YEAR(A1326)</f>
        <v>2024</v>
      </c>
      <c r="F1326" s="12" t="n">
        <f aca="false">MONTH(A1326)</f>
        <v>8</v>
      </c>
      <c r="G1326" s="12" t="n">
        <v>12.8</v>
      </c>
      <c r="H1326" s="12" t="n">
        <v>25.2</v>
      </c>
      <c r="I1326" s="12" t="n">
        <v>212</v>
      </c>
      <c r="J1326" s="12" t="n">
        <v>26.1</v>
      </c>
      <c r="K1326" s="12" t="n">
        <v>4.8</v>
      </c>
      <c r="L1326" s="12" t="s">
        <v>35</v>
      </c>
    </row>
    <row r="1327" customFormat="false" ht="15" hidden="false" customHeight="false" outlineLevel="0" collapsed="false">
      <c r="A1327" s="11" t="n">
        <v>45522</v>
      </c>
      <c r="B1327" s="12" t="n">
        <v>11.1</v>
      </c>
      <c r="C1327" s="12" t="n">
        <f aca="false">IF(NOT(ISNUMBER(B1327)),"",ROUND((INDEX(BP!$D$5:$D$9,MATCH(B1327,BP!$A$5:$A$9,1))-INDEX(BP!$C$5:$C$9,MATCH(B1327,BP!$A$5:$A$9,1)))/(INDEX(BP!$B$5:$B$9,MATCH(B1327,BP!$A$5:$A$9,1))-INDEX(BP!$A$5:$A$9,MATCH(B1327,BP!$A$5:$A$9,1)))*(B1327-INDEX(BP!$A$5:$A$9,MATCH(B1327,BP!$A$5:$A$9,1)))+INDEX(BP!$C$5:$C$9,MATCH(B1327,BP!$A$5:$A$9,1)),0))</f>
        <v>19</v>
      </c>
      <c r="D1327" s="12" t="str">
        <f aca="false">IF(NOT(ISNUMBER(C1327)),"",INDEX(BP!$F$5:$F$9,MATCH(C1327,BP!$E$5:$E$9,1)))</f>
        <v>ดีมาก</v>
      </c>
      <c r="E1327" s="12" t="n">
        <f aca="false">YEAR(A1327)</f>
        <v>2024</v>
      </c>
      <c r="F1327" s="12" t="n">
        <f aca="false">MONTH(A1327)</f>
        <v>8</v>
      </c>
      <c r="G1327" s="12" t="n">
        <v>15</v>
      </c>
      <c r="H1327" s="12" t="n">
        <v>34.9</v>
      </c>
      <c r="I1327" s="12" t="n">
        <v>215</v>
      </c>
      <c r="J1327" s="12" t="n">
        <v>5.3</v>
      </c>
      <c r="K1327" s="12" t="n">
        <v>14.8</v>
      </c>
      <c r="L1327" s="12" t="s">
        <v>35</v>
      </c>
    </row>
    <row r="1328" customFormat="false" ht="15" hidden="false" customHeight="false" outlineLevel="0" collapsed="false">
      <c r="A1328" s="11" t="n">
        <v>45523</v>
      </c>
      <c r="B1328" s="12" t="n">
        <v>9.2</v>
      </c>
      <c r="C1328" s="12" t="n">
        <f aca="false">IF(NOT(ISNUMBER(B1328)),"",ROUND((INDEX(BP!$D$5:$D$9,MATCH(B1328,BP!$A$5:$A$9,1))-INDEX(BP!$C$5:$C$9,MATCH(B1328,BP!$A$5:$A$9,1)))/(INDEX(BP!$B$5:$B$9,MATCH(B1328,BP!$A$5:$A$9,1))-INDEX(BP!$A$5:$A$9,MATCH(B1328,BP!$A$5:$A$9,1)))*(B1328-INDEX(BP!$A$5:$A$9,MATCH(B1328,BP!$A$5:$A$9,1)))+INDEX(BP!$C$5:$C$9,MATCH(B1328,BP!$A$5:$A$9,1)),0))</f>
        <v>15</v>
      </c>
      <c r="D1328" s="12" t="str">
        <f aca="false">IF(NOT(ISNUMBER(C1328)),"",INDEX(BP!$F$5:$F$9,MATCH(C1328,BP!$E$5:$E$9,1)))</f>
        <v>ดีมาก</v>
      </c>
      <c r="E1328" s="12" t="n">
        <f aca="false">YEAR(A1328)</f>
        <v>2024</v>
      </c>
      <c r="F1328" s="12" t="n">
        <f aca="false">MONTH(A1328)</f>
        <v>8</v>
      </c>
      <c r="G1328" s="12" t="n">
        <v>16.2</v>
      </c>
      <c r="H1328" s="12" t="n">
        <v>36.7</v>
      </c>
      <c r="I1328" s="12" t="n">
        <v>217</v>
      </c>
      <c r="J1328" s="12" t="n">
        <v>5.9</v>
      </c>
      <c r="K1328" s="12" t="n">
        <v>3.6</v>
      </c>
      <c r="L1328" s="12" t="s">
        <v>36</v>
      </c>
    </row>
    <row r="1329" customFormat="false" ht="15" hidden="false" customHeight="false" outlineLevel="0" collapsed="false">
      <c r="A1329" s="11" t="n">
        <v>45524</v>
      </c>
      <c r="B1329" s="12" t="n">
        <v>7.6</v>
      </c>
      <c r="C1329" s="12" t="n">
        <f aca="false">IF(NOT(ISNUMBER(B1329)),"",ROUND((INDEX(BP!$D$5:$D$9,MATCH(B1329,BP!$A$5:$A$9,1))-INDEX(BP!$C$5:$C$9,MATCH(B1329,BP!$A$5:$A$9,1)))/(INDEX(BP!$B$5:$B$9,MATCH(B1329,BP!$A$5:$A$9,1))-INDEX(BP!$A$5:$A$9,MATCH(B1329,BP!$A$5:$A$9,1)))*(B1329-INDEX(BP!$A$5:$A$9,MATCH(B1329,BP!$A$5:$A$9,1)))+INDEX(BP!$C$5:$C$9,MATCH(B1329,BP!$A$5:$A$9,1)),0))</f>
        <v>13</v>
      </c>
      <c r="D1329" s="12" t="str">
        <f aca="false">IF(NOT(ISNUMBER(C1329)),"",INDEX(BP!$F$5:$F$9,MATCH(C1329,BP!$E$5:$E$9,1)))</f>
        <v>ดีมาก</v>
      </c>
      <c r="E1329" s="12" t="n">
        <f aca="false">YEAR(A1329)</f>
        <v>2024</v>
      </c>
      <c r="F1329" s="12" t="n">
        <f aca="false">MONTH(A1329)</f>
        <v>8</v>
      </c>
      <c r="G1329" s="12" t="n">
        <v>18</v>
      </c>
      <c r="H1329" s="12" t="n">
        <v>41.4</v>
      </c>
      <c r="I1329" s="12" t="n">
        <v>229</v>
      </c>
      <c r="J1329" s="12" t="n">
        <v>4.6</v>
      </c>
      <c r="K1329" s="12" t="n">
        <v>0</v>
      </c>
      <c r="L1329" s="12" t="s">
        <v>36</v>
      </c>
    </row>
    <row r="1330" customFormat="false" ht="15" hidden="false" customHeight="false" outlineLevel="0" collapsed="false">
      <c r="A1330" s="11" t="n">
        <v>45525</v>
      </c>
      <c r="B1330" s="12" t="n">
        <v>9.6</v>
      </c>
      <c r="C1330" s="12" t="n">
        <f aca="false">IF(NOT(ISNUMBER(B1330)),"",ROUND((INDEX(BP!$D$5:$D$9,MATCH(B1330,BP!$A$5:$A$9,1))-INDEX(BP!$C$5:$C$9,MATCH(B1330,BP!$A$5:$A$9,1)))/(INDEX(BP!$B$5:$B$9,MATCH(B1330,BP!$A$5:$A$9,1))-INDEX(BP!$A$5:$A$9,MATCH(B1330,BP!$A$5:$A$9,1)))*(B1330-INDEX(BP!$A$5:$A$9,MATCH(B1330,BP!$A$5:$A$9,1)))+INDEX(BP!$C$5:$C$9,MATCH(B1330,BP!$A$5:$A$9,1)),0))</f>
        <v>16</v>
      </c>
      <c r="D1330" s="12" t="str">
        <f aca="false">IF(NOT(ISNUMBER(C1330)),"",INDEX(BP!$F$5:$F$9,MATCH(C1330,BP!$E$5:$E$9,1)))</f>
        <v>ดีมาก</v>
      </c>
      <c r="E1330" s="12" t="n">
        <f aca="false">YEAR(A1330)</f>
        <v>2024</v>
      </c>
      <c r="F1330" s="12" t="n">
        <f aca="false">MONTH(A1330)</f>
        <v>8</v>
      </c>
      <c r="G1330" s="12" t="n">
        <v>12.9</v>
      </c>
      <c r="H1330" s="12" t="n">
        <v>24.5</v>
      </c>
      <c r="I1330" s="12" t="n">
        <v>219</v>
      </c>
      <c r="J1330" s="12" t="n">
        <v>0</v>
      </c>
      <c r="K1330" s="12" t="n">
        <v>0.4</v>
      </c>
      <c r="L1330" s="12" t="s">
        <v>36</v>
      </c>
    </row>
    <row r="1331" customFormat="false" ht="15" hidden="false" customHeight="false" outlineLevel="0" collapsed="false">
      <c r="A1331" s="11" t="n">
        <v>45526</v>
      </c>
      <c r="B1331" s="12" t="n">
        <v>10.2</v>
      </c>
      <c r="C1331" s="12" t="n">
        <f aca="false">IF(NOT(ISNUMBER(B1331)),"",ROUND((INDEX(BP!$D$5:$D$9,MATCH(B1331,BP!$A$5:$A$9,1))-INDEX(BP!$C$5:$C$9,MATCH(B1331,BP!$A$5:$A$9,1)))/(INDEX(BP!$B$5:$B$9,MATCH(B1331,BP!$A$5:$A$9,1))-INDEX(BP!$A$5:$A$9,MATCH(B1331,BP!$A$5:$A$9,1)))*(B1331-INDEX(BP!$A$5:$A$9,MATCH(B1331,BP!$A$5:$A$9,1)))+INDEX(BP!$C$5:$C$9,MATCH(B1331,BP!$A$5:$A$9,1)),0))</f>
        <v>17</v>
      </c>
      <c r="D1331" s="12" t="str">
        <f aca="false">IF(NOT(ISNUMBER(C1331)),"",INDEX(BP!$F$5:$F$9,MATCH(C1331,BP!$E$5:$E$9,1)))</f>
        <v>ดีมาก</v>
      </c>
      <c r="E1331" s="12" t="n">
        <f aca="false">YEAR(A1331)</f>
        <v>2024</v>
      </c>
      <c r="F1331" s="12" t="n">
        <f aca="false">MONTH(A1331)</f>
        <v>8</v>
      </c>
      <c r="G1331" s="12" t="n">
        <v>11.9</v>
      </c>
      <c r="H1331" s="12" t="n">
        <v>25.9</v>
      </c>
      <c r="I1331" s="12" t="n">
        <v>224</v>
      </c>
      <c r="J1331" s="12" t="n">
        <v>15</v>
      </c>
      <c r="K1331" s="12" t="n">
        <v>33.8</v>
      </c>
      <c r="L1331" s="12" t="s">
        <v>36</v>
      </c>
    </row>
    <row r="1332" customFormat="false" ht="15" hidden="false" customHeight="false" outlineLevel="0" collapsed="false">
      <c r="A1332" s="11" t="n">
        <v>45527</v>
      </c>
      <c r="B1332" s="12" t="n">
        <v>7.8</v>
      </c>
      <c r="C1332" s="12" t="n">
        <f aca="false">IF(NOT(ISNUMBER(B1332)),"",ROUND((INDEX(BP!$D$5:$D$9,MATCH(B1332,BP!$A$5:$A$9,1))-INDEX(BP!$C$5:$C$9,MATCH(B1332,BP!$A$5:$A$9,1)))/(INDEX(BP!$B$5:$B$9,MATCH(B1332,BP!$A$5:$A$9,1))-INDEX(BP!$A$5:$A$9,MATCH(B1332,BP!$A$5:$A$9,1)))*(B1332-INDEX(BP!$A$5:$A$9,MATCH(B1332,BP!$A$5:$A$9,1)))+INDEX(BP!$C$5:$C$9,MATCH(B1332,BP!$A$5:$A$9,1)),0))</f>
        <v>13</v>
      </c>
      <c r="D1332" s="12" t="str">
        <f aca="false">IF(NOT(ISNUMBER(C1332)),"",INDEX(BP!$F$5:$F$9,MATCH(C1332,BP!$E$5:$E$9,1)))</f>
        <v>ดีมาก</v>
      </c>
      <c r="E1332" s="12" t="n">
        <f aca="false">YEAR(A1332)</f>
        <v>2024</v>
      </c>
      <c r="F1332" s="12" t="n">
        <f aca="false">MONTH(A1332)</f>
        <v>8</v>
      </c>
      <c r="G1332" s="12" t="n">
        <v>13</v>
      </c>
      <c r="H1332" s="12" t="n">
        <v>25.6</v>
      </c>
      <c r="I1332" s="12" t="n">
        <v>229</v>
      </c>
      <c r="J1332" s="12" t="n">
        <v>17.8</v>
      </c>
      <c r="K1332" s="12" t="n">
        <v>46.6</v>
      </c>
      <c r="L1332" s="12" t="s">
        <v>36</v>
      </c>
    </row>
    <row r="1333" customFormat="false" ht="15" hidden="false" customHeight="false" outlineLevel="0" collapsed="false">
      <c r="A1333" s="11" t="n">
        <v>45528</v>
      </c>
      <c r="B1333" s="12" t="n">
        <v>8.5</v>
      </c>
      <c r="C1333" s="12" t="n">
        <f aca="false">IF(NOT(ISNUMBER(B1333)),"",ROUND((INDEX(BP!$D$5:$D$9,MATCH(B1333,BP!$A$5:$A$9,1))-INDEX(BP!$C$5:$C$9,MATCH(B1333,BP!$A$5:$A$9,1)))/(INDEX(BP!$B$5:$B$9,MATCH(B1333,BP!$A$5:$A$9,1))-INDEX(BP!$A$5:$A$9,MATCH(B1333,BP!$A$5:$A$9,1)))*(B1333-INDEX(BP!$A$5:$A$9,MATCH(B1333,BP!$A$5:$A$9,1)))+INDEX(BP!$C$5:$C$9,MATCH(B1333,BP!$A$5:$A$9,1)),0))</f>
        <v>14</v>
      </c>
      <c r="D1333" s="12" t="str">
        <f aca="false">IF(NOT(ISNUMBER(C1333)),"",INDEX(BP!$F$5:$F$9,MATCH(C1333,BP!$E$5:$E$9,1)))</f>
        <v>ดีมาก</v>
      </c>
      <c r="E1333" s="12" t="n">
        <f aca="false">YEAR(A1333)</f>
        <v>2024</v>
      </c>
      <c r="F1333" s="12" t="n">
        <f aca="false">MONTH(A1333)</f>
        <v>8</v>
      </c>
      <c r="G1333" s="12" t="n">
        <v>17.7</v>
      </c>
      <c r="H1333" s="12" t="n">
        <v>32.8</v>
      </c>
      <c r="I1333" s="12" t="n">
        <v>229</v>
      </c>
      <c r="J1333" s="12" t="n">
        <v>11.2</v>
      </c>
      <c r="K1333" s="12" t="n">
        <v>0</v>
      </c>
      <c r="L1333" s="12" t="s">
        <v>35</v>
      </c>
    </row>
    <row r="1334" customFormat="false" ht="15" hidden="false" customHeight="false" outlineLevel="0" collapsed="false">
      <c r="A1334" s="11" t="n">
        <v>45529</v>
      </c>
      <c r="B1334" s="12" t="n">
        <v>9</v>
      </c>
      <c r="C1334" s="12" t="n">
        <f aca="false">IF(NOT(ISNUMBER(B1334)),"",ROUND((INDEX(BP!$D$5:$D$9,MATCH(B1334,BP!$A$5:$A$9,1))-INDEX(BP!$C$5:$C$9,MATCH(B1334,BP!$A$5:$A$9,1)))/(INDEX(BP!$B$5:$B$9,MATCH(B1334,BP!$A$5:$A$9,1))-INDEX(BP!$A$5:$A$9,MATCH(B1334,BP!$A$5:$A$9,1)))*(B1334-INDEX(BP!$A$5:$A$9,MATCH(B1334,BP!$A$5:$A$9,1)))+INDEX(BP!$C$5:$C$9,MATCH(B1334,BP!$A$5:$A$9,1)),0))</f>
        <v>15</v>
      </c>
      <c r="D1334" s="12" t="str">
        <f aca="false">IF(NOT(ISNUMBER(C1334)),"",INDEX(BP!$F$5:$F$9,MATCH(C1334,BP!$E$5:$E$9,1)))</f>
        <v>ดีมาก</v>
      </c>
      <c r="E1334" s="12" t="n">
        <f aca="false">YEAR(A1334)</f>
        <v>2024</v>
      </c>
      <c r="F1334" s="12" t="n">
        <f aca="false">MONTH(A1334)</f>
        <v>8</v>
      </c>
      <c r="G1334" s="12" t="n">
        <v>15.5</v>
      </c>
      <c r="H1334" s="12" t="n">
        <v>36.4</v>
      </c>
      <c r="I1334" s="12" t="n">
        <v>238</v>
      </c>
      <c r="J1334" s="12" t="n">
        <v>2.4</v>
      </c>
      <c r="K1334" s="12" t="n">
        <v>7</v>
      </c>
      <c r="L1334" s="12" t="s">
        <v>35</v>
      </c>
    </row>
    <row r="1335" customFormat="false" ht="15" hidden="false" customHeight="false" outlineLevel="0" collapsed="false">
      <c r="A1335" s="11" t="n">
        <v>45530</v>
      </c>
      <c r="B1335" s="12" t="n">
        <v>9.2</v>
      </c>
      <c r="C1335" s="12" t="n">
        <f aca="false">IF(NOT(ISNUMBER(B1335)),"",ROUND((INDEX(BP!$D$5:$D$9,MATCH(B1335,BP!$A$5:$A$9,1))-INDEX(BP!$C$5:$C$9,MATCH(B1335,BP!$A$5:$A$9,1)))/(INDEX(BP!$B$5:$B$9,MATCH(B1335,BP!$A$5:$A$9,1))-INDEX(BP!$A$5:$A$9,MATCH(B1335,BP!$A$5:$A$9,1)))*(B1335-INDEX(BP!$A$5:$A$9,MATCH(B1335,BP!$A$5:$A$9,1)))+INDEX(BP!$C$5:$C$9,MATCH(B1335,BP!$A$5:$A$9,1)),0))</f>
        <v>15</v>
      </c>
      <c r="D1335" s="12" t="str">
        <f aca="false">IF(NOT(ISNUMBER(C1335)),"",INDEX(BP!$F$5:$F$9,MATCH(C1335,BP!$E$5:$E$9,1)))</f>
        <v>ดีมาก</v>
      </c>
      <c r="E1335" s="12" t="n">
        <f aca="false">YEAR(A1335)</f>
        <v>2024</v>
      </c>
      <c r="F1335" s="12" t="n">
        <f aca="false">MONTH(A1335)</f>
        <v>8</v>
      </c>
      <c r="G1335" s="12" t="n">
        <v>13</v>
      </c>
      <c r="H1335" s="12" t="n">
        <v>27.7</v>
      </c>
      <c r="I1335" s="12" t="n">
        <v>222</v>
      </c>
      <c r="J1335" s="12" t="n">
        <v>8.5</v>
      </c>
      <c r="K1335" s="12" t="n">
        <v>4</v>
      </c>
      <c r="L1335" s="12" t="s">
        <v>36</v>
      </c>
    </row>
    <row r="1336" customFormat="false" ht="15" hidden="false" customHeight="false" outlineLevel="0" collapsed="false">
      <c r="A1336" s="11" t="n">
        <v>45531</v>
      </c>
      <c r="B1336" s="12" t="n">
        <v>8.4</v>
      </c>
      <c r="C1336" s="12" t="n">
        <f aca="false">IF(NOT(ISNUMBER(B1336)),"",ROUND((INDEX(BP!$D$5:$D$9,MATCH(B1336,BP!$A$5:$A$9,1))-INDEX(BP!$C$5:$C$9,MATCH(B1336,BP!$A$5:$A$9,1)))/(INDEX(BP!$B$5:$B$9,MATCH(B1336,BP!$A$5:$A$9,1))-INDEX(BP!$A$5:$A$9,MATCH(B1336,BP!$A$5:$A$9,1)))*(B1336-INDEX(BP!$A$5:$A$9,MATCH(B1336,BP!$A$5:$A$9,1)))+INDEX(BP!$C$5:$C$9,MATCH(B1336,BP!$A$5:$A$9,1)),0))</f>
        <v>14</v>
      </c>
      <c r="D1336" s="12" t="str">
        <f aca="false">IF(NOT(ISNUMBER(C1336)),"",INDEX(BP!$F$5:$F$9,MATCH(C1336,BP!$E$5:$E$9,1)))</f>
        <v>ดีมาก</v>
      </c>
      <c r="E1336" s="12" t="n">
        <f aca="false">YEAR(A1336)</f>
        <v>2024</v>
      </c>
      <c r="F1336" s="12" t="n">
        <f aca="false">MONTH(A1336)</f>
        <v>8</v>
      </c>
      <c r="G1336" s="12" t="n">
        <v>21</v>
      </c>
      <c r="H1336" s="12" t="n">
        <v>42.8</v>
      </c>
      <c r="I1336" s="12" t="n">
        <v>233</v>
      </c>
      <c r="J1336" s="12" t="n">
        <v>6.9</v>
      </c>
      <c r="K1336" s="12" t="n">
        <v>31</v>
      </c>
      <c r="L1336" s="12" t="s">
        <v>36</v>
      </c>
    </row>
    <row r="1337" customFormat="false" ht="15" hidden="false" customHeight="false" outlineLevel="0" collapsed="false">
      <c r="A1337" s="11" t="n">
        <v>45532</v>
      </c>
      <c r="B1337" s="12" t="n">
        <v>8.3</v>
      </c>
      <c r="C1337" s="12" t="n">
        <f aca="false">IF(NOT(ISNUMBER(B1337)),"",ROUND((INDEX(BP!$D$5:$D$9,MATCH(B1337,BP!$A$5:$A$9,1))-INDEX(BP!$C$5:$C$9,MATCH(B1337,BP!$A$5:$A$9,1)))/(INDEX(BP!$B$5:$B$9,MATCH(B1337,BP!$A$5:$A$9,1))-INDEX(BP!$A$5:$A$9,MATCH(B1337,BP!$A$5:$A$9,1)))*(B1337-INDEX(BP!$A$5:$A$9,MATCH(B1337,BP!$A$5:$A$9,1)))+INDEX(BP!$C$5:$C$9,MATCH(B1337,BP!$A$5:$A$9,1)),0))</f>
        <v>14</v>
      </c>
      <c r="D1337" s="12" t="str">
        <f aca="false">IF(NOT(ISNUMBER(C1337)),"",INDEX(BP!$F$5:$F$9,MATCH(C1337,BP!$E$5:$E$9,1)))</f>
        <v>ดีมาก</v>
      </c>
      <c r="E1337" s="12" t="n">
        <f aca="false">YEAR(A1337)</f>
        <v>2024</v>
      </c>
      <c r="F1337" s="12" t="n">
        <f aca="false">MONTH(A1337)</f>
        <v>8</v>
      </c>
      <c r="G1337" s="12" t="n">
        <v>17.9</v>
      </c>
      <c r="H1337" s="12" t="n">
        <v>33.1</v>
      </c>
      <c r="I1337" s="12" t="n">
        <v>219</v>
      </c>
      <c r="J1337" s="12" t="n">
        <v>3.5</v>
      </c>
      <c r="K1337" s="12" t="n">
        <v>1.4</v>
      </c>
      <c r="L1337" s="12" t="s">
        <v>36</v>
      </c>
    </row>
    <row r="1338" customFormat="false" ht="15" hidden="false" customHeight="false" outlineLevel="0" collapsed="false">
      <c r="A1338" s="11" t="n">
        <v>45533</v>
      </c>
      <c r="B1338" s="12" t="n">
        <v>9.9</v>
      </c>
      <c r="C1338" s="12" t="n">
        <f aca="false">IF(NOT(ISNUMBER(B1338)),"",ROUND((INDEX(BP!$D$5:$D$9,MATCH(B1338,BP!$A$5:$A$9,1))-INDEX(BP!$C$5:$C$9,MATCH(B1338,BP!$A$5:$A$9,1)))/(INDEX(BP!$B$5:$B$9,MATCH(B1338,BP!$A$5:$A$9,1))-INDEX(BP!$A$5:$A$9,MATCH(B1338,BP!$A$5:$A$9,1)))*(B1338-INDEX(BP!$A$5:$A$9,MATCH(B1338,BP!$A$5:$A$9,1)))+INDEX(BP!$C$5:$C$9,MATCH(B1338,BP!$A$5:$A$9,1)),0))</f>
        <v>17</v>
      </c>
      <c r="D1338" s="12" t="str">
        <f aca="false">IF(NOT(ISNUMBER(C1338)),"",INDEX(BP!$F$5:$F$9,MATCH(C1338,BP!$E$5:$E$9,1)))</f>
        <v>ดีมาก</v>
      </c>
      <c r="E1338" s="12" t="n">
        <f aca="false">YEAR(A1338)</f>
        <v>2024</v>
      </c>
      <c r="F1338" s="12" t="n">
        <f aca="false">MONTH(A1338)</f>
        <v>8</v>
      </c>
      <c r="G1338" s="12" t="n">
        <v>10.5</v>
      </c>
      <c r="H1338" s="12" t="n">
        <v>23.8</v>
      </c>
      <c r="I1338" s="12" t="n">
        <v>188</v>
      </c>
      <c r="J1338" s="12" t="n">
        <v>1.3</v>
      </c>
      <c r="K1338" s="12" t="n">
        <v>0</v>
      </c>
      <c r="L1338" s="12" t="s">
        <v>36</v>
      </c>
    </row>
    <row r="1339" customFormat="false" ht="15" hidden="false" customHeight="false" outlineLevel="0" collapsed="false">
      <c r="A1339" s="11" t="n">
        <v>45534</v>
      </c>
      <c r="B1339" s="12" t="n">
        <v>15.2</v>
      </c>
      <c r="C1339" s="12" t="n">
        <f aca="false">IF(NOT(ISNUMBER(B1339)),"",ROUND((INDEX(BP!$D$5:$D$9,MATCH(B1339,BP!$A$5:$A$9,1))-INDEX(BP!$C$5:$C$9,MATCH(B1339,BP!$A$5:$A$9,1)))/(INDEX(BP!$B$5:$B$9,MATCH(B1339,BP!$A$5:$A$9,1))-INDEX(BP!$A$5:$A$9,MATCH(B1339,BP!$A$5:$A$9,1)))*(B1339-INDEX(BP!$A$5:$A$9,MATCH(B1339,BP!$A$5:$A$9,1)))+INDEX(BP!$C$5:$C$9,MATCH(B1339,BP!$A$5:$A$9,1)),0))</f>
        <v>26</v>
      </c>
      <c r="D1339" s="12" t="str">
        <f aca="false">IF(NOT(ISNUMBER(C1339)),"",INDEX(BP!$F$5:$F$9,MATCH(C1339,BP!$E$5:$E$9,1)))</f>
        <v>ดี</v>
      </c>
      <c r="E1339" s="12" t="n">
        <f aca="false">YEAR(A1339)</f>
        <v>2024</v>
      </c>
      <c r="F1339" s="12" t="n">
        <f aca="false">MONTH(A1339)</f>
        <v>8</v>
      </c>
      <c r="G1339" s="12" t="n">
        <v>9</v>
      </c>
      <c r="H1339" s="12" t="n">
        <v>18.4</v>
      </c>
      <c r="I1339" s="12" t="n">
        <v>211</v>
      </c>
      <c r="J1339" s="12" t="n">
        <v>0.5</v>
      </c>
      <c r="K1339" s="12" t="n">
        <v>0</v>
      </c>
      <c r="L1339" s="12" t="s">
        <v>36</v>
      </c>
    </row>
    <row r="1340" customFormat="false" ht="15" hidden="false" customHeight="false" outlineLevel="0" collapsed="false">
      <c r="A1340" s="11" t="n">
        <v>45535</v>
      </c>
      <c r="B1340" s="12" t="n">
        <v>16.2</v>
      </c>
      <c r="C1340" s="12" t="n">
        <f aca="false">IF(NOT(ISNUMBER(B1340)),"",ROUND((INDEX(BP!$D$5:$D$9,MATCH(B1340,BP!$A$5:$A$9,1))-INDEX(BP!$C$5:$C$9,MATCH(B1340,BP!$A$5:$A$9,1)))/(INDEX(BP!$B$5:$B$9,MATCH(B1340,BP!$A$5:$A$9,1))-INDEX(BP!$A$5:$A$9,MATCH(B1340,BP!$A$5:$A$9,1)))*(B1340-INDEX(BP!$A$5:$A$9,MATCH(B1340,BP!$A$5:$A$9,1)))+INDEX(BP!$C$5:$C$9,MATCH(B1340,BP!$A$5:$A$9,1)),0))</f>
        <v>29</v>
      </c>
      <c r="D1340" s="12" t="str">
        <f aca="false">IF(NOT(ISNUMBER(C1340)),"",INDEX(BP!$F$5:$F$9,MATCH(C1340,BP!$E$5:$E$9,1)))</f>
        <v>ดี</v>
      </c>
      <c r="E1340" s="12" t="n">
        <f aca="false">YEAR(A1340)</f>
        <v>2024</v>
      </c>
      <c r="F1340" s="12" t="n">
        <f aca="false">MONTH(A1340)</f>
        <v>8</v>
      </c>
      <c r="G1340" s="12" t="n">
        <v>15</v>
      </c>
      <c r="H1340" s="12" t="n">
        <v>33.5</v>
      </c>
      <c r="I1340" s="12" t="n">
        <v>232</v>
      </c>
      <c r="J1340" s="12" t="n">
        <v>4.6</v>
      </c>
      <c r="K1340" s="12" t="n">
        <v>0</v>
      </c>
      <c r="L1340" s="12" t="s">
        <v>35</v>
      </c>
    </row>
    <row r="1341" customFormat="false" ht="15" hidden="false" customHeight="false" outlineLevel="0" collapsed="false">
      <c r="A1341" s="11" t="n">
        <v>45536</v>
      </c>
      <c r="B1341" s="12" t="n">
        <v>13.3</v>
      </c>
      <c r="C1341" s="12" t="n">
        <f aca="false">IF(NOT(ISNUMBER(B1341)),"",ROUND((INDEX(BP!$D$5:$D$9,MATCH(B1341,BP!$A$5:$A$9,1))-INDEX(BP!$C$5:$C$9,MATCH(B1341,BP!$A$5:$A$9,1)))/(INDEX(BP!$B$5:$B$9,MATCH(B1341,BP!$A$5:$A$9,1))-INDEX(BP!$A$5:$A$9,MATCH(B1341,BP!$A$5:$A$9,1)))*(B1341-INDEX(BP!$A$5:$A$9,MATCH(B1341,BP!$A$5:$A$9,1)))+INDEX(BP!$C$5:$C$9,MATCH(B1341,BP!$A$5:$A$9,1)),0))</f>
        <v>22</v>
      </c>
      <c r="D1341" s="12" t="str">
        <f aca="false">IF(NOT(ISNUMBER(C1341)),"",INDEX(BP!$F$5:$F$9,MATCH(C1341,BP!$E$5:$E$9,1)))</f>
        <v>ดีมาก</v>
      </c>
      <c r="E1341" s="12" t="n">
        <f aca="false">YEAR(A1341)</f>
        <v>2024</v>
      </c>
      <c r="F1341" s="12" t="n">
        <f aca="false">MONTH(A1341)</f>
        <v>9</v>
      </c>
      <c r="G1341" s="12" t="n">
        <v>13</v>
      </c>
      <c r="H1341" s="12" t="n">
        <v>31.7</v>
      </c>
      <c r="I1341" s="12" t="n">
        <v>248</v>
      </c>
      <c r="J1341" s="12" t="n">
        <v>1.9</v>
      </c>
      <c r="K1341" s="12" t="n">
        <v>0</v>
      </c>
      <c r="L1341" s="12" t="s">
        <v>35</v>
      </c>
    </row>
    <row r="1342" customFormat="false" ht="15" hidden="false" customHeight="false" outlineLevel="0" collapsed="false">
      <c r="A1342" s="11" t="n">
        <v>45537</v>
      </c>
      <c r="B1342" s="12" t="n">
        <v>11.3</v>
      </c>
      <c r="C1342" s="12" t="n">
        <f aca="false">IF(NOT(ISNUMBER(B1342)),"",ROUND((INDEX(BP!$D$5:$D$9,MATCH(B1342,BP!$A$5:$A$9,1))-INDEX(BP!$C$5:$C$9,MATCH(B1342,BP!$A$5:$A$9,1)))/(INDEX(BP!$B$5:$B$9,MATCH(B1342,BP!$A$5:$A$9,1))-INDEX(BP!$A$5:$A$9,MATCH(B1342,BP!$A$5:$A$9,1)))*(B1342-INDEX(BP!$A$5:$A$9,MATCH(B1342,BP!$A$5:$A$9,1)))+INDEX(BP!$C$5:$C$9,MATCH(B1342,BP!$A$5:$A$9,1)),0))</f>
        <v>19</v>
      </c>
      <c r="D1342" s="12" t="str">
        <f aca="false">IF(NOT(ISNUMBER(C1342)),"",INDEX(BP!$F$5:$F$9,MATCH(C1342,BP!$E$5:$E$9,1)))</f>
        <v>ดีมาก</v>
      </c>
      <c r="E1342" s="12" t="n">
        <f aca="false">YEAR(A1342)</f>
        <v>2024</v>
      </c>
      <c r="F1342" s="12" t="n">
        <f aca="false">MONTH(A1342)</f>
        <v>9</v>
      </c>
      <c r="G1342" s="12" t="n">
        <v>18</v>
      </c>
      <c r="H1342" s="12" t="n">
        <v>42.8</v>
      </c>
      <c r="I1342" s="12" t="n">
        <v>233</v>
      </c>
      <c r="J1342" s="12" t="n">
        <v>1.8</v>
      </c>
      <c r="K1342" s="12" t="n">
        <v>0</v>
      </c>
      <c r="L1342" s="12" t="s">
        <v>36</v>
      </c>
    </row>
    <row r="1343" customFormat="false" ht="15" hidden="false" customHeight="false" outlineLevel="0" collapsed="false">
      <c r="A1343" s="11" t="n">
        <v>45538</v>
      </c>
      <c r="B1343" s="12" t="n">
        <v>8.3</v>
      </c>
      <c r="C1343" s="12" t="n">
        <f aca="false">IF(NOT(ISNUMBER(B1343)),"",ROUND((INDEX(BP!$D$5:$D$9,MATCH(B1343,BP!$A$5:$A$9,1))-INDEX(BP!$C$5:$C$9,MATCH(B1343,BP!$A$5:$A$9,1)))/(INDEX(BP!$B$5:$B$9,MATCH(B1343,BP!$A$5:$A$9,1))-INDEX(BP!$A$5:$A$9,MATCH(B1343,BP!$A$5:$A$9,1)))*(B1343-INDEX(BP!$A$5:$A$9,MATCH(B1343,BP!$A$5:$A$9,1)))+INDEX(BP!$C$5:$C$9,MATCH(B1343,BP!$A$5:$A$9,1)),0))</f>
        <v>14</v>
      </c>
      <c r="D1343" s="12" t="str">
        <f aca="false">IF(NOT(ISNUMBER(C1343)),"",INDEX(BP!$F$5:$F$9,MATCH(C1343,BP!$E$5:$E$9,1)))</f>
        <v>ดีมาก</v>
      </c>
      <c r="E1343" s="12" t="n">
        <f aca="false">YEAR(A1343)</f>
        <v>2024</v>
      </c>
      <c r="F1343" s="12" t="n">
        <f aca="false">MONTH(A1343)</f>
        <v>9</v>
      </c>
      <c r="G1343" s="12" t="n">
        <v>15.6</v>
      </c>
      <c r="H1343" s="12" t="n">
        <v>33.8</v>
      </c>
      <c r="I1343" s="12" t="n">
        <v>247</v>
      </c>
      <c r="J1343" s="12" t="n">
        <v>10.9</v>
      </c>
      <c r="K1343" s="12" t="n">
        <v>0</v>
      </c>
      <c r="L1343" s="12" t="s">
        <v>36</v>
      </c>
    </row>
    <row r="1344" customFormat="false" ht="15" hidden="false" customHeight="false" outlineLevel="0" collapsed="false">
      <c r="A1344" s="11" t="n">
        <v>45539</v>
      </c>
      <c r="B1344" s="12" t="n">
        <v>9.3</v>
      </c>
      <c r="C1344" s="12" t="n">
        <f aca="false">IF(NOT(ISNUMBER(B1344)),"",ROUND((INDEX(BP!$D$5:$D$9,MATCH(B1344,BP!$A$5:$A$9,1))-INDEX(BP!$C$5:$C$9,MATCH(B1344,BP!$A$5:$A$9,1)))/(INDEX(BP!$B$5:$B$9,MATCH(B1344,BP!$A$5:$A$9,1))-INDEX(BP!$A$5:$A$9,MATCH(B1344,BP!$A$5:$A$9,1)))*(B1344-INDEX(BP!$A$5:$A$9,MATCH(B1344,BP!$A$5:$A$9,1)))+INDEX(BP!$C$5:$C$9,MATCH(B1344,BP!$A$5:$A$9,1)),0))</f>
        <v>16</v>
      </c>
      <c r="D1344" s="12" t="str">
        <f aca="false">IF(NOT(ISNUMBER(C1344)),"",INDEX(BP!$F$5:$F$9,MATCH(C1344,BP!$E$5:$E$9,1)))</f>
        <v>ดีมาก</v>
      </c>
      <c r="E1344" s="12" t="n">
        <f aca="false">YEAR(A1344)</f>
        <v>2024</v>
      </c>
      <c r="F1344" s="12" t="n">
        <f aca="false">MONTH(A1344)</f>
        <v>9</v>
      </c>
      <c r="G1344" s="12" t="n">
        <v>21.2</v>
      </c>
      <c r="H1344" s="12" t="n">
        <v>48.2</v>
      </c>
      <c r="I1344" s="12" t="n">
        <v>245</v>
      </c>
      <c r="J1344" s="12" t="n">
        <v>2.3</v>
      </c>
      <c r="K1344" s="12" t="n">
        <v>0.2</v>
      </c>
      <c r="L1344" s="12" t="s">
        <v>36</v>
      </c>
    </row>
    <row r="1345" customFormat="false" ht="15" hidden="false" customHeight="false" outlineLevel="0" collapsed="false">
      <c r="A1345" s="11" t="n">
        <v>45540</v>
      </c>
      <c r="B1345" s="12" t="n">
        <v>8.7</v>
      </c>
      <c r="C1345" s="12" t="n">
        <f aca="false">IF(NOT(ISNUMBER(B1345)),"",ROUND((INDEX(BP!$D$5:$D$9,MATCH(B1345,BP!$A$5:$A$9,1))-INDEX(BP!$C$5:$C$9,MATCH(B1345,BP!$A$5:$A$9,1)))/(INDEX(BP!$B$5:$B$9,MATCH(B1345,BP!$A$5:$A$9,1))-INDEX(BP!$A$5:$A$9,MATCH(B1345,BP!$A$5:$A$9,1)))*(B1345-INDEX(BP!$A$5:$A$9,MATCH(B1345,BP!$A$5:$A$9,1)))+INDEX(BP!$C$5:$C$9,MATCH(B1345,BP!$A$5:$A$9,1)),0))</f>
        <v>15</v>
      </c>
      <c r="D1345" s="12" t="str">
        <f aca="false">IF(NOT(ISNUMBER(C1345)),"",INDEX(BP!$F$5:$F$9,MATCH(C1345,BP!$E$5:$E$9,1)))</f>
        <v>ดีมาก</v>
      </c>
      <c r="E1345" s="12" t="n">
        <f aca="false">YEAR(A1345)</f>
        <v>2024</v>
      </c>
      <c r="F1345" s="12" t="n">
        <f aca="false">MONTH(A1345)</f>
        <v>9</v>
      </c>
      <c r="G1345" s="12" t="n">
        <v>24.8</v>
      </c>
      <c r="H1345" s="12" t="n">
        <v>51.8</v>
      </c>
      <c r="I1345" s="12" t="n">
        <v>250</v>
      </c>
      <c r="J1345" s="12" t="n">
        <v>4.2</v>
      </c>
      <c r="K1345" s="12" t="n">
        <v>0</v>
      </c>
      <c r="L1345" s="12" t="s">
        <v>36</v>
      </c>
    </row>
    <row r="1346" customFormat="false" ht="15" hidden="false" customHeight="false" outlineLevel="0" collapsed="false">
      <c r="A1346" s="11" t="n">
        <v>45541</v>
      </c>
      <c r="B1346" s="12" t="n">
        <v>9.5</v>
      </c>
      <c r="C1346" s="12" t="n">
        <f aca="false">IF(NOT(ISNUMBER(B1346)),"",ROUND((INDEX(BP!$D$5:$D$9,MATCH(B1346,BP!$A$5:$A$9,1))-INDEX(BP!$C$5:$C$9,MATCH(B1346,BP!$A$5:$A$9,1)))/(INDEX(BP!$B$5:$B$9,MATCH(B1346,BP!$A$5:$A$9,1))-INDEX(BP!$A$5:$A$9,MATCH(B1346,BP!$A$5:$A$9,1)))*(B1346-INDEX(BP!$A$5:$A$9,MATCH(B1346,BP!$A$5:$A$9,1)))+INDEX(BP!$C$5:$C$9,MATCH(B1346,BP!$A$5:$A$9,1)),0))</f>
        <v>16</v>
      </c>
      <c r="D1346" s="12" t="str">
        <f aca="false">IF(NOT(ISNUMBER(C1346)),"",INDEX(BP!$F$5:$F$9,MATCH(C1346,BP!$E$5:$E$9,1)))</f>
        <v>ดีมาก</v>
      </c>
      <c r="E1346" s="12" t="n">
        <f aca="false">YEAR(A1346)</f>
        <v>2024</v>
      </c>
      <c r="F1346" s="12" t="n">
        <f aca="false">MONTH(A1346)</f>
        <v>9</v>
      </c>
      <c r="G1346" s="12" t="n">
        <v>18</v>
      </c>
      <c r="H1346" s="12" t="n">
        <v>43.6</v>
      </c>
      <c r="I1346" s="12" t="n">
        <v>232</v>
      </c>
      <c r="J1346" s="12" t="n">
        <v>1.3</v>
      </c>
      <c r="K1346" s="12" t="n">
        <v>0.4</v>
      </c>
      <c r="L1346" s="12" t="s">
        <v>36</v>
      </c>
    </row>
    <row r="1347" customFormat="false" ht="15" hidden="false" customHeight="false" outlineLevel="0" collapsed="false">
      <c r="A1347" s="11" t="n">
        <v>45542</v>
      </c>
      <c r="B1347" s="12" t="n">
        <v>9.1</v>
      </c>
      <c r="C1347" s="12" t="n">
        <f aca="false">IF(NOT(ISNUMBER(B1347)),"",ROUND((INDEX(BP!$D$5:$D$9,MATCH(B1347,BP!$A$5:$A$9,1))-INDEX(BP!$C$5:$C$9,MATCH(B1347,BP!$A$5:$A$9,1)))/(INDEX(BP!$B$5:$B$9,MATCH(B1347,BP!$A$5:$A$9,1))-INDEX(BP!$A$5:$A$9,MATCH(B1347,BP!$A$5:$A$9,1)))*(B1347-INDEX(BP!$A$5:$A$9,MATCH(B1347,BP!$A$5:$A$9,1)))+INDEX(BP!$C$5:$C$9,MATCH(B1347,BP!$A$5:$A$9,1)),0))</f>
        <v>15</v>
      </c>
      <c r="D1347" s="12" t="str">
        <f aca="false">IF(NOT(ISNUMBER(C1347)),"",INDEX(BP!$F$5:$F$9,MATCH(C1347,BP!$E$5:$E$9,1)))</f>
        <v>ดีมาก</v>
      </c>
      <c r="E1347" s="12" t="n">
        <f aca="false">YEAR(A1347)</f>
        <v>2024</v>
      </c>
      <c r="F1347" s="12" t="n">
        <f aca="false">MONTH(A1347)</f>
        <v>9</v>
      </c>
      <c r="G1347" s="12" t="n">
        <v>18.9</v>
      </c>
      <c r="H1347" s="12" t="n">
        <v>37.4</v>
      </c>
      <c r="I1347" s="12" t="n">
        <v>237</v>
      </c>
      <c r="J1347" s="12" t="n">
        <v>30.9</v>
      </c>
      <c r="K1347" s="12" t="n">
        <v>23</v>
      </c>
      <c r="L1347" s="12" t="s">
        <v>35</v>
      </c>
    </row>
    <row r="1348" customFormat="false" ht="15" hidden="false" customHeight="false" outlineLevel="0" collapsed="false">
      <c r="A1348" s="11" t="n">
        <v>45543</v>
      </c>
      <c r="B1348" s="12" t="n">
        <v>10.1</v>
      </c>
      <c r="C1348" s="12" t="n">
        <f aca="false">IF(NOT(ISNUMBER(B1348)),"",ROUND((INDEX(BP!$D$5:$D$9,MATCH(B1348,BP!$A$5:$A$9,1))-INDEX(BP!$C$5:$C$9,MATCH(B1348,BP!$A$5:$A$9,1)))/(INDEX(BP!$B$5:$B$9,MATCH(B1348,BP!$A$5:$A$9,1))-INDEX(BP!$A$5:$A$9,MATCH(B1348,BP!$A$5:$A$9,1)))*(B1348-INDEX(BP!$A$5:$A$9,MATCH(B1348,BP!$A$5:$A$9,1)))+INDEX(BP!$C$5:$C$9,MATCH(B1348,BP!$A$5:$A$9,1)),0))</f>
        <v>17</v>
      </c>
      <c r="D1348" s="12" t="str">
        <f aca="false">IF(NOT(ISNUMBER(C1348)),"",INDEX(BP!$F$5:$F$9,MATCH(C1348,BP!$E$5:$E$9,1)))</f>
        <v>ดีมาก</v>
      </c>
      <c r="E1348" s="12" t="n">
        <f aca="false">YEAR(A1348)</f>
        <v>2024</v>
      </c>
      <c r="F1348" s="12" t="n">
        <f aca="false">MONTH(A1348)</f>
        <v>9</v>
      </c>
      <c r="G1348" s="12" t="n">
        <v>17.8</v>
      </c>
      <c r="H1348" s="12" t="n">
        <v>43.2</v>
      </c>
      <c r="I1348" s="12" t="n">
        <v>215</v>
      </c>
      <c r="J1348" s="12" t="n">
        <v>9.1</v>
      </c>
      <c r="K1348" s="12" t="n">
        <v>8</v>
      </c>
      <c r="L1348" s="12" t="s">
        <v>35</v>
      </c>
    </row>
    <row r="1349" customFormat="false" ht="15" hidden="false" customHeight="false" outlineLevel="0" collapsed="false">
      <c r="A1349" s="11" t="n">
        <v>45544</v>
      </c>
      <c r="B1349" s="12" t="n">
        <v>8.6</v>
      </c>
      <c r="C1349" s="12" t="n">
        <f aca="false">IF(NOT(ISNUMBER(B1349)),"",ROUND((INDEX(BP!$D$5:$D$9,MATCH(B1349,BP!$A$5:$A$9,1))-INDEX(BP!$C$5:$C$9,MATCH(B1349,BP!$A$5:$A$9,1)))/(INDEX(BP!$B$5:$B$9,MATCH(B1349,BP!$A$5:$A$9,1))-INDEX(BP!$A$5:$A$9,MATCH(B1349,BP!$A$5:$A$9,1)))*(B1349-INDEX(BP!$A$5:$A$9,MATCH(B1349,BP!$A$5:$A$9,1)))+INDEX(BP!$C$5:$C$9,MATCH(B1349,BP!$A$5:$A$9,1)),0))</f>
        <v>14</v>
      </c>
      <c r="D1349" s="12" t="str">
        <f aca="false">IF(NOT(ISNUMBER(C1349)),"",INDEX(BP!$F$5:$F$9,MATCH(C1349,BP!$E$5:$E$9,1)))</f>
        <v>ดีมาก</v>
      </c>
      <c r="E1349" s="12" t="n">
        <f aca="false">YEAR(A1349)</f>
        <v>2024</v>
      </c>
      <c r="F1349" s="12" t="n">
        <f aca="false">MONTH(A1349)</f>
        <v>9</v>
      </c>
      <c r="G1349" s="12" t="n">
        <v>20.8</v>
      </c>
      <c r="H1349" s="12" t="n">
        <v>44.6</v>
      </c>
      <c r="I1349" s="12" t="n">
        <v>238</v>
      </c>
      <c r="J1349" s="12" t="n">
        <v>0.4</v>
      </c>
      <c r="K1349" s="12" t="n">
        <v>0</v>
      </c>
      <c r="L1349" s="12" t="s">
        <v>36</v>
      </c>
    </row>
    <row r="1350" customFormat="false" ht="15" hidden="false" customHeight="false" outlineLevel="0" collapsed="false">
      <c r="A1350" s="11" t="n">
        <v>45545</v>
      </c>
      <c r="B1350" s="12" t="n">
        <v>10.3</v>
      </c>
      <c r="C1350" s="12" t="n">
        <f aca="false">IF(NOT(ISNUMBER(B1350)),"",ROUND((INDEX(BP!$D$5:$D$9,MATCH(B1350,BP!$A$5:$A$9,1))-INDEX(BP!$C$5:$C$9,MATCH(B1350,BP!$A$5:$A$9,1)))/(INDEX(BP!$B$5:$B$9,MATCH(B1350,BP!$A$5:$A$9,1))-INDEX(BP!$A$5:$A$9,MATCH(B1350,BP!$A$5:$A$9,1)))*(B1350-INDEX(BP!$A$5:$A$9,MATCH(B1350,BP!$A$5:$A$9,1)))+INDEX(BP!$C$5:$C$9,MATCH(B1350,BP!$A$5:$A$9,1)),0))</f>
        <v>17</v>
      </c>
      <c r="D1350" s="12" t="str">
        <f aca="false">IF(NOT(ISNUMBER(C1350)),"",INDEX(BP!$F$5:$F$9,MATCH(C1350,BP!$E$5:$E$9,1)))</f>
        <v>ดีมาก</v>
      </c>
      <c r="E1350" s="12" t="n">
        <f aca="false">YEAR(A1350)</f>
        <v>2024</v>
      </c>
      <c r="F1350" s="12" t="n">
        <f aca="false">MONTH(A1350)</f>
        <v>9</v>
      </c>
      <c r="G1350" s="12" t="n">
        <v>20.6</v>
      </c>
      <c r="H1350" s="12" t="n">
        <v>43.9</v>
      </c>
      <c r="I1350" s="12" t="n">
        <v>241</v>
      </c>
      <c r="J1350" s="12" t="n">
        <v>0.1</v>
      </c>
      <c r="K1350" s="12" t="n">
        <v>0</v>
      </c>
      <c r="L1350" s="12" t="s">
        <v>36</v>
      </c>
    </row>
    <row r="1351" customFormat="false" ht="15" hidden="false" customHeight="false" outlineLevel="0" collapsed="false">
      <c r="A1351" s="11" t="n">
        <v>45546</v>
      </c>
      <c r="B1351" s="12" t="n">
        <v>11.6</v>
      </c>
      <c r="C1351" s="12" t="n">
        <f aca="false">IF(NOT(ISNUMBER(B1351)),"",ROUND((INDEX(BP!$D$5:$D$9,MATCH(B1351,BP!$A$5:$A$9,1))-INDEX(BP!$C$5:$C$9,MATCH(B1351,BP!$A$5:$A$9,1)))/(INDEX(BP!$B$5:$B$9,MATCH(B1351,BP!$A$5:$A$9,1))-INDEX(BP!$A$5:$A$9,MATCH(B1351,BP!$A$5:$A$9,1)))*(B1351-INDEX(BP!$A$5:$A$9,MATCH(B1351,BP!$A$5:$A$9,1)))+INDEX(BP!$C$5:$C$9,MATCH(B1351,BP!$A$5:$A$9,1)),0))</f>
        <v>19</v>
      </c>
      <c r="D1351" s="12" t="str">
        <f aca="false">IF(NOT(ISNUMBER(C1351)),"",INDEX(BP!$F$5:$F$9,MATCH(C1351,BP!$E$5:$E$9,1)))</f>
        <v>ดีมาก</v>
      </c>
      <c r="E1351" s="12" t="n">
        <f aca="false">YEAR(A1351)</f>
        <v>2024</v>
      </c>
      <c r="F1351" s="12" t="n">
        <f aca="false">MONTH(A1351)</f>
        <v>9</v>
      </c>
      <c r="G1351" s="12" t="n">
        <v>14.7</v>
      </c>
      <c r="H1351" s="12" t="n">
        <v>33.1</v>
      </c>
      <c r="I1351" s="12" t="n">
        <v>228</v>
      </c>
      <c r="J1351" s="12" t="n">
        <v>3.4</v>
      </c>
      <c r="K1351" s="12" t="n">
        <v>0</v>
      </c>
      <c r="L1351" s="12" t="s">
        <v>36</v>
      </c>
    </row>
    <row r="1352" customFormat="false" ht="15" hidden="false" customHeight="false" outlineLevel="0" collapsed="false">
      <c r="A1352" s="11" t="n">
        <v>45547</v>
      </c>
      <c r="B1352" s="12" t="n">
        <v>10.8</v>
      </c>
      <c r="C1352" s="12" t="n">
        <f aca="false">IF(NOT(ISNUMBER(B1352)),"",ROUND((INDEX(BP!$D$5:$D$9,MATCH(B1352,BP!$A$5:$A$9,1))-INDEX(BP!$C$5:$C$9,MATCH(B1352,BP!$A$5:$A$9,1)))/(INDEX(BP!$B$5:$B$9,MATCH(B1352,BP!$A$5:$A$9,1))-INDEX(BP!$A$5:$A$9,MATCH(B1352,BP!$A$5:$A$9,1)))*(B1352-INDEX(BP!$A$5:$A$9,MATCH(B1352,BP!$A$5:$A$9,1)))+INDEX(BP!$C$5:$C$9,MATCH(B1352,BP!$A$5:$A$9,1)),0))</f>
        <v>18</v>
      </c>
      <c r="D1352" s="12" t="str">
        <f aca="false">IF(NOT(ISNUMBER(C1352)),"",INDEX(BP!$F$5:$F$9,MATCH(C1352,BP!$E$5:$E$9,1)))</f>
        <v>ดีมาก</v>
      </c>
      <c r="E1352" s="12" t="n">
        <f aca="false">YEAR(A1352)</f>
        <v>2024</v>
      </c>
      <c r="F1352" s="12" t="n">
        <f aca="false">MONTH(A1352)</f>
        <v>9</v>
      </c>
      <c r="G1352" s="12" t="n">
        <v>16.6</v>
      </c>
      <c r="H1352" s="12" t="n">
        <v>35.6</v>
      </c>
      <c r="I1352" s="12" t="n">
        <v>232</v>
      </c>
      <c r="J1352" s="12" t="n">
        <v>8.5</v>
      </c>
      <c r="K1352" s="12" t="n">
        <v>0</v>
      </c>
      <c r="L1352" s="12" t="s">
        <v>36</v>
      </c>
    </row>
    <row r="1353" customFormat="false" ht="15" hidden="false" customHeight="false" outlineLevel="0" collapsed="false">
      <c r="A1353" s="11" t="n">
        <v>45548</v>
      </c>
      <c r="B1353" s="12" t="n">
        <v>8.9</v>
      </c>
      <c r="C1353" s="12" t="n">
        <f aca="false">IF(NOT(ISNUMBER(B1353)),"",ROUND((INDEX(BP!$D$5:$D$9,MATCH(B1353,BP!$A$5:$A$9,1))-INDEX(BP!$C$5:$C$9,MATCH(B1353,BP!$A$5:$A$9,1)))/(INDEX(BP!$B$5:$B$9,MATCH(B1353,BP!$A$5:$A$9,1))-INDEX(BP!$A$5:$A$9,MATCH(B1353,BP!$A$5:$A$9,1)))*(B1353-INDEX(BP!$A$5:$A$9,MATCH(B1353,BP!$A$5:$A$9,1)))+INDEX(BP!$C$5:$C$9,MATCH(B1353,BP!$A$5:$A$9,1)),0))</f>
        <v>15</v>
      </c>
      <c r="D1353" s="12" t="str">
        <f aca="false">IF(NOT(ISNUMBER(C1353)),"",INDEX(BP!$F$5:$F$9,MATCH(C1353,BP!$E$5:$E$9,1)))</f>
        <v>ดีมาก</v>
      </c>
      <c r="E1353" s="12" t="n">
        <f aca="false">YEAR(A1353)</f>
        <v>2024</v>
      </c>
      <c r="F1353" s="12" t="n">
        <f aca="false">MONTH(A1353)</f>
        <v>9</v>
      </c>
      <c r="G1353" s="12" t="n">
        <v>20.1</v>
      </c>
      <c r="H1353" s="12" t="n">
        <v>42.5</v>
      </c>
      <c r="I1353" s="12" t="n">
        <v>227</v>
      </c>
      <c r="J1353" s="12" t="n">
        <v>0.4</v>
      </c>
      <c r="K1353" s="12" t="n">
        <v>0.4</v>
      </c>
      <c r="L1353" s="12" t="s">
        <v>36</v>
      </c>
    </row>
    <row r="1354" customFormat="false" ht="15" hidden="false" customHeight="false" outlineLevel="0" collapsed="false">
      <c r="A1354" s="11" t="n">
        <v>45549</v>
      </c>
      <c r="B1354" s="12" t="n">
        <v>8.1</v>
      </c>
      <c r="C1354" s="12" t="n">
        <f aca="false">IF(NOT(ISNUMBER(B1354)),"",ROUND((INDEX(BP!$D$5:$D$9,MATCH(B1354,BP!$A$5:$A$9,1))-INDEX(BP!$C$5:$C$9,MATCH(B1354,BP!$A$5:$A$9,1)))/(INDEX(BP!$B$5:$B$9,MATCH(B1354,BP!$A$5:$A$9,1))-INDEX(BP!$A$5:$A$9,MATCH(B1354,BP!$A$5:$A$9,1)))*(B1354-INDEX(BP!$A$5:$A$9,MATCH(B1354,BP!$A$5:$A$9,1)))+INDEX(BP!$C$5:$C$9,MATCH(B1354,BP!$A$5:$A$9,1)),0))</f>
        <v>14</v>
      </c>
      <c r="D1354" s="12" t="str">
        <f aca="false">IF(NOT(ISNUMBER(C1354)),"",INDEX(BP!$F$5:$F$9,MATCH(C1354,BP!$E$5:$E$9,1)))</f>
        <v>ดีมาก</v>
      </c>
      <c r="E1354" s="12" t="n">
        <f aca="false">YEAR(A1354)</f>
        <v>2024</v>
      </c>
      <c r="F1354" s="12" t="n">
        <f aca="false">MONTH(A1354)</f>
        <v>9</v>
      </c>
      <c r="G1354" s="12" t="n">
        <v>16.6</v>
      </c>
      <c r="H1354" s="12" t="n">
        <v>41</v>
      </c>
      <c r="I1354" s="12" t="n">
        <v>233</v>
      </c>
      <c r="J1354" s="12" t="n">
        <v>11.8</v>
      </c>
      <c r="K1354" s="12" t="n">
        <v>27.4</v>
      </c>
      <c r="L1354" s="12" t="s">
        <v>35</v>
      </c>
    </row>
    <row r="1355" customFormat="false" ht="15" hidden="false" customHeight="false" outlineLevel="0" collapsed="false">
      <c r="A1355" s="11" t="n">
        <v>45550</v>
      </c>
      <c r="B1355" s="12" t="n">
        <v>7.9</v>
      </c>
      <c r="C1355" s="12" t="n">
        <f aca="false">IF(NOT(ISNUMBER(B1355)),"",ROUND((INDEX(BP!$D$5:$D$9,MATCH(B1355,BP!$A$5:$A$9,1))-INDEX(BP!$C$5:$C$9,MATCH(B1355,BP!$A$5:$A$9,1)))/(INDEX(BP!$B$5:$B$9,MATCH(B1355,BP!$A$5:$A$9,1))-INDEX(BP!$A$5:$A$9,MATCH(B1355,BP!$A$5:$A$9,1)))*(B1355-INDEX(BP!$A$5:$A$9,MATCH(B1355,BP!$A$5:$A$9,1)))+INDEX(BP!$C$5:$C$9,MATCH(B1355,BP!$A$5:$A$9,1)),0))</f>
        <v>13</v>
      </c>
      <c r="D1355" s="12" t="str">
        <f aca="false">IF(NOT(ISNUMBER(C1355)),"",INDEX(BP!$F$5:$F$9,MATCH(C1355,BP!$E$5:$E$9,1)))</f>
        <v>ดีมาก</v>
      </c>
      <c r="E1355" s="12" t="n">
        <f aca="false">YEAR(A1355)</f>
        <v>2024</v>
      </c>
      <c r="F1355" s="12" t="n">
        <f aca="false">MONTH(A1355)</f>
        <v>9</v>
      </c>
      <c r="G1355" s="12" t="n">
        <v>21.6</v>
      </c>
      <c r="H1355" s="12" t="n">
        <v>50</v>
      </c>
      <c r="I1355" s="12" t="n">
        <v>244</v>
      </c>
      <c r="J1355" s="12" t="n">
        <v>3.4</v>
      </c>
      <c r="K1355" s="12" t="n">
        <v>13.8</v>
      </c>
      <c r="L1355" s="12" t="s">
        <v>35</v>
      </c>
    </row>
    <row r="1356" customFormat="false" ht="15" hidden="false" customHeight="false" outlineLevel="0" collapsed="false">
      <c r="A1356" s="11" t="n">
        <v>45551</v>
      </c>
      <c r="B1356" s="12" t="n">
        <v>8.5</v>
      </c>
      <c r="C1356" s="12" t="n">
        <f aca="false">IF(NOT(ISNUMBER(B1356)),"",ROUND((INDEX(BP!$D$5:$D$9,MATCH(B1356,BP!$A$5:$A$9,1))-INDEX(BP!$C$5:$C$9,MATCH(B1356,BP!$A$5:$A$9,1)))/(INDEX(BP!$B$5:$B$9,MATCH(B1356,BP!$A$5:$A$9,1))-INDEX(BP!$A$5:$A$9,MATCH(B1356,BP!$A$5:$A$9,1)))*(B1356-INDEX(BP!$A$5:$A$9,MATCH(B1356,BP!$A$5:$A$9,1)))+INDEX(BP!$C$5:$C$9,MATCH(B1356,BP!$A$5:$A$9,1)),0))</f>
        <v>14</v>
      </c>
      <c r="D1356" s="12" t="str">
        <f aca="false">IF(NOT(ISNUMBER(C1356)),"",INDEX(BP!$F$5:$F$9,MATCH(C1356,BP!$E$5:$E$9,1)))</f>
        <v>ดีมาก</v>
      </c>
      <c r="E1356" s="12" t="n">
        <f aca="false">YEAR(A1356)</f>
        <v>2024</v>
      </c>
      <c r="F1356" s="12" t="n">
        <f aca="false">MONTH(A1356)</f>
        <v>9</v>
      </c>
      <c r="G1356" s="12" t="n">
        <v>26.6</v>
      </c>
      <c r="H1356" s="12" t="n">
        <v>62.3</v>
      </c>
      <c r="I1356" s="12" t="n">
        <v>250</v>
      </c>
      <c r="J1356" s="12" t="n">
        <v>4</v>
      </c>
      <c r="K1356" s="12" t="n">
        <v>12.8</v>
      </c>
      <c r="L1356" s="12" t="s">
        <v>36</v>
      </c>
    </row>
    <row r="1357" customFormat="false" ht="15" hidden="false" customHeight="false" outlineLevel="0" collapsed="false">
      <c r="A1357" s="11" t="n">
        <v>45552</v>
      </c>
      <c r="B1357" s="12" t="n">
        <v>8.8</v>
      </c>
      <c r="C1357" s="12" t="n">
        <f aca="false">IF(NOT(ISNUMBER(B1357)),"",ROUND((INDEX(BP!$D$5:$D$9,MATCH(B1357,BP!$A$5:$A$9,1))-INDEX(BP!$C$5:$C$9,MATCH(B1357,BP!$A$5:$A$9,1)))/(INDEX(BP!$B$5:$B$9,MATCH(B1357,BP!$A$5:$A$9,1))-INDEX(BP!$A$5:$A$9,MATCH(B1357,BP!$A$5:$A$9,1)))*(B1357-INDEX(BP!$A$5:$A$9,MATCH(B1357,BP!$A$5:$A$9,1)))+INDEX(BP!$C$5:$C$9,MATCH(B1357,BP!$A$5:$A$9,1)),0))</f>
        <v>15</v>
      </c>
      <c r="D1357" s="12" t="str">
        <f aca="false">IF(NOT(ISNUMBER(C1357)),"",INDEX(BP!$F$5:$F$9,MATCH(C1357,BP!$E$5:$E$9,1)))</f>
        <v>ดีมาก</v>
      </c>
      <c r="E1357" s="12" t="n">
        <f aca="false">YEAR(A1357)</f>
        <v>2024</v>
      </c>
      <c r="F1357" s="12" t="n">
        <f aca="false">MONTH(A1357)</f>
        <v>9</v>
      </c>
      <c r="G1357" s="12" t="n">
        <v>25.1</v>
      </c>
      <c r="H1357" s="12" t="n">
        <v>48.6</v>
      </c>
      <c r="I1357" s="12" t="n">
        <v>252</v>
      </c>
      <c r="J1357" s="12" t="n">
        <v>7.2</v>
      </c>
      <c r="K1357" s="12" t="n">
        <v>24.2</v>
      </c>
      <c r="L1357" s="12" t="s">
        <v>36</v>
      </c>
    </row>
    <row r="1358" customFormat="false" ht="15" hidden="false" customHeight="false" outlineLevel="0" collapsed="false">
      <c r="A1358" s="11" t="n">
        <v>45553</v>
      </c>
      <c r="B1358" s="12" t="n">
        <v>8.8</v>
      </c>
      <c r="C1358" s="12" t="n">
        <f aca="false">IF(NOT(ISNUMBER(B1358)),"",ROUND((INDEX(BP!$D$5:$D$9,MATCH(B1358,BP!$A$5:$A$9,1))-INDEX(BP!$C$5:$C$9,MATCH(B1358,BP!$A$5:$A$9,1)))/(INDEX(BP!$B$5:$B$9,MATCH(B1358,BP!$A$5:$A$9,1))-INDEX(BP!$A$5:$A$9,MATCH(B1358,BP!$A$5:$A$9,1)))*(B1358-INDEX(BP!$A$5:$A$9,MATCH(B1358,BP!$A$5:$A$9,1)))+INDEX(BP!$C$5:$C$9,MATCH(B1358,BP!$A$5:$A$9,1)),0))</f>
        <v>15</v>
      </c>
      <c r="D1358" s="12" t="str">
        <f aca="false">IF(NOT(ISNUMBER(C1358)),"",INDEX(BP!$F$5:$F$9,MATCH(C1358,BP!$E$5:$E$9,1)))</f>
        <v>ดีมาก</v>
      </c>
      <c r="E1358" s="12" t="n">
        <f aca="false">YEAR(A1358)</f>
        <v>2024</v>
      </c>
      <c r="F1358" s="12" t="n">
        <f aca="false">MONTH(A1358)</f>
        <v>9</v>
      </c>
      <c r="G1358" s="12" t="n">
        <v>24.9</v>
      </c>
      <c r="H1358" s="12" t="n">
        <v>58.3</v>
      </c>
      <c r="I1358" s="12" t="n">
        <v>262</v>
      </c>
      <c r="J1358" s="12" t="n">
        <v>3.8</v>
      </c>
      <c r="K1358" s="12" t="n">
        <v>28.2</v>
      </c>
      <c r="L1358" s="12" t="s">
        <v>36</v>
      </c>
    </row>
    <row r="1359" customFormat="false" ht="15" hidden="false" customHeight="false" outlineLevel="0" collapsed="false">
      <c r="A1359" s="11" t="n">
        <v>45554</v>
      </c>
      <c r="B1359" s="12" t="n">
        <v>8.8</v>
      </c>
      <c r="C1359" s="12" t="n">
        <f aca="false">IF(NOT(ISNUMBER(B1359)),"",ROUND((INDEX(BP!$D$5:$D$9,MATCH(B1359,BP!$A$5:$A$9,1))-INDEX(BP!$C$5:$C$9,MATCH(B1359,BP!$A$5:$A$9,1)))/(INDEX(BP!$B$5:$B$9,MATCH(B1359,BP!$A$5:$A$9,1))-INDEX(BP!$A$5:$A$9,MATCH(B1359,BP!$A$5:$A$9,1)))*(B1359-INDEX(BP!$A$5:$A$9,MATCH(B1359,BP!$A$5:$A$9,1)))+INDEX(BP!$C$5:$C$9,MATCH(B1359,BP!$A$5:$A$9,1)),0))</f>
        <v>15</v>
      </c>
      <c r="D1359" s="12" t="str">
        <f aca="false">IF(NOT(ISNUMBER(C1359)),"",INDEX(BP!$F$5:$F$9,MATCH(C1359,BP!$E$5:$E$9,1)))</f>
        <v>ดีมาก</v>
      </c>
      <c r="E1359" s="12" t="n">
        <f aca="false">YEAR(A1359)</f>
        <v>2024</v>
      </c>
      <c r="F1359" s="12" t="n">
        <f aca="false">MONTH(A1359)</f>
        <v>9</v>
      </c>
      <c r="G1359" s="12" t="n">
        <v>20.8</v>
      </c>
      <c r="H1359" s="12" t="n">
        <v>47.9</v>
      </c>
      <c r="I1359" s="12" t="n">
        <v>257</v>
      </c>
      <c r="J1359" s="12" t="n">
        <v>9.1</v>
      </c>
      <c r="K1359" s="12" t="n">
        <v>9.2</v>
      </c>
      <c r="L1359" s="12" t="s">
        <v>36</v>
      </c>
    </row>
    <row r="1360" customFormat="false" ht="15" hidden="false" customHeight="false" outlineLevel="0" collapsed="false">
      <c r="A1360" s="11" t="n">
        <v>45555</v>
      </c>
      <c r="B1360" s="12" t="n">
        <v>9</v>
      </c>
      <c r="C1360" s="12" t="n">
        <f aca="false">IF(NOT(ISNUMBER(B1360)),"",ROUND((INDEX(BP!$D$5:$D$9,MATCH(B1360,BP!$A$5:$A$9,1))-INDEX(BP!$C$5:$C$9,MATCH(B1360,BP!$A$5:$A$9,1)))/(INDEX(BP!$B$5:$B$9,MATCH(B1360,BP!$A$5:$A$9,1))-INDEX(BP!$A$5:$A$9,MATCH(B1360,BP!$A$5:$A$9,1)))*(B1360-INDEX(BP!$A$5:$A$9,MATCH(B1360,BP!$A$5:$A$9,1)))+INDEX(BP!$C$5:$C$9,MATCH(B1360,BP!$A$5:$A$9,1)),0))</f>
        <v>15</v>
      </c>
      <c r="D1360" s="12" t="str">
        <f aca="false">IF(NOT(ISNUMBER(C1360)),"",INDEX(BP!$F$5:$F$9,MATCH(C1360,BP!$E$5:$E$9,1)))</f>
        <v>ดีมาก</v>
      </c>
      <c r="E1360" s="12" t="n">
        <f aca="false">YEAR(A1360)</f>
        <v>2024</v>
      </c>
      <c r="F1360" s="12" t="n">
        <f aca="false">MONTH(A1360)</f>
        <v>9</v>
      </c>
      <c r="G1360" s="12" t="n">
        <v>20.8</v>
      </c>
      <c r="H1360" s="12" t="n">
        <v>51.5</v>
      </c>
      <c r="I1360" s="12" t="n">
        <v>240</v>
      </c>
      <c r="J1360" s="12" t="n">
        <v>1.9</v>
      </c>
      <c r="K1360" s="12" t="n">
        <v>16.8</v>
      </c>
      <c r="L1360" s="12" t="s">
        <v>36</v>
      </c>
    </row>
    <row r="1361" customFormat="false" ht="15" hidden="false" customHeight="false" outlineLevel="0" collapsed="false">
      <c r="A1361" s="11" t="n">
        <v>45556</v>
      </c>
      <c r="B1361" s="12" t="n">
        <v>10.3</v>
      </c>
      <c r="C1361" s="12" t="n">
        <f aca="false">IF(NOT(ISNUMBER(B1361)),"",ROUND((INDEX(BP!$D$5:$D$9,MATCH(B1361,BP!$A$5:$A$9,1))-INDEX(BP!$C$5:$C$9,MATCH(B1361,BP!$A$5:$A$9,1)))/(INDEX(BP!$B$5:$B$9,MATCH(B1361,BP!$A$5:$A$9,1))-INDEX(BP!$A$5:$A$9,MATCH(B1361,BP!$A$5:$A$9,1)))*(B1361-INDEX(BP!$A$5:$A$9,MATCH(B1361,BP!$A$5:$A$9,1)))+INDEX(BP!$C$5:$C$9,MATCH(B1361,BP!$A$5:$A$9,1)),0))</f>
        <v>17</v>
      </c>
      <c r="D1361" s="12" t="str">
        <f aca="false">IF(NOT(ISNUMBER(C1361)),"",INDEX(BP!$F$5:$F$9,MATCH(C1361,BP!$E$5:$E$9,1)))</f>
        <v>ดีมาก</v>
      </c>
      <c r="E1361" s="12" t="n">
        <f aca="false">YEAR(A1361)</f>
        <v>2024</v>
      </c>
      <c r="F1361" s="12" t="n">
        <f aca="false">MONTH(A1361)</f>
        <v>9</v>
      </c>
      <c r="G1361" s="12" t="n">
        <v>21</v>
      </c>
      <c r="H1361" s="12" t="n">
        <v>46.4</v>
      </c>
      <c r="I1361" s="12" t="n">
        <v>234</v>
      </c>
      <c r="J1361" s="12" t="n">
        <v>5.6</v>
      </c>
      <c r="K1361" s="12" t="n">
        <v>0.4</v>
      </c>
      <c r="L1361" s="12" t="s">
        <v>35</v>
      </c>
    </row>
    <row r="1362" customFormat="false" ht="15" hidden="false" customHeight="false" outlineLevel="0" collapsed="false">
      <c r="A1362" s="11" t="n">
        <v>45557</v>
      </c>
      <c r="B1362" s="12" t="n">
        <v>10.3</v>
      </c>
      <c r="C1362" s="12" t="n">
        <f aca="false">IF(NOT(ISNUMBER(B1362)),"",ROUND((INDEX(BP!$D$5:$D$9,MATCH(B1362,BP!$A$5:$A$9,1))-INDEX(BP!$C$5:$C$9,MATCH(B1362,BP!$A$5:$A$9,1)))/(INDEX(BP!$B$5:$B$9,MATCH(B1362,BP!$A$5:$A$9,1))-INDEX(BP!$A$5:$A$9,MATCH(B1362,BP!$A$5:$A$9,1)))*(B1362-INDEX(BP!$A$5:$A$9,MATCH(B1362,BP!$A$5:$A$9,1)))+INDEX(BP!$C$5:$C$9,MATCH(B1362,BP!$A$5:$A$9,1)),0))</f>
        <v>17</v>
      </c>
      <c r="D1362" s="12" t="str">
        <f aca="false">IF(NOT(ISNUMBER(C1362)),"",INDEX(BP!$F$5:$F$9,MATCH(C1362,BP!$E$5:$E$9,1)))</f>
        <v>ดีมาก</v>
      </c>
      <c r="E1362" s="12" t="n">
        <f aca="false">YEAR(A1362)</f>
        <v>2024</v>
      </c>
      <c r="F1362" s="12" t="n">
        <f aca="false">MONTH(A1362)</f>
        <v>9</v>
      </c>
      <c r="G1362" s="12" t="n">
        <v>11.9</v>
      </c>
      <c r="H1362" s="12" t="n">
        <v>34.9</v>
      </c>
      <c r="I1362" s="12" t="n">
        <v>221</v>
      </c>
      <c r="J1362" s="12" t="n">
        <v>0.8</v>
      </c>
      <c r="K1362" s="12" t="n">
        <v>8.6</v>
      </c>
      <c r="L1362" s="12" t="s">
        <v>35</v>
      </c>
    </row>
    <row r="1363" customFormat="false" ht="15" hidden="false" customHeight="false" outlineLevel="0" collapsed="false">
      <c r="A1363" s="11" t="n">
        <v>45558</v>
      </c>
      <c r="B1363" s="12" t="n">
        <v>10.4</v>
      </c>
      <c r="C1363" s="12" t="n">
        <f aca="false">IF(NOT(ISNUMBER(B1363)),"",ROUND((INDEX(BP!$D$5:$D$9,MATCH(B1363,BP!$A$5:$A$9,1))-INDEX(BP!$C$5:$C$9,MATCH(B1363,BP!$A$5:$A$9,1)))/(INDEX(BP!$B$5:$B$9,MATCH(B1363,BP!$A$5:$A$9,1))-INDEX(BP!$A$5:$A$9,MATCH(B1363,BP!$A$5:$A$9,1)))*(B1363-INDEX(BP!$A$5:$A$9,MATCH(B1363,BP!$A$5:$A$9,1)))+INDEX(BP!$C$5:$C$9,MATCH(B1363,BP!$A$5:$A$9,1)),0))</f>
        <v>17</v>
      </c>
      <c r="D1363" s="12" t="str">
        <f aca="false">IF(NOT(ISNUMBER(C1363)),"",INDEX(BP!$F$5:$F$9,MATCH(C1363,BP!$E$5:$E$9,1)))</f>
        <v>ดีมาก</v>
      </c>
      <c r="E1363" s="12" t="n">
        <f aca="false">YEAR(A1363)</f>
        <v>2024</v>
      </c>
      <c r="F1363" s="12" t="n">
        <f aca="false">MONTH(A1363)</f>
        <v>9</v>
      </c>
      <c r="G1363" s="12" t="n">
        <v>10.1</v>
      </c>
      <c r="H1363" s="12" t="n">
        <v>27.7</v>
      </c>
      <c r="I1363" s="12" t="n">
        <v>122</v>
      </c>
      <c r="J1363" s="12" t="n">
        <v>10.5</v>
      </c>
      <c r="K1363" s="12" t="n">
        <v>56.6</v>
      </c>
      <c r="L1363" s="12" t="s">
        <v>36</v>
      </c>
    </row>
    <row r="1364" customFormat="false" ht="15" hidden="false" customHeight="false" outlineLevel="0" collapsed="false">
      <c r="A1364" s="11" t="n">
        <v>45559</v>
      </c>
      <c r="B1364" s="12" t="n">
        <v>10</v>
      </c>
      <c r="C1364" s="12" t="n">
        <f aca="false">IF(NOT(ISNUMBER(B1364)),"",ROUND((INDEX(BP!$D$5:$D$9,MATCH(B1364,BP!$A$5:$A$9,1))-INDEX(BP!$C$5:$C$9,MATCH(B1364,BP!$A$5:$A$9,1)))/(INDEX(BP!$B$5:$B$9,MATCH(B1364,BP!$A$5:$A$9,1))-INDEX(BP!$A$5:$A$9,MATCH(B1364,BP!$A$5:$A$9,1)))*(B1364-INDEX(BP!$A$5:$A$9,MATCH(B1364,BP!$A$5:$A$9,1)))+INDEX(BP!$C$5:$C$9,MATCH(B1364,BP!$A$5:$A$9,1)),0))</f>
        <v>17</v>
      </c>
      <c r="D1364" s="12" t="str">
        <f aca="false">IF(NOT(ISNUMBER(C1364)),"",INDEX(BP!$F$5:$F$9,MATCH(C1364,BP!$E$5:$E$9,1)))</f>
        <v>ดีมาก</v>
      </c>
      <c r="E1364" s="12" t="n">
        <f aca="false">YEAR(A1364)</f>
        <v>2024</v>
      </c>
      <c r="F1364" s="12" t="n">
        <f aca="false">MONTH(A1364)</f>
        <v>9</v>
      </c>
      <c r="G1364" s="12" t="n">
        <v>9</v>
      </c>
      <c r="H1364" s="12" t="n">
        <v>21.2</v>
      </c>
      <c r="I1364" s="12" t="n">
        <v>211</v>
      </c>
      <c r="J1364" s="12" t="n">
        <v>1.6</v>
      </c>
      <c r="K1364" s="12" t="n">
        <v>1</v>
      </c>
      <c r="L1364" s="12" t="s">
        <v>36</v>
      </c>
    </row>
    <row r="1365" customFormat="false" ht="15" hidden="false" customHeight="false" outlineLevel="0" collapsed="false">
      <c r="A1365" s="11" t="n">
        <v>45560</v>
      </c>
      <c r="B1365" s="12" t="n">
        <v>9.6</v>
      </c>
      <c r="C1365" s="12" t="n">
        <f aca="false">IF(NOT(ISNUMBER(B1365)),"",ROUND((INDEX(BP!$D$5:$D$9,MATCH(B1365,BP!$A$5:$A$9,1))-INDEX(BP!$C$5:$C$9,MATCH(B1365,BP!$A$5:$A$9,1)))/(INDEX(BP!$B$5:$B$9,MATCH(B1365,BP!$A$5:$A$9,1))-INDEX(BP!$A$5:$A$9,MATCH(B1365,BP!$A$5:$A$9,1)))*(B1365-INDEX(BP!$A$5:$A$9,MATCH(B1365,BP!$A$5:$A$9,1)))+INDEX(BP!$C$5:$C$9,MATCH(B1365,BP!$A$5:$A$9,1)),0))</f>
        <v>16</v>
      </c>
      <c r="D1365" s="12" t="str">
        <f aca="false">IF(NOT(ISNUMBER(C1365)),"",INDEX(BP!$F$5:$F$9,MATCH(C1365,BP!$E$5:$E$9,1)))</f>
        <v>ดีมาก</v>
      </c>
      <c r="E1365" s="12" t="n">
        <f aca="false">YEAR(A1365)</f>
        <v>2024</v>
      </c>
      <c r="F1365" s="12" t="n">
        <f aca="false">MONTH(A1365)</f>
        <v>9</v>
      </c>
      <c r="G1365" s="12" t="n">
        <v>13.9</v>
      </c>
      <c r="H1365" s="12" t="n">
        <v>33.5</v>
      </c>
      <c r="I1365" s="12" t="n">
        <v>57</v>
      </c>
      <c r="J1365" s="12" t="n">
        <v>2.2</v>
      </c>
      <c r="K1365" s="12" t="n">
        <v>36.6</v>
      </c>
      <c r="L1365" s="12" t="s">
        <v>36</v>
      </c>
    </row>
    <row r="1366" customFormat="false" ht="15" hidden="false" customHeight="false" outlineLevel="0" collapsed="false">
      <c r="A1366" s="11" t="n">
        <v>45561</v>
      </c>
      <c r="B1366" s="12" t="n">
        <v>9.7</v>
      </c>
      <c r="C1366" s="12" t="n">
        <f aca="false">IF(NOT(ISNUMBER(B1366)),"",ROUND((INDEX(BP!$D$5:$D$9,MATCH(B1366,BP!$A$5:$A$9,1))-INDEX(BP!$C$5:$C$9,MATCH(B1366,BP!$A$5:$A$9,1)))/(INDEX(BP!$B$5:$B$9,MATCH(B1366,BP!$A$5:$A$9,1))-INDEX(BP!$A$5:$A$9,MATCH(B1366,BP!$A$5:$A$9,1)))*(B1366-INDEX(BP!$A$5:$A$9,MATCH(B1366,BP!$A$5:$A$9,1)))+INDEX(BP!$C$5:$C$9,MATCH(B1366,BP!$A$5:$A$9,1)),0))</f>
        <v>16</v>
      </c>
      <c r="D1366" s="12" t="str">
        <f aca="false">IF(NOT(ISNUMBER(C1366)),"",INDEX(BP!$F$5:$F$9,MATCH(C1366,BP!$E$5:$E$9,1)))</f>
        <v>ดีมาก</v>
      </c>
      <c r="E1366" s="12" t="n">
        <f aca="false">YEAR(A1366)</f>
        <v>2024</v>
      </c>
      <c r="F1366" s="12" t="n">
        <f aca="false">MONTH(A1366)</f>
        <v>9</v>
      </c>
      <c r="G1366" s="12" t="n">
        <v>13</v>
      </c>
      <c r="H1366" s="12" t="n">
        <v>30.2</v>
      </c>
      <c r="I1366" s="12" t="n">
        <v>102</v>
      </c>
      <c r="J1366" s="12" t="n">
        <v>13.1</v>
      </c>
      <c r="K1366" s="12" t="n">
        <v>0.8</v>
      </c>
      <c r="L1366" s="12" t="s">
        <v>36</v>
      </c>
    </row>
    <row r="1367" customFormat="false" ht="15" hidden="false" customHeight="false" outlineLevel="0" collapsed="false">
      <c r="A1367" s="11" t="n">
        <v>45562</v>
      </c>
      <c r="B1367" s="12" t="n">
        <v>8.7</v>
      </c>
      <c r="C1367" s="12" t="n">
        <f aca="false">IF(NOT(ISNUMBER(B1367)),"",ROUND((INDEX(BP!$D$5:$D$9,MATCH(B1367,BP!$A$5:$A$9,1))-INDEX(BP!$C$5:$C$9,MATCH(B1367,BP!$A$5:$A$9,1)))/(INDEX(BP!$B$5:$B$9,MATCH(B1367,BP!$A$5:$A$9,1))-INDEX(BP!$A$5:$A$9,MATCH(B1367,BP!$A$5:$A$9,1)))*(B1367-INDEX(BP!$A$5:$A$9,MATCH(B1367,BP!$A$5:$A$9,1)))+INDEX(BP!$C$5:$C$9,MATCH(B1367,BP!$A$5:$A$9,1)),0))</f>
        <v>15</v>
      </c>
      <c r="D1367" s="12" t="str">
        <f aca="false">IF(NOT(ISNUMBER(C1367)),"",INDEX(BP!$F$5:$F$9,MATCH(C1367,BP!$E$5:$E$9,1)))</f>
        <v>ดีมาก</v>
      </c>
      <c r="E1367" s="12" t="n">
        <f aca="false">YEAR(A1367)</f>
        <v>2024</v>
      </c>
      <c r="F1367" s="12" t="n">
        <f aca="false">MONTH(A1367)</f>
        <v>9</v>
      </c>
      <c r="G1367" s="12" t="n">
        <v>11.8</v>
      </c>
      <c r="H1367" s="12" t="n">
        <v>28.1</v>
      </c>
      <c r="I1367" s="12" t="n">
        <v>61</v>
      </c>
      <c r="J1367" s="12" t="n">
        <v>4.9</v>
      </c>
      <c r="K1367" s="12" t="n">
        <v>0</v>
      </c>
      <c r="L1367" s="12" t="s">
        <v>36</v>
      </c>
    </row>
    <row r="1368" customFormat="false" ht="15" hidden="false" customHeight="false" outlineLevel="0" collapsed="false">
      <c r="A1368" s="11" t="n">
        <v>45563</v>
      </c>
      <c r="B1368" s="12" t="n">
        <v>11.2</v>
      </c>
      <c r="C1368" s="12" t="n">
        <f aca="false">IF(NOT(ISNUMBER(B1368)),"",ROUND((INDEX(BP!$D$5:$D$9,MATCH(B1368,BP!$A$5:$A$9,1))-INDEX(BP!$C$5:$C$9,MATCH(B1368,BP!$A$5:$A$9,1)))/(INDEX(BP!$B$5:$B$9,MATCH(B1368,BP!$A$5:$A$9,1))-INDEX(BP!$A$5:$A$9,MATCH(B1368,BP!$A$5:$A$9,1)))*(B1368-INDEX(BP!$A$5:$A$9,MATCH(B1368,BP!$A$5:$A$9,1)))+INDEX(BP!$C$5:$C$9,MATCH(B1368,BP!$A$5:$A$9,1)),0))</f>
        <v>19</v>
      </c>
      <c r="D1368" s="12" t="str">
        <f aca="false">IF(NOT(ISNUMBER(C1368)),"",INDEX(BP!$F$5:$F$9,MATCH(C1368,BP!$E$5:$E$9,1)))</f>
        <v>ดีมาก</v>
      </c>
      <c r="E1368" s="12" t="n">
        <f aca="false">YEAR(A1368)</f>
        <v>2024</v>
      </c>
      <c r="F1368" s="12" t="n">
        <f aca="false">MONTH(A1368)</f>
        <v>9</v>
      </c>
      <c r="G1368" s="12" t="n">
        <v>10.1</v>
      </c>
      <c r="H1368" s="12" t="n">
        <v>25.9</v>
      </c>
      <c r="I1368" s="12" t="n">
        <v>167</v>
      </c>
      <c r="J1368" s="12" t="n">
        <v>6.7</v>
      </c>
      <c r="K1368" s="12" t="n">
        <v>9</v>
      </c>
      <c r="L1368" s="12" t="s">
        <v>35</v>
      </c>
    </row>
    <row r="1369" customFormat="false" ht="15" hidden="false" customHeight="false" outlineLevel="0" collapsed="false">
      <c r="A1369" s="11" t="n">
        <v>45564</v>
      </c>
      <c r="B1369" s="12" t="n">
        <v>11.3</v>
      </c>
      <c r="C1369" s="12" t="n">
        <f aca="false">IF(NOT(ISNUMBER(B1369)),"",ROUND((INDEX(BP!$D$5:$D$9,MATCH(B1369,BP!$A$5:$A$9,1))-INDEX(BP!$C$5:$C$9,MATCH(B1369,BP!$A$5:$A$9,1)))/(INDEX(BP!$B$5:$B$9,MATCH(B1369,BP!$A$5:$A$9,1))-INDEX(BP!$A$5:$A$9,MATCH(B1369,BP!$A$5:$A$9,1)))*(B1369-INDEX(BP!$A$5:$A$9,MATCH(B1369,BP!$A$5:$A$9,1)))+INDEX(BP!$C$5:$C$9,MATCH(B1369,BP!$A$5:$A$9,1)),0))</f>
        <v>19</v>
      </c>
      <c r="D1369" s="12" t="str">
        <f aca="false">IF(NOT(ISNUMBER(C1369)),"",INDEX(BP!$F$5:$F$9,MATCH(C1369,BP!$E$5:$E$9,1)))</f>
        <v>ดีมาก</v>
      </c>
      <c r="E1369" s="12" t="n">
        <f aca="false">YEAR(A1369)</f>
        <v>2024</v>
      </c>
      <c r="F1369" s="12" t="n">
        <f aca="false">MONTH(A1369)</f>
        <v>9</v>
      </c>
      <c r="G1369" s="12" t="n">
        <v>12.3</v>
      </c>
      <c r="H1369" s="12" t="n">
        <v>26.3</v>
      </c>
      <c r="I1369" s="12" t="n">
        <v>227</v>
      </c>
      <c r="J1369" s="12" t="n">
        <v>3.2</v>
      </c>
      <c r="K1369" s="12" t="n">
        <v>0</v>
      </c>
      <c r="L1369" s="12" t="s">
        <v>35</v>
      </c>
    </row>
    <row r="1370" customFormat="false" ht="15" hidden="false" customHeight="false" outlineLevel="0" collapsed="false">
      <c r="A1370" s="11" t="n">
        <v>45565</v>
      </c>
      <c r="B1370" s="12" t="n">
        <v>9.8</v>
      </c>
      <c r="C1370" s="12" t="n">
        <f aca="false">IF(NOT(ISNUMBER(B1370)),"",ROUND((INDEX(BP!$D$5:$D$9,MATCH(B1370,BP!$A$5:$A$9,1))-INDEX(BP!$C$5:$C$9,MATCH(B1370,BP!$A$5:$A$9,1)))/(INDEX(BP!$B$5:$B$9,MATCH(B1370,BP!$A$5:$A$9,1))-INDEX(BP!$A$5:$A$9,MATCH(B1370,BP!$A$5:$A$9,1)))*(B1370-INDEX(BP!$A$5:$A$9,MATCH(B1370,BP!$A$5:$A$9,1)))+INDEX(BP!$C$5:$C$9,MATCH(B1370,BP!$A$5:$A$9,1)),0))</f>
        <v>16</v>
      </c>
      <c r="D1370" s="12" t="str">
        <f aca="false">IF(NOT(ISNUMBER(C1370)),"",INDEX(BP!$F$5:$F$9,MATCH(C1370,BP!$E$5:$E$9,1)))</f>
        <v>ดีมาก</v>
      </c>
      <c r="E1370" s="12" t="n">
        <f aca="false">YEAR(A1370)</f>
        <v>2024</v>
      </c>
      <c r="F1370" s="12" t="n">
        <f aca="false">MONTH(A1370)</f>
        <v>9</v>
      </c>
      <c r="G1370" s="12" t="n">
        <v>10.9</v>
      </c>
      <c r="H1370" s="12" t="n">
        <v>29.2</v>
      </c>
      <c r="I1370" s="12" t="n">
        <v>223</v>
      </c>
      <c r="J1370" s="12" t="n">
        <v>7.2</v>
      </c>
      <c r="K1370" s="12" t="n">
        <v>2</v>
      </c>
      <c r="L1370" s="12" t="s">
        <v>36</v>
      </c>
    </row>
    <row r="1371" customFormat="false" ht="15" hidden="false" customHeight="false" outlineLevel="0" collapsed="false">
      <c r="A1371" s="11" t="n">
        <v>45566</v>
      </c>
      <c r="B1371" s="12" t="n">
        <v>9.3</v>
      </c>
      <c r="C1371" s="12" t="n">
        <f aca="false">IF(NOT(ISNUMBER(B1371)),"",ROUND((INDEX(BP!$D$5:$D$9,MATCH(B1371,BP!$A$5:$A$9,1))-INDEX(BP!$C$5:$C$9,MATCH(B1371,BP!$A$5:$A$9,1)))/(INDEX(BP!$B$5:$B$9,MATCH(B1371,BP!$A$5:$A$9,1))-INDEX(BP!$A$5:$A$9,MATCH(B1371,BP!$A$5:$A$9,1)))*(B1371-INDEX(BP!$A$5:$A$9,MATCH(B1371,BP!$A$5:$A$9,1)))+INDEX(BP!$C$5:$C$9,MATCH(B1371,BP!$A$5:$A$9,1)),0))</f>
        <v>16</v>
      </c>
      <c r="D1371" s="12" t="str">
        <f aca="false">IF(NOT(ISNUMBER(C1371)),"",INDEX(BP!$F$5:$F$9,MATCH(C1371,BP!$E$5:$E$9,1)))</f>
        <v>ดีมาก</v>
      </c>
      <c r="E1371" s="12" t="n">
        <f aca="false">YEAR(A1371)</f>
        <v>2024</v>
      </c>
      <c r="F1371" s="12" t="n">
        <f aca="false">MONTH(A1371)</f>
        <v>10</v>
      </c>
      <c r="G1371" s="12" t="n">
        <v>16.5</v>
      </c>
      <c r="H1371" s="12" t="n">
        <v>37.1</v>
      </c>
      <c r="I1371" s="12" t="n">
        <v>225</v>
      </c>
      <c r="J1371" s="12" t="n">
        <v>2</v>
      </c>
      <c r="K1371" s="12" t="n">
        <v>0</v>
      </c>
      <c r="L1371" s="12" t="s">
        <v>36</v>
      </c>
    </row>
    <row r="1372" customFormat="false" ht="15" hidden="false" customHeight="false" outlineLevel="0" collapsed="false">
      <c r="A1372" s="11" t="n">
        <v>45567</v>
      </c>
      <c r="B1372" s="12" t="n">
        <v>9.3</v>
      </c>
      <c r="C1372" s="12" t="n">
        <f aca="false">IF(NOT(ISNUMBER(B1372)),"",ROUND((INDEX(BP!$D$5:$D$9,MATCH(B1372,BP!$A$5:$A$9,1))-INDEX(BP!$C$5:$C$9,MATCH(B1372,BP!$A$5:$A$9,1)))/(INDEX(BP!$B$5:$B$9,MATCH(B1372,BP!$A$5:$A$9,1))-INDEX(BP!$A$5:$A$9,MATCH(B1372,BP!$A$5:$A$9,1)))*(B1372-INDEX(BP!$A$5:$A$9,MATCH(B1372,BP!$A$5:$A$9,1)))+INDEX(BP!$C$5:$C$9,MATCH(B1372,BP!$A$5:$A$9,1)),0))</f>
        <v>16</v>
      </c>
      <c r="D1372" s="12" t="str">
        <f aca="false">IF(NOT(ISNUMBER(C1372)),"",INDEX(BP!$F$5:$F$9,MATCH(C1372,BP!$E$5:$E$9,1)))</f>
        <v>ดีมาก</v>
      </c>
      <c r="E1372" s="12" t="n">
        <f aca="false">YEAR(A1372)</f>
        <v>2024</v>
      </c>
      <c r="F1372" s="12" t="n">
        <f aca="false">MONTH(A1372)</f>
        <v>10</v>
      </c>
      <c r="G1372" s="12" t="n">
        <v>9.9</v>
      </c>
      <c r="H1372" s="12" t="n">
        <v>28.1</v>
      </c>
      <c r="I1372" s="12" t="n">
        <v>208</v>
      </c>
      <c r="J1372" s="12" t="n">
        <v>9.7</v>
      </c>
      <c r="K1372" s="12" t="n">
        <v>1.2</v>
      </c>
      <c r="L1372" s="12" t="s">
        <v>36</v>
      </c>
    </row>
    <row r="1373" customFormat="false" ht="15" hidden="false" customHeight="false" outlineLevel="0" collapsed="false">
      <c r="A1373" s="11" t="n">
        <v>45568</v>
      </c>
      <c r="B1373" s="12" t="n">
        <v>9.3</v>
      </c>
      <c r="C1373" s="12" t="n">
        <f aca="false">IF(NOT(ISNUMBER(B1373)),"",ROUND((INDEX(BP!$D$5:$D$9,MATCH(B1373,BP!$A$5:$A$9,1))-INDEX(BP!$C$5:$C$9,MATCH(B1373,BP!$A$5:$A$9,1)))/(INDEX(BP!$B$5:$B$9,MATCH(B1373,BP!$A$5:$A$9,1))-INDEX(BP!$A$5:$A$9,MATCH(B1373,BP!$A$5:$A$9,1)))*(B1373-INDEX(BP!$A$5:$A$9,MATCH(B1373,BP!$A$5:$A$9,1)))+INDEX(BP!$C$5:$C$9,MATCH(B1373,BP!$A$5:$A$9,1)),0))</f>
        <v>16</v>
      </c>
      <c r="D1373" s="12" t="str">
        <f aca="false">IF(NOT(ISNUMBER(C1373)),"",INDEX(BP!$F$5:$F$9,MATCH(C1373,BP!$E$5:$E$9,1)))</f>
        <v>ดีมาก</v>
      </c>
      <c r="E1373" s="12" t="n">
        <f aca="false">YEAR(A1373)</f>
        <v>2024</v>
      </c>
      <c r="F1373" s="12" t="n">
        <f aca="false">MONTH(A1373)</f>
        <v>10</v>
      </c>
      <c r="G1373" s="12" t="n">
        <v>11.3</v>
      </c>
      <c r="H1373" s="12" t="n">
        <v>24.5</v>
      </c>
      <c r="I1373" s="12" t="n">
        <v>212</v>
      </c>
      <c r="J1373" s="12" t="n">
        <v>17.4</v>
      </c>
      <c r="K1373" s="12" t="n">
        <v>36.6</v>
      </c>
      <c r="L1373" s="12" t="s">
        <v>36</v>
      </c>
    </row>
    <row r="1374" customFormat="false" ht="15" hidden="false" customHeight="false" outlineLevel="0" collapsed="false">
      <c r="A1374" s="11" t="n">
        <v>45569</v>
      </c>
      <c r="B1374" s="12" t="n">
        <v>9</v>
      </c>
      <c r="C1374" s="12" t="n">
        <f aca="false">IF(NOT(ISNUMBER(B1374)),"",ROUND((INDEX(BP!$D$5:$D$9,MATCH(B1374,BP!$A$5:$A$9,1))-INDEX(BP!$C$5:$C$9,MATCH(B1374,BP!$A$5:$A$9,1)))/(INDEX(BP!$B$5:$B$9,MATCH(B1374,BP!$A$5:$A$9,1))-INDEX(BP!$A$5:$A$9,MATCH(B1374,BP!$A$5:$A$9,1)))*(B1374-INDEX(BP!$A$5:$A$9,MATCH(B1374,BP!$A$5:$A$9,1)))+INDEX(BP!$C$5:$C$9,MATCH(B1374,BP!$A$5:$A$9,1)),0))</f>
        <v>15</v>
      </c>
      <c r="D1374" s="12" t="str">
        <f aca="false">IF(NOT(ISNUMBER(C1374)),"",INDEX(BP!$F$5:$F$9,MATCH(C1374,BP!$E$5:$E$9,1)))</f>
        <v>ดีมาก</v>
      </c>
      <c r="E1374" s="12" t="n">
        <f aca="false">YEAR(A1374)</f>
        <v>2024</v>
      </c>
      <c r="F1374" s="12" t="n">
        <f aca="false">MONTH(A1374)</f>
        <v>10</v>
      </c>
      <c r="G1374" s="12" t="n">
        <v>11.8</v>
      </c>
      <c r="H1374" s="12" t="n">
        <v>28.4</v>
      </c>
      <c r="I1374" s="12" t="n">
        <v>72</v>
      </c>
      <c r="J1374" s="12" t="n">
        <v>5.2</v>
      </c>
      <c r="K1374" s="12" t="n">
        <v>17</v>
      </c>
      <c r="L1374" s="12" t="s">
        <v>36</v>
      </c>
    </row>
    <row r="1375" customFormat="false" ht="15" hidden="false" customHeight="false" outlineLevel="0" collapsed="false">
      <c r="A1375" s="11" t="n">
        <v>45570</v>
      </c>
      <c r="B1375" s="12"/>
      <c r="C1375" s="12" t="str">
        <f aca="false">IF(NOT(ISNUMBER(B1375)),"",ROUND((INDEX(BP!$D$5:$D$9,MATCH(B1375,BP!$A$5:$A$9,1))-INDEX(BP!$C$5:$C$9,MATCH(B1375,BP!$A$5:$A$9,1)))/(INDEX(BP!$B$5:$B$9,MATCH(B1375,BP!$A$5:$A$9,1))-INDEX(BP!$A$5:$A$9,MATCH(B1375,BP!$A$5:$A$9,1)))*(B1375-INDEX(BP!$A$5:$A$9,MATCH(B1375,BP!$A$5:$A$9,1)))+INDEX(BP!$C$5:$C$9,MATCH(B1375,BP!$A$5:$A$9,1)),0))</f>
        <v/>
      </c>
      <c r="D1375" s="12" t="str">
        <f aca="false">IF(NOT(ISNUMBER(C1375)),"",INDEX(BP!$F$5:$F$9,MATCH(C1375,BP!$E$5:$E$9,1)))</f>
        <v/>
      </c>
      <c r="E1375" s="12" t="n">
        <f aca="false">YEAR(A1375)</f>
        <v>2024</v>
      </c>
      <c r="F1375" s="12" t="n">
        <f aca="false">MONTH(A1375)</f>
        <v>10</v>
      </c>
      <c r="G1375" s="12" t="n">
        <v>12.2</v>
      </c>
      <c r="H1375" s="12" t="n">
        <v>31</v>
      </c>
      <c r="I1375" s="12" t="n">
        <v>78</v>
      </c>
      <c r="J1375" s="12" t="n">
        <v>41.4</v>
      </c>
      <c r="K1375" s="12" t="n">
        <v>36.6</v>
      </c>
      <c r="L1375" s="12" t="s">
        <v>35</v>
      </c>
    </row>
    <row r="1376" customFormat="false" ht="15" hidden="false" customHeight="false" outlineLevel="0" collapsed="false">
      <c r="A1376" s="11" t="n">
        <v>45571</v>
      </c>
      <c r="B1376" s="12" t="n">
        <v>7.8</v>
      </c>
      <c r="C1376" s="12" t="n">
        <f aca="false">IF(NOT(ISNUMBER(B1376)),"",ROUND((INDEX(BP!$D$5:$D$9,MATCH(B1376,BP!$A$5:$A$9,1))-INDEX(BP!$C$5:$C$9,MATCH(B1376,BP!$A$5:$A$9,1)))/(INDEX(BP!$B$5:$B$9,MATCH(B1376,BP!$A$5:$A$9,1))-INDEX(BP!$A$5:$A$9,MATCH(B1376,BP!$A$5:$A$9,1)))*(B1376-INDEX(BP!$A$5:$A$9,MATCH(B1376,BP!$A$5:$A$9,1)))+INDEX(BP!$C$5:$C$9,MATCH(B1376,BP!$A$5:$A$9,1)),0))</f>
        <v>13</v>
      </c>
      <c r="D1376" s="12" t="str">
        <f aca="false">IF(NOT(ISNUMBER(C1376)),"",INDEX(BP!$F$5:$F$9,MATCH(C1376,BP!$E$5:$E$9,1)))</f>
        <v>ดีมาก</v>
      </c>
      <c r="E1376" s="12" t="n">
        <f aca="false">YEAR(A1376)</f>
        <v>2024</v>
      </c>
      <c r="F1376" s="12" t="n">
        <f aca="false">MONTH(A1376)</f>
        <v>10</v>
      </c>
      <c r="G1376" s="12" t="n">
        <v>10.9</v>
      </c>
      <c r="H1376" s="12" t="n">
        <v>23.4</v>
      </c>
      <c r="I1376" s="12" t="n">
        <v>215</v>
      </c>
      <c r="J1376" s="12" t="n">
        <v>18.4</v>
      </c>
      <c r="K1376" s="12" t="n">
        <v>6</v>
      </c>
      <c r="L1376" s="12" t="s">
        <v>35</v>
      </c>
    </row>
    <row r="1377" customFormat="false" ht="15" hidden="false" customHeight="false" outlineLevel="0" collapsed="false">
      <c r="A1377" s="11" t="n">
        <v>45572</v>
      </c>
      <c r="B1377" s="12" t="n">
        <v>8.3</v>
      </c>
      <c r="C1377" s="12" t="n">
        <f aca="false">IF(NOT(ISNUMBER(B1377)),"",ROUND((INDEX(BP!$D$5:$D$9,MATCH(B1377,BP!$A$5:$A$9,1))-INDEX(BP!$C$5:$C$9,MATCH(B1377,BP!$A$5:$A$9,1)))/(INDEX(BP!$B$5:$B$9,MATCH(B1377,BP!$A$5:$A$9,1))-INDEX(BP!$A$5:$A$9,MATCH(B1377,BP!$A$5:$A$9,1)))*(B1377-INDEX(BP!$A$5:$A$9,MATCH(B1377,BP!$A$5:$A$9,1)))+INDEX(BP!$C$5:$C$9,MATCH(B1377,BP!$A$5:$A$9,1)),0))</f>
        <v>14</v>
      </c>
      <c r="D1377" s="12" t="str">
        <f aca="false">IF(NOT(ISNUMBER(C1377)),"",INDEX(BP!$F$5:$F$9,MATCH(C1377,BP!$E$5:$E$9,1)))</f>
        <v>ดีมาก</v>
      </c>
      <c r="E1377" s="12" t="n">
        <f aca="false">YEAR(A1377)</f>
        <v>2024</v>
      </c>
      <c r="F1377" s="12" t="n">
        <f aca="false">MONTH(A1377)</f>
        <v>10</v>
      </c>
      <c r="G1377" s="12" t="n">
        <v>13</v>
      </c>
      <c r="H1377" s="12" t="n">
        <v>30.6</v>
      </c>
      <c r="I1377" s="12" t="n">
        <v>96</v>
      </c>
      <c r="J1377" s="12" t="n">
        <v>1.7</v>
      </c>
      <c r="K1377" s="12" t="n">
        <v>0.4</v>
      </c>
      <c r="L1377" s="12" t="s">
        <v>36</v>
      </c>
    </row>
    <row r="1378" customFormat="false" ht="15" hidden="false" customHeight="false" outlineLevel="0" collapsed="false">
      <c r="A1378" s="11" t="n">
        <v>45573</v>
      </c>
      <c r="B1378" s="12" t="n">
        <v>9.1</v>
      </c>
      <c r="C1378" s="12" t="n">
        <f aca="false">IF(NOT(ISNUMBER(B1378)),"",ROUND((INDEX(BP!$D$5:$D$9,MATCH(B1378,BP!$A$5:$A$9,1))-INDEX(BP!$C$5:$C$9,MATCH(B1378,BP!$A$5:$A$9,1)))/(INDEX(BP!$B$5:$B$9,MATCH(B1378,BP!$A$5:$A$9,1))-INDEX(BP!$A$5:$A$9,MATCH(B1378,BP!$A$5:$A$9,1)))*(B1378-INDEX(BP!$A$5:$A$9,MATCH(B1378,BP!$A$5:$A$9,1)))+INDEX(BP!$C$5:$C$9,MATCH(B1378,BP!$A$5:$A$9,1)),0))</f>
        <v>15</v>
      </c>
      <c r="D1378" s="12" t="str">
        <f aca="false">IF(NOT(ISNUMBER(C1378)),"",INDEX(BP!$F$5:$F$9,MATCH(C1378,BP!$E$5:$E$9,1)))</f>
        <v>ดีมาก</v>
      </c>
      <c r="E1378" s="12" t="n">
        <f aca="false">YEAR(A1378)</f>
        <v>2024</v>
      </c>
      <c r="F1378" s="12" t="n">
        <f aca="false">MONTH(A1378)</f>
        <v>10</v>
      </c>
      <c r="G1378" s="12" t="n">
        <v>10.1</v>
      </c>
      <c r="H1378" s="12" t="n">
        <v>26.6</v>
      </c>
      <c r="I1378" s="12" t="n">
        <v>233</v>
      </c>
      <c r="J1378" s="12" t="n">
        <v>9.9</v>
      </c>
      <c r="K1378" s="12" t="n">
        <v>9.8</v>
      </c>
      <c r="L1378" s="12" t="s">
        <v>36</v>
      </c>
    </row>
    <row r="1379" customFormat="false" ht="15" hidden="false" customHeight="false" outlineLevel="0" collapsed="false">
      <c r="A1379" s="11" t="n">
        <v>45574</v>
      </c>
      <c r="B1379" s="12" t="n">
        <v>11</v>
      </c>
      <c r="C1379" s="12" t="n">
        <f aca="false">IF(NOT(ISNUMBER(B1379)),"",ROUND((INDEX(BP!$D$5:$D$9,MATCH(B1379,BP!$A$5:$A$9,1))-INDEX(BP!$C$5:$C$9,MATCH(B1379,BP!$A$5:$A$9,1)))/(INDEX(BP!$B$5:$B$9,MATCH(B1379,BP!$A$5:$A$9,1))-INDEX(BP!$A$5:$A$9,MATCH(B1379,BP!$A$5:$A$9,1)))*(B1379-INDEX(BP!$A$5:$A$9,MATCH(B1379,BP!$A$5:$A$9,1)))+INDEX(BP!$C$5:$C$9,MATCH(B1379,BP!$A$5:$A$9,1)),0))</f>
        <v>18</v>
      </c>
      <c r="D1379" s="12" t="str">
        <f aca="false">IF(NOT(ISNUMBER(C1379)),"",INDEX(BP!$F$5:$F$9,MATCH(C1379,BP!$E$5:$E$9,1)))</f>
        <v>ดีมาก</v>
      </c>
      <c r="E1379" s="12" t="n">
        <f aca="false">YEAR(A1379)</f>
        <v>2024</v>
      </c>
      <c r="F1379" s="12" t="n">
        <f aca="false">MONTH(A1379)</f>
        <v>10</v>
      </c>
      <c r="G1379" s="12" t="n">
        <v>11.5</v>
      </c>
      <c r="H1379" s="12" t="n">
        <v>26.6</v>
      </c>
      <c r="I1379" s="12" t="n">
        <v>244</v>
      </c>
      <c r="J1379" s="12" t="n">
        <v>3.4</v>
      </c>
      <c r="K1379" s="12" t="n">
        <v>39.8</v>
      </c>
      <c r="L1379" s="12" t="s">
        <v>36</v>
      </c>
    </row>
    <row r="1380" customFormat="false" ht="15" hidden="false" customHeight="false" outlineLevel="0" collapsed="false">
      <c r="A1380" s="11" t="n">
        <v>45575</v>
      </c>
      <c r="B1380" s="12" t="n">
        <v>11</v>
      </c>
      <c r="C1380" s="12" t="n">
        <f aca="false">IF(NOT(ISNUMBER(B1380)),"",ROUND((INDEX(BP!$D$5:$D$9,MATCH(B1380,BP!$A$5:$A$9,1))-INDEX(BP!$C$5:$C$9,MATCH(B1380,BP!$A$5:$A$9,1)))/(INDEX(BP!$B$5:$B$9,MATCH(B1380,BP!$A$5:$A$9,1))-INDEX(BP!$A$5:$A$9,MATCH(B1380,BP!$A$5:$A$9,1)))*(B1380-INDEX(BP!$A$5:$A$9,MATCH(B1380,BP!$A$5:$A$9,1)))+INDEX(BP!$C$5:$C$9,MATCH(B1380,BP!$A$5:$A$9,1)),0))</f>
        <v>18</v>
      </c>
      <c r="D1380" s="12" t="str">
        <f aca="false">IF(NOT(ISNUMBER(C1380)),"",INDEX(BP!$F$5:$F$9,MATCH(C1380,BP!$E$5:$E$9,1)))</f>
        <v>ดีมาก</v>
      </c>
      <c r="E1380" s="12" t="n">
        <f aca="false">YEAR(A1380)</f>
        <v>2024</v>
      </c>
      <c r="F1380" s="12" t="n">
        <f aca="false">MONTH(A1380)</f>
        <v>10</v>
      </c>
      <c r="G1380" s="12" t="n">
        <v>12</v>
      </c>
      <c r="H1380" s="12" t="n">
        <v>25.6</v>
      </c>
      <c r="I1380" s="12" t="n">
        <v>252</v>
      </c>
      <c r="J1380" s="12" t="n">
        <v>20.7</v>
      </c>
      <c r="K1380" s="12" t="n">
        <v>6.4</v>
      </c>
      <c r="L1380" s="12" t="s">
        <v>36</v>
      </c>
    </row>
    <row r="1381" customFormat="false" ht="15" hidden="false" customHeight="false" outlineLevel="0" collapsed="false">
      <c r="A1381" s="11" t="n">
        <v>45576</v>
      </c>
      <c r="B1381" s="12" t="n">
        <v>10.4</v>
      </c>
      <c r="C1381" s="12" t="n">
        <f aca="false">IF(NOT(ISNUMBER(B1381)),"",ROUND((INDEX(BP!$D$5:$D$9,MATCH(B1381,BP!$A$5:$A$9,1))-INDEX(BP!$C$5:$C$9,MATCH(B1381,BP!$A$5:$A$9,1)))/(INDEX(BP!$B$5:$B$9,MATCH(B1381,BP!$A$5:$A$9,1))-INDEX(BP!$A$5:$A$9,MATCH(B1381,BP!$A$5:$A$9,1)))*(B1381-INDEX(BP!$A$5:$A$9,MATCH(B1381,BP!$A$5:$A$9,1)))+INDEX(BP!$C$5:$C$9,MATCH(B1381,BP!$A$5:$A$9,1)),0))</f>
        <v>17</v>
      </c>
      <c r="D1381" s="12" t="str">
        <f aca="false">IF(NOT(ISNUMBER(C1381)),"",INDEX(BP!$F$5:$F$9,MATCH(C1381,BP!$E$5:$E$9,1)))</f>
        <v>ดีมาก</v>
      </c>
      <c r="E1381" s="12" t="n">
        <f aca="false">YEAR(A1381)</f>
        <v>2024</v>
      </c>
      <c r="F1381" s="12" t="n">
        <f aca="false">MONTH(A1381)</f>
        <v>10</v>
      </c>
      <c r="G1381" s="12" t="n">
        <v>12.9</v>
      </c>
      <c r="H1381" s="12" t="n">
        <v>26.3</v>
      </c>
      <c r="I1381" s="12" t="n">
        <v>236</v>
      </c>
      <c r="J1381" s="12" t="n">
        <v>13.9</v>
      </c>
      <c r="K1381" s="12" t="n">
        <v>23.8</v>
      </c>
      <c r="L1381" s="12" t="s">
        <v>36</v>
      </c>
    </row>
    <row r="1382" customFormat="false" ht="15" hidden="false" customHeight="false" outlineLevel="0" collapsed="false">
      <c r="A1382" s="11" t="n">
        <v>45577</v>
      </c>
      <c r="B1382" s="12" t="n">
        <v>10.1</v>
      </c>
      <c r="C1382" s="12" t="n">
        <f aca="false">IF(NOT(ISNUMBER(B1382)),"",ROUND((INDEX(BP!$D$5:$D$9,MATCH(B1382,BP!$A$5:$A$9,1))-INDEX(BP!$C$5:$C$9,MATCH(B1382,BP!$A$5:$A$9,1)))/(INDEX(BP!$B$5:$B$9,MATCH(B1382,BP!$A$5:$A$9,1))-INDEX(BP!$A$5:$A$9,MATCH(B1382,BP!$A$5:$A$9,1)))*(B1382-INDEX(BP!$A$5:$A$9,MATCH(B1382,BP!$A$5:$A$9,1)))+INDEX(BP!$C$5:$C$9,MATCH(B1382,BP!$A$5:$A$9,1)),0))</f>
        <v>17</v>
      </c>
      <c r="D1382" s="12" t="str">
        <f aca="false">IF(NOT(ISNUMBER(C1382)),"",INDEX(BP!$F$5:$F$9,MATCH(C1382,BP!$E$5:$E$9,1)))</f>
        <v>ดีมาก</v>
      </c>
      <c r="E1382" s="12" t="n">
        <f aca="false">YEAR(A1382)</f>
        <v>2024</v>
      </c>
      <c r="F1382" s="12" t="n">
        <f aca="false">MONTH(A1382)</f>
        <v>10</v>
      </c>
      <c r="G1382" s="12" t="n">
        <v>13.9</v>
      </c>
      <c r="H1382" s="12" t="n">
        <v>31</v>
      </c>
      <c r="I1382" s="12" t="n">
        <v>326</v>
      </c>
      <c r="J1382" s="12" t="n">
        <v>10.9</v>
      </c>
      <c r="K1382" s="12" t="n">
        <v>82.4</v>
      </c>
      <c r="L1382" s="12" t="s">
        <v>35</v>
      </c>
    </row>
    <row r="1383" customFormat="false" ht="15" hidden="false" customHeight="false" outlineLevel="0" collapsed="false">
      <c r="A1383" s="11" t="n">
        <v>45578</v>
      </c>
      <c r="B1383" s="12" t="n">
        <v>8.7</v>
      </c>
      <c r="C1383" s="12" t="n">
        <f aca="false">IF(NOT(ISNUMBER(B1383)),"",ROUND((INDEX(BP!$D$5:$D$9,MATCH(B1383,BP!$A$5:$A$9,1))-INDEX(BP!$C$5:$C$9,MATCH(B1383,BP!$A$5:$A$9,1)))/(INDEX(BP!$B$5:$B$9,MATCH(B1383,BP!$A$5:$A$9,1))-INDEX(BP!$A$5:$A$9,MATCH(B1383,BP!$A$5:$A$9,1)))*(B1383-INDEX(BP!$A$5:$A$9,MATCH(B1383,BP!$A$5:$A$9,1)))+INDEX(BP!$C$5:$C$9,MATCH(B1383,BP!$A$5:$A$9,1)),0))</f>
        <v>15</v>
      </c>
      <c r="D1383" s="12" t="str">
        <f aca="false">IF(NOT(ISNUMBER(C1383)),"",INDEX(BP!$F$5:$F$9,MATCH(C1383,BP!$E$5:$E$9,1)))</f>
        <v>ดีมาก</v>
      </c>
      <c r="E1383" s="12" t="n">
        <f aca="false">YEAR(A1383)</f>
        <v>2024</v>
      </c>
      <c r="F1383" s="12" t="n">
        <f aca="false">MONTH(A1383)</f>
        <v>10</v>
      </c>
      <c r="G1383" s="12" t="n">
        <v>14.1</v>
      </c>
      <c r="H1383" s="12" t="n">
        <v>29.9</v>
      </c>
      <c r="I1383" s="12" t="n">
        <v>94</v>
      </c>
      <c r="J1383" s="12" t="n">
        <v>11.5</v>
      </c>
      <c r="K1383" s="12" t="n">
        <v>12.2</v>
      </c>
      <c r="L1383" s="12" t="s">
        <v>34</v>
      </c>
    </row>
    <row r="1384" customFormat="false" ht="15" hidden="false" customHeight="false" outlineLevel="0" collapsed="false">
      <c r="A1384" s="11" t="n">
        <v>45579</v>
      </c>
      <c r="B1384" s="12" t="n">
        <v>9.2</v>
      </c>
      <c r="C1384" s="12" t="n">
        <f aca="false">IF(NOT(ISNUMBER(B1384)),"",ROUND((INDEX(BP!$D$5:$D$9,MATCH(B1384,BP!$A$5:$A$9,1))-INDEX(BP!$C$5:$C$9,MATCH(B1384,BP!$A$5:$A$9,1)))/(INDEX(BP!$B$5:$B$9,MATCH(B1384,BP!$A$5:$A$9,1))-INDEX(BP!$A$5:$A$9,MATCH(B1384,BP!$A$5:$A$9,1)))*(B1384-INDEX(BP!$A$5:$A$9,MATCH(B1384,BP!$A$5:$A$9,1)))+INDEX(BP!$C$5:$C$9,MATCH(B1384,BP!$A$5:$A$9,1)),0))</f>
        <v>15</v>
      </c>
      <c r="D1384" s="12" t="str">
        <f aca="false">IF(NOT(ISNUMBER(C1384)),"",INDEX(BP!$F$5:$F$9,MATCH(C1384,BP!$E$5:$E$9,1)))</f>
        <v>ดีมาก</v>
      </c>
      <c r="E1384" s="12" t="n">
        <f aca="false">YEAR(A1384)</f>
        <v>2024</v>
      </c>
      <c r="F1384" s="12" t="n">
        <f aca="false">MONTH(A1384)</f>
        <v>10</v>
      </c>
      <c r="G1384" s="12" t="n">
        <v>13</v>
      </c>
      <c r="H1384" s="12" t="n">
        <v>30.2</v>
      </c>
      <c r="I1384" s="12" t="n">
        <v>186</v>
      </c>
      <c r="J1384" s="12" t="n">
        <v>6.6</v>
      </c>
      <c r="K1384" s="12" t="n">
        <v>5.8</v>
      </c>
      <c r="L1384" s="12" t="s">
        <v>34</v>
      </c>
    </row>
    <row r="1385" customFormat="false" ht="15" hidden="false" customHeight="false" outlineLevel="0" collapsed="false">
      <c r="A1385" s="11" t="n">
        <v>45580</v>
      </c>
      <c r="B1385" s="12" t="n">
        <v>9.2</v>
      </c>
      <c r="C1385" s="12" t="n">
        <f aca="false">IF(NOT(ISNUMBER(B1385)),"",ROUND((INDEX(BP!$D$5:$D$9,MATCH(B1385,BP!$A$5:$A$9,1))-INDEX(BP!$C$5:$C$9,MATCH(B1385,BP!$A$5:$A$9,1)))/(INDEX(BP!$B$5:$B$9,MATCH(B1385,BP!$A$5:$A$9,1))-INDEX(BP!$A$5:$A$9,MATCH(B1385,BP!$A$5:$A$9,1)))*(B1385-INDEX(BP!$A$5:$A$9,MATCH(B1385,BP!$A$5:$A$9,1)))+INDEX(BP!$C$5:$C$9,MATCH(B1385,BP!$A$5:$A$9,1)),0))</f>
        <v>15</v>
      </c>
      <c r="D1385" s="12" t="str">
        <f aca="false">IF(NOT(ISNUMBER(C1385)),"",INDEX(BP!$F$5:$F$9,MATCH(C1385,BP!$E$5:$E$9,1)))</f>
        <v>ดีมาก</v>
      </c>
      <c r="E1385" s="12" t="n">
        <f aca="false">YEAR(A1385)</f>
        <v>2024</v>
      </c>
      <c r="F1385" s="12" t="n">
        <f aca="false">MONTH(A1385)</f>
        <v>10</v>
      </c>
      <c r="G1385" s="12" t="n">
        <v>12.4</v>
      </c>
      <c r="H1385" s="12" t="n">
        <v>28.1</v>
      </c>
      <c r="I1385" s="12" t="n">
        <v>207</v>
      </c>
      <c r="J1385" s="12" t="n">
        <v>17.9</v>
      </c>
      <c r="K1385" s="12" t="n">
        <v>3</v>
      </c>
      <c r="L1385" s="12" t="s">
        <v>36</v>
      </c>
    </row>
    <row r="1386" customFormat="false" ht="15" hidden="false" customHeight="false" outlineLevel="0" collapsed="false">
      <c r="A1386" s="11" t="n">
        <v>45581</v>
      </c>
      <c r="B1386" s="12" t="n">
        <v>8.5</v>
      </c>
      <c r="C1386" s="12" t="n">
        <f aca="false">IF(NOT(ISNUMBER(B1386)),"",ROUND((INDEX(BP!$D$5:$D$9,MATCH(B1386,BP!$A$5:$A$9,1))-INDEX(BP!$C$5:$C$9,MATCH(B1386,BP!$A$5:$A$9,1)))/(INDEX(BP!$B$5:$B$9,MATCH(B1386,BP!$A$5:$A$9,1))-INDEX(BP!$A$5:$A$9,MATCH(B1386,BP!$A$5:$A$9,1)))*(B1386-INDEX(BP!$A$5:$A$9,MATCH(B1386,BP!$A$5:$A$9,1)))+INDEX(BP!$C$5:$C$9,MATCH(B1386,BP!$A$5:$A$9,1)),0))</f>
        <v>14</v>
      </c>
      <c r="D1386" s="12" t="str">
        <f aca="false">IF(NOT(ISNUMBER(C1386)),"",INDEX(BP!$F$5:$F$9,MATCH(C1386,BP!$E$5:$E$9,1)))</f>
        <v>ดีมาก</v>
      </c>
      <c r="E1386" s="12" t="n">
        <f aca="false">YEAR(A1386)</f>
        <v>2024</v>
      </c>
      <c r="F1386" s="12" t="n">
        <f aca="false">MONTH(A1386)</f>
        <v>10</v>
      </c>
      <c r="G1386" s="12" t="n">
        <v>13</v>
      </c>
      <c r="H1386" s="12" t="n">
        <v>28.1</v>
      </c>
      <c r="I1386" s="12" t="n">
        <v>205</v>
      </c>
      <c r="J1386" s="12" t="n">
        <v>5.2</v>
      </c>
      <c r="K1386" s="12" t="n">
        <v>0</v>
      </c>
      <c r="L1386" s="12" t="s">
        <v>36</v>
      </c>
    </row>
    <row r="1387" customFormat="false" ht="15" hidden="false" customHeight="false" outlineLevel="0" collapsed="false">
      <c r="A1387" s="11" t="n">
        <v>45582</v>
      </c>
      <c r="B1387" s="12" t="n">
        <v>10.2</v>
      </c>
      <c r="C1387" s="12" t="n">
        <f aca="false">IF(NOT(ISNUMBER(B1387)),"",ROUND((INDEX(BP!$D$5:$D$9,MATCH(B1387,BP!$A$5:$A$9,1))-INDEX(BP!$C$5:$C$9,MATCH(B1387,BP!$A$5:$A$9,1)))/(INDEX(BP!$B$5:$B$9,MATCH(B1387,BP!$A$5:$A$9,1))-INDEX(BP!$A$5:$A$9,MATCH(B1387,BP!$A$5:$A$9,1)))*(B1387-INDEX(BP!$A$5:$A$9,MATCH(B1387,BP!$A$5:$A$9,1)))+INDEX(BP!$C$5:$C$9,MATCH(B1387,BP!$A$5:$A$9,1)),0))</f>
        <v>17</v>
      </c>
      <c r="D1387" s="12" t="str">
        <f aca="false">IF(NOT(ISNUMBER(C1387)),"",INDEX(BP!$F$5:$F$9,MATCH(C1387,BP!$E$5:$E$9,1)))</f>
        <v>ดีมาก</v>
      </c>
      <c r="E1387" s="12" t="n">
        <f aca="false">YEAR(A1387)</f>
        <v>2024</v>
      </c>
      <c r="F1387" s="12" t="n">
        <f aca="false">MONTH(A1387)</f>
        <v>10</v>
      </c>
      <c r="G1387" s="12" t="n">
        <v>9.1</v>
      </c>
      <c r="H1387" s="12" t="n">
        <v>24.8</v>
      </c>
      <c r="I1387" s="12" t="n">
        <v>226</v>
      </c>
      <c r="J1387" s="12" t="n">
        <v>9.3</v>
      </c>
      <c r="K1387" s="12" t="n">
        <v>0</v>
      </c>
      <c r="L1387" s="12" t="s">
        <v>36</v>
      </c>
    </row>
    <row r="1388" customFormat="false" ht="15" hidden="false" customHeight="false" outlineLevel="0" collapsed="false">
      <c r="A1388" s="11" t="n">
        <v>45583</v>
      </c>
      <c r="B1388" s="12" t="n">
        <v>8.8</v>
      </c>
      <c r="C1388" s="12" t="n">
        <f aca="false">IF(NOT(ISNUMBER(B1388)),"",ROUND((INDEX(BP!$D$5:$D$9,MATCH(B1388,BP!$A$5:$A$9,1))-INDEX(BP!$C$5:$C$9,MATCH(B1388,BP!$A$5:$A$9,1)))/(INDEX(BP!$B$5:$B$9,MATCH(B1388,BP!$A$5:$A$9,1))-INDEX(BP!$A$5:$A$9,MATCH(B1388,BP!$A$5:$A$9,1)))*(B1388-INDEX(BP!$A$5:$A$9,MATCH(B1388,BP!$A$5:$A$9,1)))+INDEX(BP!$C$5:$C$9,MATCH(B1388,BP!$A$5:$A$9,1)),0))</f>
        <v>15</v>
      </c>
      <c r="D1388" s="12" t="str">
        <f aca="false">IF(NOT(ISNUMBER(C1388)),"",INDEX(BP!$F$5:$F$9,MATCH(C1388,BP!$E$5:$E$9,1)))</f>
        <v>ดีมาก</v>
      </c>
      <c r="E1388" s="12" t="n">
        <f aca="false">YEAR(A1388)</f>
        <v>2024</v>
      </c>
      <c r="F1388" s="12" t="n">
        <f aca="false">MONTH(A1388)</f>
        <v>10</v>
      </c>
      <c r="G1388" s="12" t="n">
        <v>11.6</v>
      </c>
      <c r="H1388" s="12" t="n">
        <v>28.8</v>
      </c>
      <c r="I1388" s="12" t="n">
        <v>227</v>
      </c>
      <c r="J1388" s="12" t="n">
        <v>12.7</v>
      </c>
      <c r="K1388" s="12" t="n">
        <v>0</v>
      </c>
      <c r="L1388" s="12" t="s">
        <v>36</v>
      </c>
    </row>
    <row r="1389" customFormat="false" ht="15" hidden="false" customHeight="false" outlineLevel="0" collapsed="false">
      <c r="A1389" s="11" t="n">
        <v>45584</v>
      </c>
      <c r="B1389" s="12" t="n">
        <v>8.8</v>
      </c>
      <c r="C1389" s="12" t="n">
        <f aca="false">IF(NOT(ISNUMBER(B1389)),"",ROUND((INDEX(BP!$D$5:$D$9,MATCH(B1389,BP!$A$5:$A$9,1))-INDEX(BP!$C$5:$C$9,MATCH(B1389,BP!$A$5:$A$9,1)))/(INDEX(BP!$B$5:$B$9,MATCH(B1389,BP!$A$5:$A$9,1))-INDEX(BP!$A$5:$A$9,MATCH(B1389,BP!$A$5:$A$9,1)))*(B1389-INDEX(BP!$A$5:$A$9,MATCH(B1389,BP!$A$5:$A$9,1)))+INDEX(BP!$C$5:$C$9,MATCH(B1389,BP!$A$5:$A$9,1)),0))</f>
        <v>15</v>
      </c>
      <c r="D1389" s="12" t="str">
        <f aca="false">IF(NOT(ISNUMBER(C1389)),"",INDEX(BP!$F$5:$F$9,MATCH(C1389,BP!$E$5:$E$9,1)))</f>
        <v>ดีมาก</v>
      </c>
      <c r="E1389" s="12" t="n">
        <f aca="false">YEAR(A1389)</f>
        <v>2024</v>
      </c>
      <c r="F1389" s="12" t="n">
        <f aca="false">MONTH(A1389)</f>
        <v>10</v>
      </c>
      <c r="G1389" s="12" t="n">
        <v>12.7</v>
      </c>
      <c r="H1389" s="12" t="n">
        <v>30.2</v>
      </c>
      <c r="I1389" s="12" t="n">
        <v>239</v>
      </c>
      <c r="J1389" s="12" t="n">
        <v>6</v>
      </c>
      <c r="K1389" s="12" t="n">
        <v>0.6</v>
      </c>
      <c r="L1389" s="12" t="s">
        <v>35</v>
      </c>
    </row>
    <row r="1390" customFormat="false" ht="15" hidden="false" customHeight="false" outlineLevel="0" collapsed="false">
      <c r="A1390" s="11" t="n">
        <v>45585</v>
      </c>
      <c r="B1390" s="12" t="n">
        <v>10.5</v>
      </c>
      <c r="C1390" s="12" t="n">
        <f aca="false">IF(NOT(ISNUMBER(B1390)),"",ROUND((INDEX(BP!$D$5:$D$9,MATCH(B1390,BP!$A$5:$A$9,1))-INDEX(BP!$C$5:$C$9,MATCH(B1390,BP!$A$5:$A$9,1)))/(INDEX(BP!$B$5:$B$9,MATCH(B1390,BP!$A$5:$A$9,1))-INDEX(BP!$A$5:$A$9,MATCH(B1390,BP!$A$5:$A$9,1)))*(B1390-INDEX(BP!$A$5:$A$9,MATCH(B1390,BP!$A$5:$A$9,1)))+INDEX(BP!$C$5:$C$9,MATCH(B1390,BP!$A$5:$A$9,1)),0))</f>
        <v>18</v>
      </c>
      <c r="D1390" s="12" t="str">
        <f aca="false">IF(NOT(ISNUMBER(C1390)),"",INDEX(BP!$F$5:$F$9,MATCH(C1390,BP!$E$5:$E$9,1)))</f>
        <v>ดีมาก</v>
      </c>
      <c r="E1390" s="12" t="n">
        <f aca="false">YEAR(A1390)</f>
        <v>2024</v>
      </c>
      <c r="F1390" s="12" t="n">
        <f aca="false">MONTH(A1390)</f>
        <v>10</v>
      </c>
      <c r="G1390" s="12" t="n">
        <v>8.2</v>
      </c>
      <c r="H1390" s="12" t="n">
        <v>20.2</v>
      </c>
      <c r="I1390" s="12" t="n">
        <v>184</v>
      </c>
      <c r="J1390" s="12" t="n">
        <v>0.6</v>
      </c>
      <c r="K1390" s="12" t="n">
        <v>0</v>
      </c>
      <c r="L1390" s="12" t="s">
        <v>35</v>
      </c>
    </row>
    <row r="1391" customFormat="false" ht="15" hidden="false" customHeight="false" outlineLevel="0" collapsed="false">
      <c r="A1391" s="11" t="n">
        <v>45586</v>
      </c>
      <c r="B1391" s="12" t="n">
        <v>12.8</v>
      </c>
      <c r="C1391" s="12" t="n">
        <f aca="false">IF(NOT(ISNUMBER(B1391)),"",ROUND((INDEX(BP!$D$5:$D$9,MATCH(B1391,BP!$A$5:$A$9,1))-INDEX(BP!$C$5:$C$9,MATCH(B1391,BP!$A$5:$A$9,1)))/(INDEX(BP!$B$5:$B$9,MATCH(B1391,BP!$A$5:$A$9,1))-INDEX(BP!$A$5:$A$9,MATCH(B1391,BP!$A$5:$A$9,1)))*(B1391-INDEX(BP!$A$5:$A$9,MATCH(B1391,BP!$A$5:$A$9,1)))+INDEX(BP!$C$5:$C$9,MATCH(B1391,BP!$A$5:$A$9,1)),0))</f>
        <v>21</v>
      </c>
      <c r="D1391" s="12" t="str">
        <f aca="false">IF(NOT(ISNUMBER(C1391)),"",INDEX(BP!$F$5:$F$9,MATCH(C1391,BP!$E$5:$E$9,1)))</f>
        <v>ดีมาก</v>
      </c>
      <c r="E1391" s="12" t="n">
        <f aca="false">YEAR(A1391)</f>
        <v>2024</v>
      </c>
      <c r="F1391" s="12" t="n">
        <f aca="false">MONTH(A1391)</f>
        <v>10</v>
      </c>
      <c r="G1391" s="12" t="n">
        <v>7.9</v>
      </c>
      <c r="H1391" s="12" t="n">
        <v>20.2</v>
      </c>
      <c r="I1391" s="12" t="n">
        <v>346</v>
      </c>
      <c r="J1391" s="12" t="n">
        <v>0</v>
      </c>
      <c r="K1391" s="12" t="n">
        <v>0</v>
      </c>
      <c r="L1391" s="12" t="s">
        <v>36</v>
      </c>
    </row>
    <row r="1392" customFormat="false" ht="15" hidden="false" customHeight="false" outlineLevel="0" collapsed="false">
      <c r="A1392" s="11" t="n">
        <v>45587</v>
      </c>
      <c r="B1392" s="12" t="n">
        <v>12.8</v>
      </c>
      <c r="C1392" s="12" t="n">
        <f aca="false">IF(NOT(ISNUMBER(B1392)),"",ROUND((INDEX(BP!$D$5:$D$9,MATCH(B1392,BP!$A$5:$A$9,1))-INDEX(BP!$C$5:$C$9,MATCH(B1392,BP!$A$5:$A$9,1)))/(INDEX(BP!$B$5:$B$9,MATCH(B1392,BP!$A$5:$A$9,1))-INDEX(BP!$A$5:$A$9,MATCH(B1392,BP!$A$5:$A$9,1)))*(B1392-INDEX(BP!$A$5:$A$9,MATCH(B1392,BP!$A$5:$A$9,1)))+INDEX(BP!$C$5:$C$9,MATCH(B1392,BP!$A$5:$A$9,1)),0))</f>
        <v>21</v>
      </c>
      <c r="D1392" s="12" t="str">
        <f aca="false">IF(NOT(ISNUMBER(C1392)),"",INDEX(BP!$F$5:$F$9,MATCH(C1392,BP!$E$5:$E$9,1)))</f>
        <v>ดีมาก</v>
      </c>
      <c r="E1392" s="12" t="n">
        <f aca="false">YEAR(A1392)</f>
        <v>2024</v>
      </c>
      <c r="F1392" s="12" t="n">
        <f aca="false">MONTH(A1392)</f>
        <v>10</v>
      </c>
      <c r="G1392" s="12" t="n">
        <v>9.8</v>
      </c>
      <c r="H1392" s="12" t="n">
        <v>25.6</v>
      </c>
      <c r="I1392" s="12" t="n">
        <v>299</v>
      </c>
      <c r="J1392" s="12" t="n">
        <v>0</v>
      </c>
      <c r="K1392" s="12" t="n">
        <v>0</v>
      </c>
      <c r="L1392" s="12" t="s">
        <v>36</v>
      </c>
    </row>
    <row r="1393" customFormat="false" ht="15" hidden="false" customHeight="false" outlineLevel="0" collapsed="false">
      <c r="A1393" s="11" t="n">
        <v>45588</v>
      </c>
      <c r="B1393" s="12" t="n">
        <v>12.7</v>
      </c>
      <c r="C1393" s="12" t="n">
        <f aca="false">IF(NOT(ISNUMBER(B1393)),"",ROUND((INDEX(BP!$D$5:$D$9,MATCH(B1393,BP!$A$5:$A$9,1))-INDEX(BP!$C$5:$C$9,MATCH(B1393,BP!$A$5:$A$9,1)))/(INDEX(BP!$B$5:$B$9,MATCH(B1393,BP!$A$5:$A$9,1))-INDEX(BP!$A$5:$A$9,MATCH(B1393,BP!$A$5:$A$9,1)))*(B1393-INDEX(BP!$A$5:$A$9,MATCH(B1393,BP!$A$5:$A$9,1)))+INDEX(BP!$C$5:$C$9,MATCH(B1393,BP!$A$5:$A$9,1)),0))</f>
        <v>21</v>
      </c>
      <c r="D1393" s="12" t="str">
        <f aca="false">IF(NOT(ISNUMBER(C1393)),"",INDEX(BP!$F$5:$F$9,MATCH(C1393,BP!$E$5:$E$9,1)))</f>
        <v>ดีมาก</v>
      </c>
      <c r="E1393" s="12" t="n">
        <f aca="false">YEAR(A1393)</f>
        <v>2024</v>
      </c>
      <c r="F1393" s="12" t="n">
        <f aca="false">MONTH(A1393)</f>
        <v>10</v>
      </c>
      <c r="G1393" s="12" t="n">
        <v>14.8</v>
      </c>
      <c r="H1393" s="12" t="n">
        <v>29.9</v>
      </c>
      <c r="I1393" s="12" t="n">
        <v>337</v>
      </c>
      <c r="J1393" s="12" t="n">
        <v>0.3</v>
      </c>
      <c r="K1393" s="12" t="n">
        <v>0</v>
      </c>
      <c r="L1393" s="12" t="s">
        <v>34</v>
      </c>
    </row>
    <row r="1394" customFormat="false" ht="15" hidden="false" customHeight="false" outlineLevel="0" collapsed="false">
      <c r="A1394" s="11" t="n">
        <v>45589</v>
      </c>
      <c r="B1394" s="12" t="n">
        <v>11.5</v>
      </c>
      <c r="C1394" s="12" t="n">
        <f aca="false">IF(NOT(ISNUMBER(B1394)),"",ROUND((INDEX(BP!$D$5:$D$9,MATCH(B1394,BP!$A$5:$A$9,1))-INDEX(BP!$C$5:$C$9,MATCH(B1394,BP!$A$5:$A$9,1)))/(INDEX(BP!$B$5:$B$9,MATCH(B1394,BP!$A$5:$A$9,1))-INDEX(BP!$A$5:$A$9,MATCH(B1394,BP!$A$5:$A$9,1)))*(B1394-INDEX(BP!$A$5:$A$9,MATCH(B1394,BP!$A$5:$A$9,1)))+INDEX(BP!$C$5:$C$9,MATCH(B1394,BP!$A$5:$A$9,1)),0))</f>
        <v>19</v>
      </c>
      <c r="D1394" s="12" t="str">
        <f aca="false">IF(NOT(ISNUMBER(C1394)),"",INDEX(BP!$F$5:$F$9,MATCH(C1394,BP!$E$5:$E$9,1)))</f>
        <v>ดีมาก</v>
      </c>
      <c r="E1394" s="12" t="n">
        <f aca="false">YEAR(A1394)</f>
        <v>2024</v>
      </c>
      <c r="F1394" s="12" t="n">
        <f aca="false">MONTH(A1394)</f>
        <v>10</v>
      </c>
      <c r="G1394" s="12" t="n">
        <v>15.2</v>
      </c>
      <c r="H1394" s="12" t="n">
        <v>33.5</v>
      </c>
      <c r="I1394" s="12" t="n">
        <v>311</v>
      </c>
      <c r="J1394" s="12" t="n">
        <v>4.5</v>
      </c>
      <c r="K1394" s="12" t="n">
        <v>5.2</v>
      </c>
      <c r="L1394" s="12" t="s">
        <v>36</v>
      </c>
    </row>
    <row r="1395" customFormat="false" ht="15" hidden="false" customHeight="false" outlineLevel="0" collapsed="false">
      <c r="A1395" s="11" t="n">
        <v>45590</v>
      </c>
      <c r="B1395" s="12" t="n">
        <v>10.3</v>
      </c>
      <c r="C1395" s="12" t="n">
        <f aca="false">IF(NOT(ISNUMBER(B1395)),"",ROUND((INDEX(BP!$D$5:$D$9,MATCH(B1395,BP!$A$5:$A$9,1))-INDEX(BP!$C$5:$C$9,MATCH(B1395,BP!$A$5:$A$9,1)))/(INDEX(BP!$B$5:$B$9,MATCH(B1395,BP!$A$5:$A$9,1))-INDEX(BP!$A$5:$A$9,MATCH(B1395,BP!$A$5:$A$9,1)))*(B1395-INDEX(BP!$A$5:$A$9,MATCH(B1395,BP!$A$5:$A$9,1)))+INDEX(BP!$C$5:$C$9,MATCH(B1395,BP!$A$5:$A$9,1)),0))</f>
        <v>17</v>
      </c>
      <c r="D1395" s="12" t="str">
        <f aca="false">IF(NOT(ISNUMBER(C1395)),"",INDEX(BP!$F$5:$F$9,MATCH(C1395,BP!$E$5:$E$9,1)))</f>
        <v>ดีมาก</v>
      </c>
      <c r="E1395" s="12" t="n">
        <f aca="false">YEAR(A1395)</f>
        <v>2024</v>
      </c>
      <c r="F1395" s="12" t="n">
        <f aca="false">MONTH(A1395)</f>
        <v>10</v>
      </c>
      <c r="G1395" s="12" t="n">
        <v>14.8</v>
      </c>
      <c r="H1395" s="12" t="n">
        <v>33.1</v>
      </c>
      <c r="I1395" s="12" t="n">
        <v>263</v>
      </c>
      <c r="J1395" s="12" t="n">
        <v>0.7</v>
      </c>
      <c r="K1395" s="12" t="n">
        <v>10</v>
      </c>
      <c r="L1395" s="12" t="s">
        <v>36</v>
      </c>
    </row>
    <row r="1396" customFormat="false" ht="15" hidden="false" customHeight="false" outlineLevel="0" collapsed="false">
      <c r="A1396" s="11" t="n">
        <v>45591</v>
      </c>
      <c r="B1396" s="12" t="n">
        <v>8.3</v>
      </c>
      <c r="C1396" s="12" t="n">
        <f aca="false">IF(NOT(ISNUMBER(B1396)),"",ROUND((INDEX(BP!$D$5:$D$9,MATCH(B1396,BP!$A$5:$A$9,1))-INDEX(BP!$C$5:$C$9,MATCH(B1396,BP!$A$5:$A$9,1)))/(INDEX(BP!$B$5:$B$9,MATCH(B1396,BP!$A$5:$A$9,1))-INDEX(BP!$A$5:$A$9,MATCH(B1396,BP!$A$5:$A$9,1)))*(B1396-INDEX(BP!$A$5:$A$9,MATCH(B1396,BP!$A$5:$A$9,1)))+INDEX(BP!$C$5:$C$9,MATCH(B1396,BP!$A$5:$A$9,1)),0))</f>
        <v>14</v>
      </c>
      <c r="D1396" s="12" t="str">
        <f aca="false">IF(NOT(ISNUMBER(C1396)),"",INDEX(BP!$F$5:$F$9,MATCH(C1396,BP!$E$5:$E$9,1)))</f>
        <v>ดีมาก</v>
      </c>
      <c r="E1396" s="12" t="n">
        <f aca="false">YEAR(A1396)</f>
        <v>2024</v>
      </c>
      <c r="F1396" s="12" t="n">
        <f aca="false">MONTH(A1396)</f>
        <v>10</v>
      </c>
      <c r="G1396" s="12" t="n">
        <v>20.9</v>
      </c>
      <c r="H1396" s="12" t="n">
        <v>45</v>
      </c>
      <c r="I1396" s="12" t="n">
        <v>239</v>
      </c>
      <c r="J1396" s="12" t="n">
        <v>8.2</v>
      </c>
      <c r="K1396" s="12" t="n">
        <v>11.6</v>
      </c>
      <c r="L1396" s="12" t="s">
        <v>35</v>
      </c>
    </row>
    <row r="1397" customFormat="false" ht="15" hidden="false" customHeight="false" outlineLevel="0" collapsed="false">
      <c r="A1397" s="11" t="n">
        <v>45592</v>
      </c>
      <c r="B1397" s="12" t="n">
        <v>9.5</v>
      </c>
      <c r="C1397" s="12" t="n">
        <f aca="false">IF(NOT(ISNUMBER(B1397)),"",ROUND((INDEX(BP!$D$5:$D$9,MATCH(B1397,BP!$A$5:$A$9,1))-INDEX(BP!$C$5:$C$9,MATCH(B1397,BP!$A$5:$A$9,1)))/(INDEX(BP!$B$5:$B$9,MATCH(B1397,BP!$A$5:$A$9,1))-INDEX(BP!$A$5:$A$9,MATCH(B1397,BP!$A$5:$A$9,1)))*(B1397-INDEX(BP!$A$5:$A$9,MATCH(B1397,BP!$A$5:$A$9,1)))+INDEX(BP!$C$5:$C$9,MATCH(B1397,BP!$A$5:$A$9,1)),0))</f>
        <v>16</v>
      </c>
      <c r="D1397" s="12" t="str">
        <f aca="false">IF(NOT(ISNUMBER(C1397)),"",INDEX(BP!$F$5:$F$9,MATCH(C1397,BP!$E$5:$E$9,1)))</f>
        <v>ดีมาก</v>
      </c>
      <c r="E1397" s="12" t="n">
        <f aca="false">YEAR(A1397)</f>
        <v>2024</v>
      </c>
      <c r="F1397" s="12" t="n">
        <f aca="false">MONTH(A1397)</f>
        <v>10</v>
      </c>
      <c r="G1397" s="12" t="n">
        <v>18.4</v>
      </c>
      <c r="H1397" s="12" t="n">
        <v>42.1</v>
      </c>
      <c r="I1397" s="12" t="n">
        <v>241</v>
      </c>
      <c r="J1397" s="12" t="n">
        <v>3.3</v>
      </c>
      <c r="K1397" s="12" t="n">
        <v>3.6</v>
      </c>
      <c r="L1397" s="12" t="s">
        <v>35</v>
      </c>
    </row>
    <row r="1398" customFormat="false" ht="15" hidden="false" customHeight="false" outlineLevel="0" collapsed="false">
      <c r="A1398" s="11" t="n">
        <v>45593</v>
      </c>
      <c r="B1398" s="12" t="n">
        <v>9.5</v>
      </c>
      <c r="C1398" s="12" t="n">
        <f aca="false">IF(NOT(ISNUMBER(B1398)),"",ROUND((INDEX(BP!$D$5:$D$9,MATCH(B1398,BP!$A$5:$A$9,1))-INDEX(BP!$C$5:$C$9,MATCH(B1398,BP!$A$5:$A$9,1)))/(INDEX(BP!$B$5:$B$9,MATCH(B1398,BP!$A$5:$A$9,1))-INDEX(BP!$A$5:$A$9,MATCH(B1398,BP!$A$5:$A$9,1)))*(B1398-INDEX(BP!$A$5:$A$9,MATCH(B1398,BP!$A$5:$A$9,1)))+INDEX(BP!$C$5:$C$9,MATCH(B1398,BP!$A$5:$A$9,1)),0))</f>
        <v>16</v>
      </c>
      <c r="D1398" s="12" t="str">
        <f aca="false">IF(NOT(ISNUMBER(C1398)),"",INDEX(BP!$F$5:$F$9,MATCH(C1398,BP!$E$5:$E$9,1)))</f>
        <v>ดีมาก</v>
      </c>
      <c r="E1398" s="12" t="n">
        <f aca="false">YEAR(A1398)</f>
        <v>2024</v>
      </c>
      <c r="F1398" s="12" t="n">
        <f aca="false">MONTH(A1398)</f>
        <v>10</v>
      </c>
      <c r="G1398" s="12" t="n">
        <v>18</v>
      </c>
      <c r="H1398" s="12" t="n">
        <v>39.6</v>
      </c>
      <c r="I1398" s="12" t="n">
        <v>231</v>
      </c>
      <c r="J1398" s="12" t="n">
        <v>1.8</v>
      </c>
      <c r="K1398" s="12" t="n">
        <v>0</v>
      </c>
      <c r="L1398" s="12" t="s">
        <v>36</v>
      </c>
    </row>
    <row r="1399" customFormat="false" ht="15" hidden="false" customHeight="false" outlineLevel="0" collapsed="false">
      <c r="A1399" s="11" t="n">
        <v>45594</v>
      </c>
      <c r="B1399" s="12" t="n">
        <v>12.3</v>
      </c>
      <c r="C1399" s="12" t="n">
        <f aca="false">IF(NOT(ISNUMBER(B1399)),"",ROUND((INDEX(BP!$D$5:$D$9,MATCH(B1399,BP!$A$5:$A$9,1))-INDEX(BP!$C$5:$C$9,MATCH(B1399,BP!$A$5:$A$9,1)))/(INDEX(BP!$B$5:$B$9,MATCH(B1399,BP!$A$5:$A$9,1))-INDEX(BP!$A$5:$A$9,MATCH(B1399,BP!$A$5:$A$9,1)))*(B1399-INDEX(BP!$A$5:$A$9,MATCH(B1399,BP!$A$5:$A$9,1)))+INDEX(BP!$C$5:$C$9,MATCH(B1399,BP!$A$5:$A$9,1)),0))</f>
        <v>21</v>
      </c>
      <c r="D1399" s="12" t="str">
        <f aca="false">IF(NOT(ISNUMBER(C1399)),"",INDEX(BP!$F$5:$F$9,MATCH(C1399,BP!$E$5:$E$9,1)))</f>
        <v>ดีมาก</v>
      </c>
      <c r="E1399" s="12" t="n">
        <f aca="false">YEAR(A1399)</f>
        <v>2024</v>
      </c>
      <c r="F1399" s="12" t="n">
        <f aca="false">MONTH(A1399)</f>
        <v>10</v>
      </c>
      <c r="G1399" s="12" t="n">
        <v>14.5</v>
      </c>
      <c r="H1399" s="12" t="n">
        <v>33.5</v>
      </c>
      <c r="I1399" s="12" t="n">
        <v>226</v>
      </c>
      <c r="J1399" s="12" t="n">
        <v>4.8</v>
      </c>
      <c r="K1399" s="12" t="n">
        <v>10.6</v>
      </c>
      <c r="L1399" s="12" t="s">
        <v>36</v>
      </c>
    </row>
    <row r="1400" customFormat="false" ht="15" hidden="false" customHeight="false" outlineLevel="0" collapsed="false">
      <c r="A1400" s="11" t="n">
        <v>45595</v>
      </c>
      <c r="B1400" s="12" t="n">
        <v>12.4</v>
      </c>
      <c r="C1400" s="12" t="n">
        <f aca="false">IF(NOT(ISNUMBER(B1400)),"",ROUND((INDEX(BP!$D$5:$D$9,MATCH(B1400,BP!$A$5:$A$9,1))-INDEX(BP!$C$5:$C$9,MATCH(B1400,BP!$A$5:$A$9,1)))/(INDEX(BP!$B$5:$B$9,MATCH(B1400,BP!$A$5:$A$9,1))-INDEX(BP!$A$5:$A$9,MATCH(B1400,BP!$A$5:$A$9,1)))*(B1400-INDEX(BP!$A$5:$A$9,MATCH(B1400,BP!$A$5:$A$9,1)))+INDEX(BP!$C$5:$C$9,MATCH(B1400,BP!$A$5:$A$9,1)),0))</f>
        <v>21</v>
      </c>
      <c r="D1400" s="12" t="str">
        <f aca="false">IF(NOT(ISNUMBER(C1400)),"",INDEX(BP!$F$5:$F$9,MATCH(C1400,BP!$E$5:$E$9,1)))</f>
        <v>ดีมาก</v>
      </c>
      <c r="E1400" s="12" t="n">
        <f aca="false">YEAR(A1400)</f>
        <v>2024</v>
      </c>
      <c r="F1400" s="12" t="n">
        <f aca="false">MONTH(A1400)</f>
        <v>10</v>
      </c>
      <c r="G1400" s="12" t="n">
        <v>16.3</v>
      </c>
      <c r="H1400" s="12" t="n">
        <v>34.6</v>
      </c>
      <c r="I1400" s="12" t="n">
        <v>238</v>
      </c>
      <c r="J1400" s="12" t="n">
        <v>5.7</v>
      </c>
      <c r="K1400" s="12" t="n">
        <v>0</v>
      </c>
      <c r="L1400" s="12" t="s">
        <v>36</v>
      </c>
    </row>
    <row r="1401" customFormat="false" ht="15" hidden="false" customHeight="false" outlineLevel="0" collapsed="false">
      <c r="A1401" s="11" t="n">
        <v>45596</v>
      </c>
      <c r="B1401" s="12" t="n">
        <v>11.4</v>
      </c>
      <c r="C1401" s="12" t="n">
        <f aca="false">IF(NOT(ISNUMBER(B1401)),"",ROUND((INDEX(BP!$D$5:$D$9,MATCH(B1401,BP!$A$5:$A$9,1))-INDEX(BP!$C$5:$C$9,MATCH(B1401,BP!$A$5:$A$9,1)))/(INDEX(BP!$B$5:$B$9,MATCH(B1401,BP!$A$5:$A$9,1))-INDEX(BP!$A$5:$A$9,MATCH(B1401,BP!$A$5:$A$9,1)))*(B1401-INDEX(BP!$A$5:$A$9,MATCH(B1401,BP!$A$5:$A$9,1)))+INDEX(BP!$C$5:$C$9,MATCH(B1401,BP!$A$5:$A$9,1)),0))</f>
        <v>19</v>
      </c>
      <c r="D1401" s="12" t="str">
        <f aca="false">IF(NOT(ISNUMBER(C1401)),"",INDEX(BP!$F$5:$F$9,MATCH(C1401,BP!$E$5:$E$9,1)))</f>
        <v>ดีมาก</v>
      </c>
      <c r="E1401" s="12" t="n">
        <f aca="false">YEAR(A1401)</f>
        <v>2024</v>
      </c>
      <c r="F1401" s="12" t="n">
        <f aca="false">MONTH(A1401)</f>
        <v>10</v>
      </c>
      <c r="G1401" s="12" t="n">
        <v>12.2</v>
      </c>
      <c r="H1401" s="12" t="n">
        <v>32.4</v>
      </c>
      <c r="I1401" s="12" t="n">
        <v>272</v>
      </c>
      <c r="J1401" s="12" t="n">
        <v>6.8</v>
      </c>
      <c r="K1401" s="12" t="n">
        <v>3.2</v>
      </c>
      <c r="L1401" s="12" t="s">
        <v>36</v>
      </c>
    </row>
    <row r="1402" customFormat="false" ht="15" hidden="false" customHeight="false" outlineLevel="0" collapsed="false">
      <c r="A1402" s="11" t="n">
        <v>45597</v>
      </c>
      <c r="B1402" s="12" t="n">
        <v>9.6</v>
      </c>
      <c r="C1402" s="12" t="n">
        <f aca="false">IF(NOT(ISNUMBER(B1402)),"",ROUND((INDEX(BP!$D$5:$D$9,MATCH(B1402,BP!$A$5:$A$9,1))-INDEX(BP!$C$5:$C$9,MATCH(B1402,BP!$A$5:$A$9,1)))/(INDEX(BP!$B$5:$B$9,MATCH(B1402,BP!$A$5:$A$9,1))-INDEX(BP!$A$5:$A$9,MATCH(B1402,BP!$A$5:$A$9,1)))*(B1402-INDEX(BP!$A$5:$A$9,MATCH(B1402,BP!$A$5:$A$9,1)))+INDEX(BP!$C$5:$C$9,MATCH(B1402,BP!$A$5:$A$9,1)),0))</f>
        <v>16</v>
      </c>
      <c r="D1402" s="12" t="str">
        <f aca="false">IF(NOT(ISNUMBER(C1402)),"",INDEX(BP!$F$5:$F$9,MATCH(C1402,BP!$E$5:$E$9,1)))</f>
        <v>ดีมาก</v>
      </c>
      <c r="E1402" s="12" t="n">
        <f aca="false">YEAR(A1402)</f>
        <v>2024</v>
      </c>
      <c r="F1402" s="12" t="n">
        <f aca="false">MONTH(A1402)</f>
        <v>11</v>
      </c>
      <c r="G1402" s="12" t="n">
        <v>17</v>
      </c>
      <c r="H1402" s="12" t="n">
        <v>35.6</v>
      </c>
      <c r="I1402" s="12" t="n">
        <v>268</v>
      </c>
      <c r="J1402" s="12" t="n">
        <v>4.1</v>
      </c>
      <c r="K1402" s="12" t="n">
        <v>0</v>
      </c>
      <c r="L1402" s="12" t="s">
        <v>36</v>
      </c>
    </row>
    <row r="1403" customFormat="false" ht="15" hidden="false" customHeight="false" outlineLevel="0" collapsed="false">
      <c r="A1403" s="11" t="n">
        <v>45598</v>
      </c>
      <c r="B1403" s="12" t="n">
        <v>10.8</v>
      </c>
      <c r="C1403" s="12" t="n">
        <f aca="false">IF(NOT(ISNUMBER(B1403)),"",ROUND((INDEX(BP!$D$5:$D$9,MATCH(B1403,BP!$A$5:$A$9,1))-INDEX(BP!$C$5:$C$9,MATCH(B1403,BP!$A$5:$A$9,1)))/(INDEX(BP!$B$5:$B$9,MATCH(B1403,BP!$A$5:$A$9,1))-INDEX(BP!$A$5:$A$9,MATCH(B1403,BP!$A$5:$A$9,1)))*(B1403-INDEX(BP!$A$5:$A$9,MATCH(B1403,BP!$A$5:$A$9,1)))+INDEX(BP!$C$5:$C$9,MATCH(B1403,BP!$A$5:$A$9,1)),0))</f>
        <v>18</v>
      </c>
      <c r="D1403" s="12" t="str">
        <f aca="false">IF(NOT(ISNUMBER(C1403)),"",INDEX(BP!$F$5:$F$9,MATCH(C1403,BP!$E$5:$E$9,1)))</f>
        <v>ดีมาก</v>
      </c>
      <c r="E1403" s="12" t="n">
        <f aca="false">YEAR(A1403)</f>
        <v>2024</v>
      </c>
      <c r="F1403" s="12" t="n">
        <f aca="false">MONTH(A1403)</f>
        <v>11</v>
      </c>
      <c r="G1403" s="12" t="n">
        <v>14.7</v>
      </c>
      <c r="H1403" s="12" t="n">
        <v>28.4</v>
      </c>
      <c r="I1403" s="12" t="n">
        <v>234</v>
      </c>
      <c r="J1403" s="12" t="n">
        <v>3.4</v>
      </c>
      <c r="K1403" s="12" t="n">
        <v>28</v>
      </c>
      <c r="L1403" s="12" t="s">
        <v>35</v>
      </c>
    </row>
    <row r="1404" customFormat="false" ht="15" hidden="false" customHeight="false" outlineLevel="0" collapsed="false">
      <c r="A1404" s="11" t="n">
        <v>45599</v>
      </c>
      <c r="B1404" s="12" t="n">
        <v>11.8</v>
      </c>
      <c r="C1404" s="12" t="n">
        <f aca="false">IF(NOT(ISNUMBER(B1404)),"",ROUND((INDEX(BP!$D$5:$D$9,MATCH(B1404,BP!$A$5:$A$9,1))-INDEX(BP!$C$5:$C$9,MATCH(B1404,BP!$A$5:$A$9,1)))/(INDEX(BP!$B$5:$B$9,MATCH(B1404,BP!$A$5:$A$9,1))-INDEX(BP!$A$5:$A$9,MATCH(B1404,BP!$A$5:$A$9,1)))*(B1404-INDEX(BP!$A$5:$A$9,MATCH(B1404,BP!$A$5:$A$9,1)))+INDEX(BP!$C$5:$C$9,MATCH(B1404,BP!$A$5:$A$9,1)),0))</f>
        <v>20</v>
      </c>
      <c r="D1404" s="12" t="str">
        <f aca="false">IF(NOT(ISNUMBER(C1404)),"",INDEX(BP!$F$5:$F$9,MATCH(C1404,BP!$E$5:$E$9,1)))</f>
        <v>ดีมาก</v>
      </c>
      <c r="E1404" s="12" t="n">
        <f aca="false">YEAR(A1404)</f>
        <v>2024</v>
      </c>
      <c r="F1404" s="12" t="n">
        <f aca="false">MONTH(A1404)</f>
        <v>11</v>
      </c>
      <c r="G1404" s="12" t="n">
        <v>11.5</v>
      </c>
      <c r="H1404" s="12" t="n">
        <v>25.2</v>
      </c>
      <c r="I1404" s="12" t="n">
        <v>303</v>
      </c>
      <c r="J1404" s="12" t="n">
        <v>6.4</v>
      </c>
      <c r="K1404" s="12" t="n">
        <v>9.6</v>
      </c>
      <c r="L1404" s="12" t="s">
        <v>35</v>
      </c>
    </row>
    <row r="1405" customFormat="false" ht="15" hidden="false" customHeight="false" outlineLevel="0" collapsed="false">
      <c r="A1405" s="11" t="n">
        <v>45600</v>
      </c>
      <c r="B1405" s="12" t="n">
        <v>11.9</v>
      </c>
      <c r="C1405" s="12" t="n">
        <f aca="false">IF(NOT(ISNUMBER(B1405)),"",ROUND((INDEX(BP!$D$5:$D$9,MATCH(B1405,BP!$A$5:$A$9,1))-INDEX(BP!$C$5:$C$9,MATCH(B1405,BP!$A$5:$A$9,1)))/(INDEX(BP!$B$5:$B$9,MATCH(B1405,BP!$A$5:$A$9,1))-INDEX(BP!$A$5:$A$9,MATCH(B1405,BP!$A$5:$A$9,1)))*(B1405-INDEX(BP!$A$5:$A$9,MATCH(B1405,BP!$A$5:$A$9,1)))+INDEX(BP!$C$5:$C$9,MATCH(B1405,BP!$A$5:$A$9,1)),0))</f>
        <v>20</v>
      </c>
      <c r="D1405" s="12" t="str">
        <f aca="false">IF(NOT(ISNUMBER(C1405)),"",INDEX(BP!$F$5:$F$9,MATCH(C1405,BP!$E$5:$E$9,1)))</f>
        <v>ดีมาก</v>
      </c>
      <c r="E1405" s="12" t="n">
        <f aca="false">YEAR(A1405)</f>
        <v>2024</v>
      </c>
      <c r="F1405" s="12" t="n">
        <f aca="false">MONTH(A1405)</f>
        <v>11</v>
      </c>
      <c r="G1405" s="12" t="n">
        <v>12.6</v>
      </c>
      <c r="H1405" s="12" t="n">
        <v>28.4</v>
      </c>
      <c r="I1405" s="12" t="n">
        <v>211</v>
      </c>
      <c r="J1405" s="12" t="n">
        <v>11.7</v>
      </c>
      <c r="K1405" s="12" t="n">
        <v>17.4</v>
      </c>
      <c r="L1405" s="12" t="s">
        <v>36</v>
      </c>
    </row>
    <row r="1406" customFormat="false" ht="15" hidden="false" customHeight="false" outlineLevel="0" collapsed="false">
      <c r="A1406" s="11" t="n">
        <v>45601</v>
      </c>
      <c r="B1406" s="12" t="n">
        <v>9</v>
      </c>
      <c r="C1406" s="12" t="n">
        <f aca="false">IF(NOT(ISNUMBER(B1406)),"",ROUND((INDEX(BP!$D$5:$D$9,MATCH(B1406,BP!$A$5:$A$9,1))-INDEX(BP!$C$5:$C$9,MATCH(B1406,BP!$A$5:$A$9,1)))/(INDEX(BP!$B$5:$B$9,MATCH(B1406,BP!$A$5:$A$9,1))-INDEX(BP!$A$5:$A$9,MATCH(B1406,BP!$A$5:$A$9,1)))*(B1406-INDEX(BP!$A$5:$A$9,MATCH(B1406,BP!$A$5:$A$9,1)))+INDEX(BP!$C$5:$C$9,MATCH(B1406,BP!$A$5:$A$9,1)),0))</f>
        <v>15</v>
      </c>
      <c r="D1406" s="12" t="str">
        <f aca="false">IF(NOT(ISNUMBER(C1406)),"",INDEX(BP!$F$5:$F$9,MATCH(C1406,BP!$E$5:$E$9,1)))</f>
        <v>ดีมาก</v>
      </c>
      <c r="E1406" s="12" t="n">
        <f aca="false">YEAR(A1406)</f>
        <v>2024</v>
      </c>
      <c r="F1406" s="12" t="n">
        <f aca="false">MONTH(A1406)</f>
        <v>11</v>
      </c>
      <c r="G1406" s="12" t="n">
        <v>10.8</v>
      </c>
      <c r="H1406" s="12" t="n">
        <v>25.6</v>
      </c>
      <c r="I1406" s="12" t="n">
        <v>36</v>
      </c>
      <c r="J1406" s="12" t="n">
        <v>19.9</v>
      </c>
      <c r="K1406" s="12" t="n">
        <v>24.8</v>
      </c>
      <c r="L1406" s="12" t="s">
        <v>36</v>
      </c>
    </row>
    <row r="1407" customFormat="false" ht="15" hidden="false" customHeight="false" outlineLevel="0" collapsed="false">
      <c r="A1407" s="11" t="n">
        <v>45602</v>
      </c>
      <c r="B1407" s="12" t="n">
        <v>8.5</v>
      </c>
      <c r="C1407" s="12" t="n">
        <f aca="false">IF(NOT(ISNUMBER(B1407)),"",ROUND((INDEX(BP!$D$5:$D$9,MATCH(B1407,BP!$A$5:$A$9,1))-INDEX(BP!$C$5:$C$9,MATCH(B1407,BP!$A$5:$A$9,1)))/(INDEX(BP!$B$5:$B$9,MATCH(B1407,BP!$A$5:$A$9,1))-INDEX(BP!$A$5:$A$9,MATCH(B1407,BP!$A$5:$A$9,1)))*(B1407-INDEX(BP!$A$5:$A$9,MATCH(B1407,BP!$A$5:$A$9,1)))+INDEX(BP!$C$5:$C$9,MATCH(B1407,BP!$A$5:$A$9,1)),0))</f>
        <v>14</v>
      </c>
      <c r="D1407" s="12" t="str">
        <f aca="false">IF(NOT(ISNUMBER(C1407)),"",INDEX(BP!$F$5:$F$9,MATCH(C1407,BP!$E$5:$E$9,1)))</f>
        <v>ดีมาก</v>
      </c>
      <c r="E1407" s="12" t="n">
        <f aca="false">YEAR(A1407)</f>
        <v>2024</v>
      </c>
      <c r="F1407" s="12" t="n">
        <f aca="false">MONTH(A1407)</f>
        <v>11</v>
      </c>
      <c r="G1407" s="12" t="n">
        <v>14.2</v>
      </c>
      <c r="H1407" s="12" t="n">
        <v>32</v>
      </c>
      <c r="I1407" s="12" t="n">
        <v>29</v>
      </c>
      <c r="J1407" s="12" t="n">
        <v>5.8</v>
      </c>
      <c r="K1407" s="12" t="n">
        <v>24.8</v>
      </c>
      <c r="L1407" s="12" t="s">
        <v>36</v>
      </c>
    </row>
    <row r="1408" customFormat="false" ht="15" hidden="false" customHeight="false" outlineLevel="0" collapsed="false">
      <c r="A1408" s="11" t="n">
        <v>45603</v>
      </c>
      <c r="B1408" s="12" t="n">
        <v>7.9</v>
      </c>
      <c r="C1408" s="12" t="n">
        <f aca="false">IF(NOT(ISNUMBER(B1408)),"",ROUND((INDEX(BP!$D$5:$D$9,MATCH(B1408,BP!$A$5:$A$9,1))-INDEX(BP!$C$5:$C$9,MATCH(B1408,BP!$A$5:$A$9,1)))/(INDEX(BP!$B$5:$B$9,MATCH(B1408,BP!$A$5:$A$9,1))-INDEX(BP!$A$5:$A$9,MATCH(B1408,BP!$A$5:$A$9,1)))*(B1408-INDEX(BP!$A$5:$A$9,MATCH(B1408,BP!$A$5:$A$9,1)))+INDEX(BP!$C$5:$C$9,MATCH(B1408,BP!$A$5:$A$9,1)),0))</f>
        <v>13</v>
      </c>
      <c r="D1408" s="12" t="str">
        <f aca="false">IF(NOT(ISNUMBER(C1408)),"",INDEX(BP!$F$5:$F$9,MATCH(C1408,BP!$E$5:$E$9,1)))</f>
        <v>ดีมาก</v>
      </c>
      <c r="E1408" s="12" t="n">
        <f aca="false">YEAR(A1408)</f>
        <v>2024</v>
      </c>
      <c r="F1408" s="12" t="n">
        <f aca="false">MONTH(A1408)</f>
        <v>11</v>
      </c>
      <c r="G1408" s="12" t="n">
        <v>15.8</v>
      </c>
      <c r="H1408" s="12" t="n">
        <v>35.6</v>
      </c>
      <c r="I1408" s="12" t="n">
        <v>84</v>
      </c>
      <c r="J1408" s="12" t="n">
        <v>13.6</v>
      </c>
      <c r="K1408" s="12" t="n">
        <v>15.6</v>
      </c>
      <c r="L1408" s="12" t="s">
        <v>36</v>
      </c>
    </row>
    <row r="1409" customFormat="false" ht="15" hidden="false" customHeight="false" outlineLevel="0" collapsed="false">
      <c r="A1409" s="11" t="n">
        <v>45604</v>
      </c>
      <c r="B1409" s="12" t="n">
        <v>7.8</v>
      </c>
      <c r="C1409" s="12" t="n">
        <f aca="false">IF(NOT(ISNUMBER(B1409)),"",ROUND((INDEX(BP!$D$5:$D$9,MATCH(B1409,BP!$A$5:$A$9,1))-INDEX(BP!$C$5:$C$9,MATCH(B1409,BP!$A$5:$A$9,1)))/(INDEX(BP!$B$5:$B$9,MATCH(B1409,BP!$A$5:$A$9,1))-INDEX(BP!$A$5:$A$9,MATCH(B1409,BP!$A$5:$A$9,1)))*(B1409-INDEX(BP!$A$5:$A$9,MATCH(B1409,BP!$A$5:$A$9,1)))+INDEX(BP!$C$5:$C$9,MATCH(B1409,BP!$A$5:$A$9,1)),0))</f>
        <v>13</v>
      </c>
      <c r="D1409" s="12" t="str">
        <f aca="false">IF(NOT(ISNUMBER(C1409)),"",INDEX(BP!$F$5:$F$9,MATCH(C1409,BP!$E$5:$E$9,1)))</f>
        <v>ดีมาก</v>
      </c>
      <c r="E1409" s="12" t="n">
        <f aca="false">YEAR(A1409)</f>
        <v>2024</v>
      </c>
      <c r="F1409" s="12" t="n">
        <f aca="false">MONTH(A1409)</f>
        <v>11</v>
      </c>
      <c r="G1409" s="12" t="n">
        <v>12.3</v>
      </c>
      <c r="H1409" s="12" t="n">
        <v>27.4</v>
      </c>
      <c r="I1409" s="12" t="n">
        <v>86</v>
      </c>
      <c r="J1409" s="12" t="n">
        <v>23.9</v>
      </c>
      <c r="K1409" s="12" t="n">
        <v>1.4</v>
      </c>
      <c r="L1409" s="12" t="s">
        <v>36</v>
      </c>
    </row>
    <row r="1410" customFormat="false" ht="15" hidden="false" customHeight="false" outlineLevel="0" collapsed="false">
      <c r="A1410" s="11" t="n">
        <v>45605</v>
      </c>
      <c r="B1410" s="12" t="n">
        <v>8</v>
      </c>
      <c r="C1410" s="12" t="n">
        <f aca="false">IF(NOT(ISNUMBER(B1410)),"",ROUND((INDEX(BP!$D$5:$D$9,MATCH(B1410,BP!$A$5:$A$9,1))-INDEX(BP!$C$5:$C$9,MATCH(B1410,BP!$A$5:$A$9,1)))/(INDEX(BP!$B$5:$B$9,MATCH(B1410,BP!$A$5:$A$9,1))-INDEX(BP!$A$5:$A$9,MATCH(B1410,BP!$A$5:$A$9,1)))*(B1410-INDEX(BP!$A$5:$A$9,MATCH(B1410,BP!$A$5:$A$9,1)))+INDEX(BP!$C$5:$C$9,MATCH(B1410,BP!$A$5:$A$9,1)),0))</f>
        <v>13</v>
      </c>
      <c r="D1410" s="12" t="str">
        <f aca="false">IF(NOT(ISNUMBER(C1410)),"",INDEX(BP!$F$5:$F$9,MATCH(C1410,BP!$E$5:$E$9,1)))</f>
        <v>ดีมาก</v>
      </c>
      <c r="E1410" s="12" t="n">
        <f aca="false">YEAR(A1410)</f>
        <v>2024</v>
      </c>
      <c r="F1410" s="12" t="n">
        <f aca="false">MONTH(A1410)</f>
        <v>11</v>
      </c>
      <c r="G1410" s="12" t="n">
        <v>14.9</v>
      </c>
      <c r="H1410" s="12" t="n">
        <v>36.4</v>
      </c>
      <c r="I1410" s="12" t="n">
        <v>61</v>
      </c>
      <c r="J1410" s="12" t="n">
        <v>35.9</v>
      </c>
      <c r="K1410" s="12" t="n">
        <v>9</v>
      </c>
      <c r="L1410" s="12" t="s">
        <v>35</v>
      </c>
    </row>
    <row r="1411" customFormat="false" ht="15" hidden="false" customHeight="false" outlineLevel="0" collapsed="false">
      <c r="A1411" s="11" t="n">
        <v>45606</v>
      </c>
      <c r="B1411" s="12" t="n">
        <v>7.1</v>
      </c>
      <c r="C1411" s="12" t="n">
        <f aca="false">IF(NOT(ISNUMBER(B1411)),"",ROUND((INDEX(BP!$D$5:$D$9,MATCH(B1411,BP!$A$5:$A$9,1))-INDEX(BP!$C$5:$C$9,MATCH(B1411,BP!$A$5:$A$9,1)))/(INDEX(BP!$B$5:$B$9,MATCH(B1411,BP!$A$5:$A$9,1))-INDEX(BP!$A$5:$A$9,MATCH(B1411,BP!$A$5:$A$9,1)))*(B1411-INDEX(BP!$A$5:$A$9,MATCH(B1411,BP!$A$5:$A$9,1)))+INDEX(BP!$C$5:$C$9,MATCH(B1411,BP!$A$5:$A$9,1)),0))</f>
        <v>12</v>
      </c>
      <c r="D1411" s="12" t="str">
        <f aca="false">IF(NOT(ISNUMBER(C1411)),"",INDEX(BP!$F$5:$F$9,MATCH(C1411,BP!$E$5:$E$9,1)))</f>
        <v>ดีมาก</v>
      </c>
      <c r="E1411" s="12" t="n">
        <f aca="false">YEAR(A1411)</f>
        <v>2024</v>
      </c>
      <c r="F1411" s="12" t="n">
        <f aca="false">MONTH(A1411)</f>
        <v>11</v>
      </c>
      <c r="G1411" s="12" t="n">
        <v>13.9</v>
      </c>
      <c r="H1411" s="12" t="n">
        <v>28.8</v>
      </c>
      <c r="I1411" s="12" t="n">
        <v>57</v>
      </c>
      <c r="J1411" s="12" t="n">
        <v>17.1</v>
      </c>
      <c r="K1411" s="12" t="n">
        <v>0.2</v>
      </c>
      <c r="L1411" s="12" t="s">
        <v>35</v>
      </c>
    </row>
    <row r="1412" customFormat="false" ht="15" hidden="false" customHeight="false" outlineLevel="0" collapsed="false">
      <c r="A1412" s="11" t="n">
        <v>45607</v>
      </c>
      <c r="B1412" s="12" t="n">
        <v>7.7</v>
      </c>
      <c r="C1412" s="12" t="n">
        <f aca="false">IF(NOT(ISNUMBER(B1412)),"",ROUND((INDEX(BP!$D$5:$D$9,MATCH(B1412,BP!$A$5:$A$9,1))-INDEX(BP!$C$5:$C$9,MATCH(B1412,BP!$A$5:$A$9,1)))/(INDEX(BP!$B$5:$B$9,MATCH(B1412,BP!$A$5:$A$9,1))-INDEX(BP!$A$5:$A$9,MATCH(B1412,BP!$A$5:$A$9,1)))*(B1412-INDEX(BP!$A$5:$A$9,MATCH(B1412,BP!$A$5:$A$9,1)))+INDEX(BP!$C$5:$C$9,MATCH(B1412,BP!$A$5:$A$9,1)),0))</f>
        <v>13</v>
      </c>
      <c r="D1412" s="12" t="str">
        <f aca="false">IF(NOT(ISNUMBER(C1412)),"",INDEX(BP!$F$5:$F$9,MATCH(C1412,BP!$E$5:$E$9,1)))</f>
        <v>ดีมาก</v>
      </c>
      <c r="E1412" s="12" t="n">
        <f aca="false">YEAR(A1412)</f>
        <v>2024</v>
      </c>
      <c r="F1412" s="12" t="n">
        <f aca="false">MONTH(A1412)</f>
        <v>11</v>
      </c>
      <c r="G1412" s="12" t="n">
        <v>11.8</v>
      </c>
      <c r="H1412" s="12" t="n">
        <v>28.8</v>
      </c>
      <c r="I1412" s="12" t="n">
        <v>56</v>
      </c>
      <c r="J1412" s="12" t="n">
        <v>10</v>
      </c>
      <c r="K1412" s="12" t="n">
        <v>8.2</v>
      </c>
      <c r="L1412" s="12" t="s">
        <v>36</v>
      </c>
    </row>
    <row r="1413" customFormat="false" ht="15" hidden="false" customHeight="false" outlineLevel="0" collapsed="false">
      <c r="A1413" s="11" t="n">
        <v>45608</v>
      </c>
      <c r="B1413" s="12" t="n">
        <v>8.8</v>
      </c>
      <c r="C1413" s="12" t="n">
        <f aca="false">IF(NOT(ISNUMBER(B1413)),"",ROUND((INDEX(BP!$D$5:$D$9,MATCH(B1413,BP!$A$5:$A$9,1))-INDEX(BP!$C$5:$C$9,MATCH(B1413,BP!$A$5:$A$9,1)))/(INDEX(BP!$B$5:$B$9,MATCH(B1413,BP!$A$5:$A$9,1))-INDEX(BP!$A$5:$A$9,MATCH(B1413,BP!$A$5:$A$9,1)))*(B1413-INDEX(BP!$A$5:$A$9,MATCH(B1413,BP!$A$5:$A$9,1)))+INDEX(BP!$C$5:$C$9,MATCH(B1413,BP!$A$5:$A$9,1)),0))</f>
        <v>15</v>
      </c>
      <c r="D1413" s="12" t="str">
        <f aca="false">IF(NOT(ISNUMBER(C1413)),"",INDEX(BP!$F$5:$F$9,MATCH(C1413,BP!$E$5:$E$9,1)))</f>
        <v>ดีมาก</v>
      </c>
      <c r="E1413" s="12" t="n">
        <f aca="false">YEAR(A1413)</f>
        <v>2024</v>
      </c>
      <c r="F1413" s="12" t="n">
        <f aca="false">MONTH(A1413)</f>
        <v>11</v>
      </c>
      <c r="G1413" s="12" t="n">
        <v>12.5</v>
      </c>
      <c r="H1413" s="12" t="n">
        <v>28.1</v>
      </c>
      <c r="I1413" s="12" t="n">
        <v>27</v>
      </c>
      <c r="J1413" s="12" t="n">
        <v>9.9</v>
      </c>
      <c r="K1413" s="12" t="n">
        <v>65.4</v>
      </c>
      <c r="L1413" s="12" t="s">
        <v>36</v>
      </c>
    </row>
    <row r="1414" customFormat="false" ht="15" hidden="false" customHeight="false" outlineLevel="0" collapsed="false">
      <c r="A1414" s="11" t="n">
        <v>45609</v>
      </c>
      <c r="B1414" s="12" t="n">
        <v>11</v>
      </c>
      <c r="C1414" s="12" t="n">
        <f aca="false">IF(NOT(ISNUMBER(B1414)),"",ROUND((INDEX(BP!$D$5:$D$9,MATCH(B1414,BP!$A$5:$A$9,1))-INDEX(BP!$C$5:$C$9,MATCH(B1414,BP!$A$5:$A$9,1)))/(INDEX(BP!$B$5:$B$9,MATCH(B1414,BP!$A$5:$A$9,1))-INDEX(BP!$A$5:$A$9,MATCH(B1414,BP!$A$5:$A$9,1)))*(B1414-INDEX(BP!$A$5:$A$9,MATCH(B1414,BP!$A$5:$A$9,1)))+INDEX(BP!$C$5:$C$9,MATCH(B1414,BP!$A$5:$A$9,1)),0))</f>
        <v>18</v>
      </c>
      <c r="D1414" s="12" t="str">
        <f aca="false">IF(NOT(ISNUMBER(C1414)),"",INDEX(BP!$F$5:$F$9,MATCH(C1414,BP!$E$5:$E$9,1)))</f>
        <v>ดีมาก</v>
      </c>
      <c r="E1414" s="12" t="n">
        <f aca="false">YEAR(A1414)</f>
        <v>2024</v>
      </c>
      <c r="F1414" s="12" t="n">
        <f aca="false">MONTH(A1414)</f>
        <v>11</v>
      </c>
      <c r="G1414" s="12" t="n">
        <v>9.4</v>
      </c>
      <c r="H1414" s="12" t="n">
        <v>25.6</v>
      </c>
      <c r="I1414" s="12" t="n">
        <v>47</v>
      </c>
      <c r="J1414" s="12" t="n">
        <v>1.2</v>
      </c>
      <c r="K1414" s="12" t="n">
        <v>0</v>
      </c>
      <c r="L1414" s="12" t="s">
        <v>36</v>
      </c>
    </row>
    <row r="1415" customFormat="false" ht="15" hidden="false" customHeight="false" outlineLevel="0" collapsed="false">
      <c r="A1415" s="11" t="n">
        <v>45610</v>
      </c>
      <c r="B1415" s="12" t="n">
        <v>13</v>
      </c>
      <c r="C1415" s="12" t="n">
        <f aca="false">IF(NOT(ISNUMBER(B1415)),"",ROUND((INDEX(BP!$D$5:$D$9,MATCH(B1415,BP!$A$5:$A$9,1))-INDEX(BP!$C$5:$C$9,MATCH(B1415,BP!$A$5:$A$9,1)))/(INDEX(BP!$B$5:$B$9,MATCH(B1415,BP!$A$5:$A$9,1))-INDEX(BP!$A$5:$A$9,MATCH(B1415,BP!$A$5:$A$9,1)))*(B1415-INDEX(BP!$A$5:$A$9,MATCH(B1415,BP!$A$5:$A$9,1)))+INDEX(BP!$C$5:$C$9,MATCH(B1415,BP!$A$5:$A$9,1)),0))</f>
        <v>22</v>
      </c>
      <c r="D1415" s="12" t="str">
        <f aca="false">IF(NOT(ISNUMBER(C1415)),"",INDEX(BP!$F$5:$F$9,MATCH(C1415,BP!$E$5:$E$9,1)))</f>
        <v>ดีมาก</v>
      </c>
      <c r="E1415" s="12" t="n">
        <f aca="false">YEAR(A1415)</f>
        <v>2024</v>
      </c>
      <c r="F1415" s="12" t="n">
        <f aca="false">MONTH(A1415)</f>
        <v>11</v>
      </c>
      <c r="G1415" s="12" t="n">
        <v>10.9</v>
      </c>
      <c r="H1415" s="12" t="n">
        <v>25.9</v>
      </c>
      <c r="I1415" s="12" t="n">
        <v>77</v>
      </c>
      <c r="J1415" s="12" t="n">
        <v>1.4</v>
      </c>
      <c r="K1415" s="12" t="n">
        <v>5.6</v>
      </c>
      <c r="L1415" s="12" t="s">
        <v>36</v>
      </c>
    </row>
    <row r="1416" customFormat="false" ht="15" hidden="false" customHeight="false" outlineLevel="0" collapsed="false">
      <c r="A1416" s="11" t="n">
        <v>45611</v>
      </c>
      <c r="B1416" s="12" t="n">
        <v>13.8</v>
      </c>
      <c r="C1416" s="12" t="n">
        <f aca="false">IF(NOT(ISNUMBER(B1416)),"",ROUND((INDEX(BP!$D$5:$D$9,MATCH(B1416,BP!$A$5:$A$9,1))-INDEX(BP!$C$5:$C$9,MATCH(B1416,BP!$A$5:$A$9,1)))/(INDEX(BP!$B$5:$B$9,MATCH(B1416,BP!$A$5:$A$9,1))-INDEX(BP!$A$5:$A$9,MATCH(B1416,BP!$A$5:$A$9,1)))*(B1416-INDEX(BP!$A$5:$A$9,MATCH(B1416,BP!$A$5:$A$9,1)))+INDEX(BP!$C$5:$C$9,MATCH(B1416,BP!$A$5:$A$9,1)),0))</f>
        <v>23</v>
      </c>
      <c r="D1416" s="12" t="str">
        <f aca="false">IF(NOT(ISNUMBER(C1416)),"",INDEX(BP!$F$5:$F$9,MATCH(C1416,BP!$E$5:$E$9,1)))</f>
        <v>ดีมาก</v>
      </c>
      <c r="E1416" s="12" t="n">
        <f aca="false">YEAR(A1416)</f>
        <v>2024</v>
      </c>
      <c r="F1416" s="12" t="n">
        <f aca="false">MONTH(A1416)</f>
        <v>11</v>
      </c>
      <c r="G1416" s="12" t="n">
        <v>10</v>
      </c>
      <c r="H1416" s="12" t="n">
        <v>25.2</v>
      </c>
      <c r="I1416" s="12" t="n">
        <v>116</v>
      </c>
      <c r="J1416" s="12" t="n">
        <v>6.3</v>
      </c>
      <c r="K1416" s="12" t="n">
        <v>0</v>
      </c>
      <c r="L1416" s="12" t="s">
        <v>36</v>
      </c>
    </row>
    <row r="1417" customFormat="false" ht="15" hidden="false" customHeight="false" outlineLevel="0" collapsed="false">
      <c r="A1417" s="11" t="n">
        <v>45612</v>
      </c>
      <c r="B1417" s="12" t="n">
        <v>11.8</v>
      </c>
      <c r="C1417" s="12" t="n">
        <f aca="false">IF(NOT(ISNUMBER(B1417)),"",ROUND((INDEX(BP!$D$5:$D$9,MATCH(B1417,BP!$A$5:$A$9,1))-INDEX(BP!$C$5:$C$9,MATCH(B1417,BP!$A$5:$A$9,1)))/(INDEX(BP!$B$5:$B$9,MATCH(B1417,BP!$A$5:$A$9,1))-INDEX(BP!$A$5:$A$9,MATCH(B1417,BP!$A$5:$A$9,1)))*(B1417-INDEX(BP!$A$5:$A$9,MATCH(B1417,BP!$A$5:$A$9,1)))+INDEX(BP!$C$5:$C$9,MATCH(B1417,BP!$A$5:$A$9,1)),0))</f>
        <v>20</v>
      </c>
      <c r="D1417" s="12" t="str">
        <f aca="false">IF(NOT(ISNUMBER(C1417)),"",INDEX(BP!$F$5:$F$9,MATCH(C1417,BP!$E$5:$E$9,1)))</f>
        <v>ดีมาก</v>
      </c>
      <c r="E1417" s="12" t="n">
        <f aca="false">YEAR(A1417)</f>
        <v>2024</v>
      </c>
      <c r="F1417" s="12" t="n">
        <f aca="false">MONTH(A1417)</f>
        <v>11</v>
      </c>
      <c r="G1417" s="12" t="n">
        <v>11.7</v>
      </c>
      <c r="H1417" s="12" t="n">
        <v>30.2</v>
      </c>
      <c r="I1417" s="12" t="n">
        <v>86</v>
      </c>
      <c r="J1417" s="12" t="n">
        <v>2.9</v>
      </c>
      <c r="K1417" s="12" t="n">
        <v>0</v>
      </c>
      <c r="L1417" s="12" t="s">
        <v>35</v>
      </c>
    </row>
    <row r="1418" customFormat="false" ht="15" hidden="false" customHeight="false" outlineLevel="0" collapsed="false">
      <c r="A1418" s="11" t="n">
        <v>45613</v>
      </c>
      <c r="B1418" s="12" t="n">
        <v>12.2</v>
      </c>
      <c r="C1418" s="12" t="n">
        <f aca="false">IF(NOT(ISNUMBER(B1418)),"",ROUND((INDEX(BP!$D$5:$D$9,MATCH(B1418,BP!$A$5:$A$9,1))-INDEX(BP!$C$5:$C$9,MATCH(B1418,BP!$A$5:$A$9,1)))/(INDEX(BP!$B$5:$B$9,MATCH(B1418,BP!$A$5:$A$9,1))-INDEX(BP!$A$5:$A$9,MATCH(B1418,BP!$A$5:$A$9,1)))*(B1418-INDEX(BP!$A$5:$A$9,MATCH(B1418,BP!$A$5:$A$9,1)))+INDEX(BP!$C$5:$C$9,MATCH(B1418,BP!$A$5:$A$9,1)),0))</f>
        <v>20</v>
      </c>
      <c r="D1418" s="12" t="str">
        <f aca="false">IF(NOT(ISNUMBER(C1418)),"",INDEX(BP!$F$5:$F$9,MATCH(C1418,BP!$E$5:$E$9,1)))</f>
        <v>ดีมาก</v>
      </c>
      <c r="E1418" s="12" t="n">
        <f aca="false">YEAR(A1418)</f>
        <v>2024</v>
      </c>
      <c r="F1418" s="12" t="n">
        <f aca="false">MONTH(A1418)</f>
        <v>11</v>
      </c>
      <c r="G1418" s="12" t="n">
        <v>16</v>
      </c>
      <c r="H1418" s="12" t="n">
        <v>34.9</v>
      </c>
      <c r="I1418" s="12" t="n">
        <v>71</v>
      </c>
      <c r="J1418" s="12" t="n">
        <v>1.4</v>
      </c>
      <c r="K1418" s="12" t="n">
        <v>0</v>
      </c>
      <c r="L1418" s="12" t="s">
        <v>35</v>
      </c>
    </row>
    <row r="1419" customFormat="false" ht="15" hidden="false" customHeight="false" outlineLevel="0" collapsed="false">
      <c r="A1419" s="11" t="n">
        <v>45614</v>
      </c>
      <c r="B1419" s="12" t="n">
        <v>13.8</v>
      </c>
      <c r="C1419" s="12" t="n">
        <f aca="false">IF(NOT(ISNUMBER(B1419)),"",ROUND((INDEX(BP!$D$5:$D$9,MATCH(B1419,BP!$A$5:$A$9,1))-INDEX(BP!$C$5:$C$9,MATCH(B1419,BP!$A$5:$A$9,1)))/(INDEX(BP!$B$5:$B$9,MATCH(B1419,BP!$A$5:$A$9,1))-INDEX(BP!$A$5:$A$9,MATCH(B1419,BP!$A$5:$A$9,1)))*(B1419-INDEX(BP!$A$5:$A$9,MATCH(B1419,BP!$A$5:$A$9,1)))+INDEX(BP!$C$5:$C$9,MATCH(B1419,BP!$A$5:$A$9,1)),0))</f>
        <v>23</v>
      </c>
      <c r="D1419" s="12" t="str">
        <f aca="false">IF(NOT(ISNUMBER(C1419)),"",INDEX(BP!$F$5:$F$9,MATCH(C1419,BP!$E$5:$E$9,1)))</f>
        <v>ดีมาก</v>
      </c>
      <c r="E1419" s="12" t="n">
        <f aca="false">YEAR(A1419)</f>
        <v>2024</v>
      </c>
      <c r="F1419" s="12" t="n">
        <f aca="false">MONTH(A1419)</f>
        <v>11</v>
      </c>
      <c r="G1419" s="12" t="n">
        <v>22.3</v>
      </c>
      <c r="H1419" s="12" t="n">
        <v>45.7</v>
      </c>
      <c r="I1419" s="12" t="n">
        <v>82</v>
      </c>
      <c r="J1419" s="12" t="n">
        <v>0.2</v>
      </c>
      <c r="K1419" s="12" t="n">
        <v>1.6</v>
      </c>
      <c r="L1419" s="12" t="s">
        <v>36</v>
      </c>
    </row>
    <row r="1420" customFormat="false" ht="15" hidden="false" customHeight="false" outlineLevel="0" collapsed="false">
      <c r="A1420" s="11" t="n">
        <v>45615</v>
      </c>
      <c r="B1420" s="12" t="n">
        <v>13.7</v>
      </c>
      <c r="C1420" s="12" t="n">
        <f aca="false">IF(NOT(ISNUMBER(B1420)),"",ROUND((INDEX(BP!$D$5:$D$9,MATCH(B1420,BP!$A$5:$A$9,1))-INDEX(BP!$C$5:$C$9,MATCH(B1420,BP!$A$5:$A$9,1)))/(INDEX(BP!$B$5:$B$9,MATCH(B1420,BP!$A$5:$A$9,1))-INDEX(BP!$A$5:$A$9,MATCH(B1420,BP!$A$5:$A$9,1)))*(B1420-INDEX(BP!$A$5:$A$9,MATCH(B1420,BP!$A$5:$A$9,1)))+INDEX(BP!$C$5:$C$9,MATCH(B1420,BP!$A$5:$A$9,1)),0))</f>
        <v>23</v>
      </c>
      <c r="D1420" s="12" t="str">
        <f aca="false">IF(NOT(ISNUMBER(C1420)),"",INDEX(BP!$F$5:$F$9,MATCH(C1420,BP!$E$5:$E$9,1)))</f>
        <v>ดีมาก</v>
      </c>
      <c r="E1420" s="12" t="n">
        <f aca="false">YEAR(A1420)</f>
        <v>2024</v>
      </c>
      <c r="F1420" s="12" t="n">
        <f aca="false">MONTH(A1420)</f>
        <v>11</v>
      </c>
      <c r="G1420" s="12" t="n">
        <v>24.2</v>
      </c>
      <c r="H1420" s="12" t="n">
        <v>49.3</v>
      </c>
      <c r="I1420" s="12" t="n">
        <v>77</v>
      </c>
      <c r="J1420" s="12" t="n">
        <v>1.2</v>
      </c>
      <c r="K1420" s="12" t="n">
        <v>0</v>
      </c>
      <c r="L1420" s="12" t="s">
        <v>36</v>
      </c>
    </row>
    <row r="1421" customFormat="false" ht="15" hidden="false" customHeight="false" outlineLevel="0" collapsed="false">
      <c r="A1421" s="11" t="n">
        <v>45616</v>
      </c>
      <c r="B1421" s="12" t="n">
        <v>11.1</v>
      </c>
      <c r="C1421" s="12" t="n">
        <f aca="false">IF(NOT(ISNUMBER(B1421)),"",ROUND((INDEX(BP!$D$5:$D$9,MATCH(B1421,BP!$A$5:$A$9,1))-INDEX(BP!$C$5:$C$9,MATCH(B1421,BP!$A$5:$A$9,1)))/(INDEX(BP!$B$5:$B$9,MATCH(B1421,BP!$A$5:$A$9,1))-INDEX(BP!$A$5:$A$9,MATCH(B1421,BP!$A$5:$A$9,1)))*(B1421-INDEX(BP!$A$5:$A$9,MATCH(B1421,BP!$A$5:$A$9,1)))+INDEX(BP!$C$5:$C$9,MATCH(B1421,BP!$A$5:$A$9,1)),0))</f>
        <v>19</v>
      </c>
      <c r="D1421" s="12" t="str">
        <f aca="false">IF(NOT(ISNUMBER(C1421)),"",INDEX(BP!$F$5:$F$9,MATCH(C1421,BP!$E$5:$E$9,1)))</f>
        <v>ดีมาก</v>
      </c>
      <c r="E1421" s="12" t="n">
        <f aca="false">YEAR(A1421)</f>
        <v>2024</v>
      </c>
      <c r="F1421" s="12" t="n">
        <f aca="false">MONTH(A1421)</f>
        <v>11</v>
      </c>
      <c r="G1421" s="12" t="n">
        <v>21.8</v>
      </c>
      <c r="H1421" s="12" t="n">
        <v>43.6</v>
      </c>
      <c r="I1421" s="12" t="n">
        <v>87</v>
      </c>
      <c r="J1421" s="12" t="n">
        <v>19.3</v>
      </c>
      <c r="K1421" s="12" t="n">
        <v>20.4</v>
      </c>
      <c r="L1421" s="12" t="s">
        <v>36</v>
      </c>
    </row>
    <row r="1422" customFormat="false" ht="15" hidden="false" customHeight="false" outlineLevel="0" collapsed="false">
      <c r="A1422" s="11" t="n">
        <v>45617</v>
      </c>
      <c r="B1422" s="12" t="n">
        <v>8.9</v>
      </c>
      <c r="C1422" s="12" t="n">
        <f aca="false">IF(NOT(ISNUMBER(B1422)),"",ROUND((INDEX(BP!$D$5:$D$9,MATCH(B1422,BP!$A$5:$A$9,1))-INDEX(BP!$C$5:$C$9,MATCH(B1422,BP!$A$5:$A$9,1)))/(INDEX(BP!$B$5:$B$9,MATCH(B1422,BP!$A$5:$A$9,1))-INDEX(BP!$A$5:$A$9,MATCH(B1422,BP!$A$5:$A$9,1)))*(B1422-INDEX(BP!$A$5:$A$9,MATCH(B1422,BP!$A$5:$A$9,1)))+INDEX(BP!$C$5:$C$9,MATCH(B1422,BP!$A$5:$A$9,1)),0))</f>
        <v>15</v>
      </c>
      <c r="D1422" s="12" t="str">
        <f aca="false">IF(NOT(ISNUMBER(C1422)),"",INDEX(BP!$F$5:$F$9,MATCH(C1422,BP!$E$5:$E$9,1)))</f>
        <v>ดีมาก</v>
      </c>
      <c r="E1422" s="12" t="n">
        <f aca="false">YEAR(A1422)</f>
        <v>2024</v>
      </c>
      <c r="F1422" s="12" t="n">
        <f aca="false">MONTH(A1422)</f>
        <v>11</v>
      </c>
      <c r="G1422" s="12" t="n">
        <v>19</v>
      </c>
      <c r="H1422" s="12" t="n">
        <v>42.1</v>
      </c>
      <c r="I1422" s="12" t="n">
        <v>79</v>
      </c>
      <c r="J1422" s="12" t="n">
        <v>29.5</v>
      </c>
      <c r="K1422" s="12" t="n">
        <v>11.8</v>
      </c>
      <c r="L1422" s="12" t="s">
        <v>36</v>
      </c>
    </row>
    <row r="1423" customFormat="false" ht="15" hidden="false" customHeight="false" outlineLevel="0" collapsed="false">
      <c r="A1423" s="11" t="n">
        <v>45618</v>
      </c>
      <c r="B1423" s="12" t="n">
        <v>8.1</v>
      </c>
      <c r="C1423" s="12" t="n">
        <f aca="false">IF(NOT(ISNUMBER(B1423)),"",ROUND((INDEX(BP!$D$5:$D$9,MATCH(B1423,BP!$A$5:$A$9,1))-INDEX(BP!$C$5:$C$9,MATCH(B1423,BP!$A$5:$A$9,1)))/(INDEX(BP!$B$5:$B$9,MATCH(B1423,BP!$A$5:$A$9,1))-INDEX(BP!$A$5:$A$9,MATCH(B1423,BP!$A$5:$A$9,1)))*(B1423-INDEX(BP!$A$5:$A$9,MATCH(B1423,BP!$A$5:$A$9,1)))+INDEX(BP!$C$5:$C$9,MATCH(B1423,BP!$A$5:$A$9,1)),0))</f>
        <v>14</v>
      </c>
      <c r="D1423" s="12" t="str">
        <f aca="false">IF(NOT(ISNUMBER(C1423)),"",INDEX(BP!$F$5:$F$9,MATCH(C1423,BP!$E$5:$E$9,1)))</f>
        <v>ดีมาก</v>
      </c>
      <c r="E1423" s="12" t="n">
        <f aca="false">YEAR(A1423)</f>
        <v>2024</v>
      </c>
      <c r="F1423" s="12" t="n">
        <f aca="false">MONTH(A1423)</f>
        <v>11</v>
      </c>
      <c r="G1423" s="12" t="n">
        <v>25.6</v>
      </c>
      <c r="H1423" s="12" t="n">
        <v>47.2</v>
      </c>
      <c r="I1423" s="12" t="n">
        <v>84</v>
      </c>
      <c r="J1423" s="12" t="n">
        <v>46.7</v>
      </c>
      <c r="K1423" s="12" t="n">
        <v>1</v>
      </c>
      <c r="L1423" s="12" t="s">
        <v>36</v>
      </c>
    </row>
    <row r="1424" customFormat="false" ht="15" hidden="false" customHeight="false" outlineLevel="0" collapsed="false">
      <c r="A1424" s="11" t="n">
        <v>45619</v>
      </c>
      <c r="B1424" s="12" t="n">
        <v>8.8</v>
      </c>
      <c r="C1424" s="12" t="n">
        <f aca="false">IF(NOT(ISNUMBER(B1424)),"",ROUND((INDEX(BP!$D$5:$D$9,MATCH(B1424,BP!$A$5:$A$9,1))-INDEX(BP!$C$5:$C$9,MATCH(B1424,BP!$A$5:$A$9,1)))/(INDEX(BP!$B$5:$B$9,MATCH(B1424,BP!$A$5:$A$9,1))-INDEX(BP!$A$5:$A$9,MATCH(B1424,BP!$A$5:$A$9,1)))*(B1424-INDEX(BP!$A$5:$A$9,MATCH(B1424,BP!$A$5:$A$9,1)))+INDEX(BP!$C$5:$C$9,MATCH(B1424,BP!$A$5:$A$9,1)),0))</f>
        <v>15</v>
      </c>
      <c r="D1424" s="12" t="str">
        <f aca="false">IF(NOT(ISNUMBER(C1424)),"",INDEX(BP!$F$5:$F$9,MATCH(C1424,BP!$E$5:$E$9,1)))</f>
        <v>ดีมาก</v>
      </c>
      <c r="E1424" s="12" t="n">
        <f aca="false">YEAR(A1424)</f>
        <v>2024</v>
      </c>
      <c r="F1424" s="12" t="n">
        <f aca="false">MONTH(A1424)</f>
        <v>11</v>
      </c>
      <c r="G1424" s="12" t="n">
        <v>18.3</v>
      </c>
      <c r="H1424" s="12" t="n">
        <v>40.3</v>
      </c>
      <c r="I1424" s="12" t="n">
        <v>94</v>
      </c>
      <c r="J1424" s="12" t="n">
        <v>14.8</v>
      </c>
      <c r="K1424" s="12" t="n">
        <v>11.6</v>
      </c>
      <c r="L1424" s="12" t="s">
        <v>35</v>
      </c>
    </row>
    <row r="1425" customFormat="false" ht="15" hidden="false" customHeight="false" outlineLevel="0" collapsed="false">
      <c r="A1425" s="11" t="n">
        <v>45620</v>
      </c>
      <c r="B1425" s="12" t="n">
        <v>8.5</v>
      </c>
      <c r="C1425" s="12" t="n">
        <f aca="false">IF(NOT(ISNUMBER(B1425)),"",ROUND((INDEX(BP!$D$5:$D$9,MATCH(B1425,BP!$A$5:$A$9,1))-INDEX(BP!$C$5:$C$9,MATCH(B1425,BP!$A$5:$A$9,1)))/(INDEX(BP!$B$5:$B$9,MATCH(B1425,BP!$A$5:$A$9,1))-INDEX(BP!$A$5:$A$9,MATCH(B1425,BP!$A$5:$A$9,1)))*(B1425-INDEX(BP!$A$5:$A$9,MATCH(B1425,BP!$A$5:$A$9,1)))+INDEX(BP!$C$5:$C$9,MATCH(B1425,BP!$A$5:$A$9,1)),0))</f>
        <v>14</v>
      </c>
      <c r="D1425" s="12" t="str">
        <f aca="false">IF(NOT(ISNUMBER(C1425)),"",INDEX(BP!$F$5:$F$9,MATCH(C1425,BP!$E$5:$E$9,1)))</f>
        <v>ดีมาก</v>
      </c>
      <c r="E1425" s="12" t="n">
        <f aca="false">YEAR(A1425)</f>
        <v>2024</v>
      </c>
      <c r="F1425" s="12" t="n">
        <f aca="false">MONTH(A1425)</f>
        <v>11</v>
      </c>
      <c r="G1425" s="12" t="n">
        <v>20.5</v>
      </c>
      <c r="H1425" s="12" t="n">
        <v>43.6</v>
      </c>
      <c r="I1425" s="12" t="n">
        <v>85</v>
      </c>
      <c r="J1425" s="12" t="n">
        <v>19.1</v>
      </c>
      <c r="K1425" s="12" t="n">
        <v>5.6</v>
      </c>
      <c r="L1425" s="12" t="s">
        <v>35</v>
      </c>
    </row>
    <row r="1426" customFormat="false" ht="15" hidden="false" customHeight="false" outlineLevel="0" collapsed="false">
      <c r="A1426" s="11" t="n">
        <v>45621</v>
      </c>
      <c r="B1426" s="12" t="n">
        <v>8</v>
      </c>
      <c r="C1426" s="12" t="n">
        <f aca="false">IF(NOT(ISNUMBER(B1426)),"",ROUND((INDEX(BP!$D$5:$D$9,MATCH(B1426,BP!$A$5:$A$9,1))-INDEX(BP!$C$5:$C$9,MATCH(B1426,BP!$A$5:$A$9,1)))/(INDEX(BP!$B$5:$B$9,MATCH(B1426,BP!$A$5:$A$9,1))-INDEX(BP!$A$5:$A$9,MATCH(B1426,BP!$A$5:$A$9,1)))*(B1426-INDEX(BP!$A$5:$A$9,MATCH(B1426,BP!$A$5:$A$9,1)))+INDEX(BP!$C$5:$C$9,MATCH(B1426,BP!$A$5:$A$9,1)),0))</f>
        <v>13</v>
      </c>
      <c r="D1426" s="12" t="str">
        <f aca="false">IF(NOT(ISNUMBER(C1426)),"",INDEX(BP!$F$5:$F$9,MATCH(C1426,BP!$E$5:$E$9,1)))</f>
        <v>ดีมาก</v>
      </c>
      <c r="E1426" s="12" t="n">
        <f aca="false">YEAR(A1426)</f>
        <v>2024</v>
      </c>
      <c r="F1426" s="12" t="n">
        <f aca="false">MONTH(A1426)</f>
        <v>11</v>
      </c>
      <c r="G1426" s="12" t="n">
        <v>21.4</v>
      </c>
      <c r="H1426" s="12" t="n">
        <v>39.2</v>
      </c>
      <c r="I1426" s="12" t="n">
        <v>91</v>
      </c>
      <c r="J1426" s="12" t="n">
        <v>34.2</v>
      </c>
      <c r="K1426" s="12" t="n">
        <v>21.6</v>
      </c>
      <c r="L1426" s="12" t="s">
        <v>36</v>
      </c>
    </row>
    <row r="1427" customFormat="false" ht="15" hidden="false" customHeight="false" outlineLevel="0" collapsed="false">
      <c r="A1427" s="11" t="n">
        <v>45622</v>
      </c>
      <c r="B1427" s="12" t="n">
        <v>7.9</v>
      </c>
      <c r="C1427" s="12" t="n">
        <f aca="false">IF(NOT(ISNUMBER(B1427)),"",ROUND((INDEX(BP!$D$5:$D$9,MATCH(B1427,BP!$A$5:$A$9,1))-INDEX(BP!$C$5:$C$9,MATCH(B1427,BP!$A$5:$A$9,1)))/(INDEX(BP!$B$5:$B$9,MATCH(B1427,BP!$A$5:$A$9,1))-INDEX(BP!$A$5:$A$9,MATCH(B1427,BP!$A$5:$A$9,1)))*(B1427-INDEX(BP!$A$5:$A$9,MATCH(B1427,BP!$A$5:$A$9,1)))+INDEX(BP!$C$5:$C$9,MATCH(B1427,BP!$A$5:$A$9,1)),0))</f>
        <v>13</v>
      </c>
      <c r="D1427" s="12" t="str">
        <f aca="false">IF(NOT(ISNUMBER(C1427)),"",INDEX(BP!$F$5:$F$9,MATCH(C1427,BP!$E$5:$E$9,1)))</f>
        <v>ดีมาก</v>
      </c>
      <c r="E1427" s="12" t="n">
        <f aca="false">YEAR(A1427)</f>
        <v>2024</v>
      </c>
      <c r="F1427" s="12" t="n">
        <f aca="false">MONTH(A1427)</f>
        <v>11</v>
      </c>
      <c r="G1427" s="12" t="n">
        <v>19.3</v>
      </c>
      <c r="H1427" s="12" t="n">
        <v>41.8</v>
      </c>
      <c r="I1427" s="12" t="n">
        <v>81</v>
      </c>
      <c r="J1427" s="12" t="n">
        <v>22.1</v>
      </c>
      <c r="K1427" s="12" t="n">
        <v>157</v>
      </c>
      <c r="L1427" s="12" t="s">
        <v>36</v>
      </c>
    </row>
    <row r="1428" customFormat="false" ht="15" hidden="false" customHeight="false" outlineLevel="0" collapsed="false">
      <c r="A1428" s="11" t="n">
        <v>45623</v>
      </c>
      <c r="B1428" s="12" t="n">
        <v>8</v>
      </c>
      <c r="C1428" s="12" t="n">
        <f aca="false">IF(NOT(ISNUMBER(B1428)),"",ROUND((INDEX(BP!$D$5:$D$9,MATCH(B1428,BP!$A$5:$A$9,1))-INDEX(BP!$C$5:$C$9,MATCH(B1428,BP!$A$5:$A$9,1)))/(INDEX(BP!$B$5:$B$9,MATCH(B1428,BP!$A$5:$A$9,1))-INDEX(BP!$A$5:$A$9,MATCH(B1428,BP!$A$5:$A$9,1)))*(B1428-INDEX(BP!$A$5:$A$9,MATCH(B1428,BP!$A$5:$A$9,1)))+INDEX(BP!$C$5:$C$9,MATCH(B1428,BP!$A$5:$A$9,1)),0))</f>
        <v>13</v>
      </c>
      <c r="D1428" s="12" t="str">
        <f aca="false">IF(NOT(ISNUMBER(C1428)),"",INDEX(BP!$F$5:$F$9,MATCH(C1428,BP!$E$5:$E$9,1)))</f>
        <v>ดีมาก</v>
      </c>
      <c r="E1428" s="12" t="n">
        <f aca="false">YEAR(A1428)</f>
        <v>2024</v>
      </c>
      <c r="F1428" s="12" t="n">
        <f aca="false">MONTH(A1428)</f>
        <v>11</v>
      </c>
      <c r="G1428" s="12" t="n">
        <v>17.2</v>
      </c>
      <c r="H1428" s="12" t="n">
        <v>36.7</v>
      </c>
      <c r="I1428" s="12" t="n">
        <v>72</v>
      </c>
      <c r="J1428" s="12" t="n">
        <v>37.4</v>
      </c>
      <c r="K1428" s="12" t="n">
        <v>80.2</v>
      </c>
      <c r="L1428" s="12" t="s">
        <v>36</v>
      </c>
    </row>
    <row r="1429" customFormat="false" ht="15" hidden="false" customHeight="false" outlineLevel="0" collapsed="false">
      <c r="A1429" s="11" t="n">
        <v>45624</v>
      </c>
      <c r="B1429" s="12" t="n">
        <v>6.9</v>
      </c>
      <c r="C1429" s="12" t="n">
        <f aca="false">IF(NOT(ISNUMBER(B1429)),"",ROUND((INDEX(BP!$D$5:$D$9,MATCH(B1429,BP!$A$5:$A$9,1))-INDEX(BP!$C$5:$C$9,MATCH(B1429,BP!$A$5:$A$9,1)))/(INDEX(BP!$B$5:$B$9,MATCH(B1429,BP!$A$5:$A$9,1))-INDEX(BP!$A$5:$A$9,MATCH(B1429,BP!$A$5:$A$9,1)))*(B1429-INDEX(BP!$A$5:$A$9,MATCH(B1429,BP!$A$5:$A$9,1)))+INDEX(BP!$C$5:$C$9,MATCH(B1429,BP!$A$5:$A$9,1)),0))</f>
        <v>12</v>
      </c>
      <c r="D1429" s="12" t="str">
        <f aca="false">IF(NOT(ISNUMBER(C1429)),"",INDEX(BP!$F$5:$F$9,MATCH(C1429,BP!$E$5:$E$9,1)))</f>
        <v>ดีมาก</v>
      </c>
      <c r="E1429" s="12" t="n">
        <f aca="false">YEAR(A1429)</f>
        <v>2024</v>
      </c>
      <c r="F1429" s="12" t="n">
        <f aca="false">MONTH(A1429)</f>
        <v>11</v>
      </c>
      <c r="G1429" s="12" t="n">
        <v>23.3</v>
      </c>
      <c r="H1429" s="12" t="n">
        <v>43.6</v>
      </c>
      <c r="I1429" s="12" t="n">
        <v>68</v>
      </c>
      <c r="J1429" s="12" t="n">
        <v>80.9</v>
      </c>
      <c r="K1429" s="12" t="n">
        <v>96.6</v>
      </c>
      <c r="L1429" s="12" t="s">
        <v>36</v>
      </c>
    </row>
    <row r="1430" customFormat="false" ht="15" hidden="false" customHeight="false" outlineLevel="0" collapsed="false">
      <c r="A1430" s="11" t="n">
        <v>45625</v>
      </c>
      <c r="B1430" s="12" t="n">
        <v>7.1</v>
      </c>
      <c r="C1430" s="12" t="n">
        <f aca="false">IF(NOT(ISNUMBER(B1430)),"",ROUND((INDEX(BP!$D$5:$D$9,MATCH(B1430,BP!$A$5:$A$9,1))-INDEX(BP!$C$5:$C$9,MATCH(B1430,BP!$A$5:$A$9,1)))/(INDEX(BP!$B$5:$B$9,MATCH(B1430,BP!$A$5:$A$9,1))-INDEX(BP!$A$5:$A$9,MATCH(B1430,BP!$A$5:$A$9,1)))*(B1430-INDEX(BP!$A$5:$A$9,MATCH(B1430,BP!$A$5:$A$9,1)))+INDEX(BP!$C$5:$C$9,MATCH(B1430,BP!$A$5:$A$9,1)),0))</f>
        <v>12</v>
      </c>
      <c r="D1430" s="12" t="str">
        <f aca="false">IF(NOT(ISNUMBER(C1430)),"",INDEX(BP!$F$5:$F$9,MATCH(C1430,BP!$E$5:$E$9,1)))</f>
        <v>ดีมาก</v>
      </c>
      <c r="E1430" s="12" t="n">
        <f aca="false">YEAR(A1430)</f>
        <v>2024</v>
      </c>
      <c r="F1430" s="12" t="n">
        <f aca="false">MONTH(A1430)</f>
        <v>11</v>
      </c>
      <c r="G1430" s="12" t="n">
        <v>22.6</v>
      </c>
      <c r="H1430" s="12" t="n">
        <v>43.2</v>
      </c>
      <c r="I1430" s="12" t="n">
        <v>81</v>
      </c>
      <c r="J1430" s="12" t="n">
        <v>47.7</v>
      </c>
      <c r="K1430" s="12" t="n">
        <v>100.2</v>
      </c>
      <c r="L1430" s="12" t="s">
        <v>36</v>
      </c>
    </row>
    <row r="1431" customFormat="false" ht="15" hidden="false" customHeight="false" outlineLevel="0" collapsed="false">
      <c r="A1431" s="11" t="n">
        <v>45626</v>
      </c>
      <c r="B1431" s="12" t="n">
        <v>11.5</v>
      </c>
      <c r="C1431" s="12" t="n">
        <f aca="false">IF(NOT(ISNUMBER(B1431)),"",ROUND((INDEX(BP!$D$5:$D$9,MATCH(B1431,BP!$A$5:$A$9,1))-INDEX(BP!$C$5:$C$9,MATCH(B1431,BP!$A$5:$A$9,1)))/(INDEX(BP!$B$5:$B$9,MATCH(B1431,BP!$A$5:$A$9,1))-INDEX(BP!$A$5:$A$9,MATCH(B1431,BP!$A$5:$A$9,1)))*(B1431-INDEX(BP!$A$5:$A$9,MATCH(B1431,BP!$A$5:$A$9,1)))+INDEX(BP!$C$5:$C$9,MATCH(B1431,BP!$A$5:$A$9,1)),0))</f>
        <v>19</v>
      </c>
      <c r="D1431" s="12" t="str">
        <f aca="false">IF(NOT(ISNUMBER(C1431)),"",INDEX(BP!$F$5:$F$9,MATCH(C1431,BP!$E$5:$E$9,1)))</f>
        <v>ดีมาก</v>
      </c>
      <c r="E1431" s="12" t="n">
        <f aca="false">YEAR(A1431)</f>
        <v>2024</v>
      </c>
      <c r="F1431" s="12" t="n">
        <f aca="false">MONTH(A1431)</f>
        <v>11</v>
      </c>
      <c r="G1431" s="12" t="n">
        <v>19.8</v>
      </c>
      <c r="H1431" s="12" t="n">
        <v>40</v>
      </c>
      <c r="I1431" s="12" t="n">
        <v>72</v>
      </c>
      <c r="J1431" s="12" t="n">
        <v>15.6</v>
      </c>
      <c r="K1431" s="12" t="n">
        <v>0.2</v>
      </c>
      <c r="L1431" s="12" t="s">
        <v>35</v>
      </c>
    </row>
    <row r="1432" customFormat="false" ht="15" hidden="false" customHeight="false" outlineLevel="0" collapsed="false">
      <c r="A1432" s="11" t="n">
        <v>45627</v>
      </c>
      <c r="B1432" s="12" t="n">
        <v>13.6</v>
      </c>
      <c r="C1432" s="12" t="n">
        <f aca="false">IF(NOT(ISNUMBER(B1432)),"",ROUND((INDEX(BP!$D$5:$D$9,MATCH(B1432,BP!$A$5:$A$9,1))-INDEX(BP!$C$5:$C$9,MATCH(B1432,BP!$A$5:$A$9,1)))/(INDEX(BP!$B$5:$B$9,MATCH(B1432,BP!$A$5:$A$9,1))-INDEX(BP!$A$5:$A$9,MATCH(B1432,BP!$A$5:$A$9,1)))*(B1432-INDEX(BP!$A$5:$A$9,MATCH(B1432,BP!$A$5:$A$9,1)))+INDEX(BP!$C$5:$C$9,MATCH(B1432,BP!$A$5:$A$9,1)),0))</f>
        <v>23</v>
      </c>
      <c r="D1432" s="12" t="str">
        <f aca="false">IF(NOT(ISNUMBER(C1432)),"",INDEX(BP!$F$5:$F$9,MATCH(C1432,BP!$E$5:$E$9,1)))</f>
        <v>ดีมาก</v>
      </c>
      <c r="E1432" s="12" t="n">
        <f aca="false">YEAR(A1432)</f>
        <v>2024</v>
      </c>
      <c r="F1432" s="12" t="n">
        <f aca="false">MONTH(A1432)</f>
        <v>12</v>
      </c>
      <c r="G1432" s="12" t="n">
        <v>16.9</v>
      </c>
      <c r="H1432" s="12" t="n">
        <v>34.2</v>
      </c>
      <c r="I1432" s="12" t="n">
        <v>63</v>
      </c>
      <c r="J1432" s="12" t="n">
        <v>2.6</v>
      </c>
      <c r="K1432" s="12" t="n">
        <v>16.6</v>
      </c>
      <c r="L1432" s="12" t="s">
        <v>35</v>
      </c>
    </row>
    <row r="1433" customFormat="false" ht="15" hidden="false" customHeight="false" outlineLevel="0" collapsed="false">
      <c r="A1433" s="11" t="n">
        <v>45628</v>
      </c>
      <c r="B1433" s="12" t="n">
        <v>13.4</v>
      </c>
      <c r="C1433" s="12" t="n">
        <f aca="false">IF(NOT(ISNUMBER(B1433)),"",ROUND((INDEX(BP!$D$5:$D$9,MATCH(B1433,BP!$A$5:$A$9,1))-INDEX(BP!$C$5:$C$9,MATCH(B1433,BP!$A$5:$A$9,1)))/(INDEX(BP!$B$5:$B$9,MATCH(B1433,BP!$A$5:$A$9,1))-INDEX(BP!$A$5:$A$9,MATCH(B1433,BP!$A$5:$A$9,1)))*(B1433-INDEX(BP!$A$5:$A$9,MATCH(B1433,BP!$A$5:$A$9,1)))+INDEX(BP!$C$5:$C$9,MATCH(B1433,BP!$A$5:$A$9,1)),0))</f>
        <v>22</v>
      </c>
      <c r="D1433" s="12" t="str">
        <f aca="false">IF(NOT(ISNUMBER(C1433)),"",INDEX(BP!$F$5:$F$9,MATCH(C1433,BP!$E$5:$E$9,1)))</f>
        <v>ดีมาก</v>
      </c>
      <c r="E1433" s="12" t="n">
        <f aca="false">YEAR(A1433)</f>
        <v>2024</v>
      </c>
      <c r="F1433" s="12" t="n">
        <f aca="false">MONTH(A1433)</f>
        <v>12</v>
      </c>
      <c r="G1433" s="12" t="n">
        <v>13.1</v>
      </c>
      <c r="H1433" s="12" t="n">
        <v>29.2</v>
      </c>
      <c r="I1433" s="12" t="n">
        <v>60</v>
      </c>
      <c r="J1433" s="12" t="n">
        <v>2.6</v>
      </c>
      <c r="K1433" s="12" t="n">
        <v>0.2</v>
      </c>
      <c r="L1433" s="12" t="s">
        <v>36</v>
      </c>
    </row>
    <row r="1434" customFormat="false" ht="15" hidden="false" customHeight="false" outlineLevel="0" collapsed="false">
      <c r="A1434" s="11" t="n">
        <v>45629</v>
      </c>
      <c r="B1434" s="12" t="n">
        <v>15</v>
      </c>
      <c r="C1434" s="12" t="n">
        <f aca="false">IF(NOT(ISNUMBER(B1434)),"",ROUND((INDEX(BP!$D$5:$D$9,MATCH(B1434,BP!$A$5:$A$9,1))-INDEX(BP!$C$5:$C$9,MATCH(B1434,BP!$A$5:$A$9,1)))/(INDEX(BP!$B$5:$B$9,MATCH(B1434,BP!$A$5:$A$9,1))-INDEX(BP!$A$5:$A$9,MATCH(B1434,BP!$A$5:$A$9,1)))*(B1434-INDEX(BP!$A$5:$A$9,MATCH(B1434,BP!$A$5:$A$9,1)))+INDEX(BP!$C$5:$C$9,MATCH(B1434,BP!$A$5:$A$9,1)),0))</f>
        <v>25</v>
      </c>
      <c r="D1434" s="12" t="str">
        <f aca="false">IF(NOT(ISNUMBER(C1434)),"",INDEX(BP!$F$5:$F$9,MATCH(C1434,BP!$E$5:$E$9,1)))</f>
        <v>ดีมาก</v>
      </c>
      <c r="E1434" s="12" t="n">
        <f aca="false">YEAR(A1434)</f>
        <v>2024</v>
      </c>
      <c r="F1434" s="12" t="n">
        <f aca="false">MONTH(A1434)</f>
        <v>12</v>
      </c>
      <c r="G1434" s="12" t="n">
        <v>13.8</v>
      </c>
      <c r="H1434" s="12" t="n">
        <v>29.2</v>
      </c>
      <c r="I1434" s="12" t="n">
        <v>37</v>
      </c>
      <c r="J1434" s="12" t="n">
        <v>8.2</v>
      </c>
      <c r="K1434" s="12" t="n">
        <v>0.6</v>
      </c>
      <c r="L1434" s="12" t="s">
        <v>36</v>
      </c>
    </row>
    <row r="1435" customFormat="false" ht="15" hidden="false" customHeight="false" outlineLevel="0" collapsed="false">
      <c r="A1435" s="11" t="n">
        <v>45630</v>
      </c>
      <c r="B1435" s="12" t="n">
        <v>12.1</v>
      </c>
      <c r="C1435" s="12" t="n">
        <f aca="false">IF(NOT(ISNUMBER(B1435)),"",ROUND((INDEX(BP!$D$5:$D$9,MATCH(B1435,BP!$A$5:$A$9,1))-INDEX(BP!$C$5:$C$9,MATCH(B1435,BP!$A$5:$A$9,1)))/(INDEX(BP!$B$5:$B$9,MATCH(B1435,BP!$A$5:$A$9,1))-INDEX(BP!$A$5:$A$9,MATCH(B1435,BP!$A$5:$A$9,1)))*(B1435-INDEX(BP!$A$5:$A$9,MATCH(B1435,BP!$A$5:$A$9,1)))+INDEX(BP!$C$5:$C$9,MATCH(B1435,BP!$A$5:$A$9,1)),0))</f>
        <v>20</v>
      </c>
      <c r="D1435" s="12" t="str">
        <f aca="false">IF(NOT(ISNUMBER(C1435)),"",INDEX(BP!$F$5:$F$9,MATCH(C1435,BP!$E$5:$E$9,1)))</f>
        <v>ดีมาก</v>
      </c>
      <c r="E1435" s="12" t="n">
        <f aca="false">YEAR(A1435)</f>
        <v>2024</v>
      </c>
      <c r="F1435" s="12" t="n">
        <f aca="false">MONTH(A1435)</f>
        <v>12</v>
      </c>
      <c r="G1435" s="12" t="n">
        <v>12.5</v>
      </c>
      <c r="H1435" s="12" t="n">
        <v>29.5</v>
      </c>
      <c r="I1435" s="12" t="n">
        <v>99</v>
      </c>
      <c r="J1435" s="12" t="n">
        <v>50.2</v>
      </c>
      <c r="K1435" s="12" t="n">
        <v>0.4</v>
      </c>
      <c r="L1435" s="12" t="s">
        <v>36</v>
      </c>
    </row>
    <row r="1436" customFormat="false" ht="15" hidden="false" customHeight="false" outlineLevel="0" collapsed="false">
      <c r="A1436" s="11" t="n">
        <v>45631</v>
      </c>
      <c r="B1436" s="12" t="n">
        <v>12.3</v>
      </c>
      <c r="C1436" s="12" t="n">
        <f aca="false">IF(NOT(ISNUMBER(B1436)),"",ROUND((INDEX(BP!$D$5:$D$9,MATCH(B1436,BP!$A$5:$A$9,1))-INDEX(BP!$C$5:$C$9,MATCH(B1436,BP!$A$5:$A$9,1)))/(INDEX(BP!$B$5:$B$9,MATCH(B1436,BP!$A$5:$A$9,1))-INDEX(BP!$A$5:$A$9,MATCH(B1436,BP!$A$5:$A$9,1)))*(B1436-INDEX(BP!$A$5:$A$9,MATCH(B1436,BP!$A$5:$A$9,1)))+INDEX(BP!$C$5:$C$9,MATCH(B1436,BP!$A$5:$A$9,1)),0))</f>
        <v>21</v>
      </c>
      <c r="D1436" s="12" t="str">
        <f aca="false">IF(NOT(ISNUMBER(C1436)),"",INDEX(BP!$F$5:$F$9,MATCH(C1436,BP!$E$5:$E$9,1)))</f>
        <v>ดีมาก</v>
      </c>
      <c r="E1436" s="12" t="n">
        <f aca="false">YEAR(A1436)</f>
        <v>2024</v>
      </c>
      <c r="F1436" s="12" t="n">
        <f aca="false">MONTH(A1436)</f>
        <v>12</v>
      </c>
      <c r="G1436" s="12" t="n">
        <v>11.4</v>
      </c>
      <c r="H1436" s="12" t="n">
        <v>24.1</v>
      </c>
      <c r="I1436" s="12" t="n">
        <v>73</v>
      </c>
      <c r="J1436" s="12" t="n">
        <v>11.1</v>
      </c>
      <c r="K1436" s="12" t="n">
        <v>3.2</v>
      </c>
      <c r="L1436" s="12" t="s">
        <v>34</v>
      </c>
    </row>
    <row r="1437" customFormat="false" ht="15" hidden="false" customHeight="false" outlineLevel="0" collapsed="false">
      <c r="A1437" s="11" t="n">
        <v>45632</v>
      </c>
      <c r="B1437" s="12" t="n">
        <v>11.2</v>
      </c>
      <c r="C1437" s="12" t="n">
        <f aca="false">IF(NOT(ISNUMBER(B1437)),"",ROUND((INDEX(BP!$D$5:$D$9,MATCH(B1437,BP!$A$5:$A$9,1))-INDEX(BP!$C$5:$C$9,MATCH(B1437,BP!$A$5:$A$9,1)))/(INDEX(BP!$B$5:$B$9,MATCH(B1437,BP!$A$5:$A$9,1))-INDEX(BP!$A$5:$A$9,MATCH(B1437,BP!$A$5:$A$9,1)))*(B1437-INDEX(BP!$A$5:$A$9,MATCH(B1437,BP!$A$5:$A$9,1)))+INDEX(BP!$C$5:$C$9,MATCH(B1437,BP!$A$5:$A$9,1)),0))</f>
        <v>19</v>
      </c>
      <c r="D1437" s="12" t="str">
        <f aca="false">IF(NOT(ISNUMBER(C1437)),"",INDEX(BP!$F$5:$F$9,MATCH(C1437,BP!$E$5:$E$9,1)))</f>
        <v>ดีมาก</v>
      </c>
      <c r="E1437" s="12" t="n">
        <f aca="false">YEAR(A1437)</f>
        <v>2024</v>
      </c>
      <c r="F1437" s="12" t="n">
        <f aca="false">MONTH(A1437)</f>
        <v>12</v>
      </c>
      <c r="G1437" s="12" t="n">
        <v>14.4</v>
      </c>
      <c r="H1437" s="12" t="n">
        <v>32.4</v>
      </c>
      <c r="I1437" s="12" t="n">
        <v>70</v>
      </c>
      <c r="J1437" s="12" t="n">
        <v>12.4</v>
      </c>
      <c r="K1437" s="12" t="n">
        <v>0</v>
      </c>
      <c r="L1437" s="12" t="s">
        <v>36</v>
      </c>
    </row>
    <row r="1438" customFormat="false" ht="15" hidden="false" customHeight="false" outlineLevel="0" collapsed="false">
      <c r="A1438" s="11" t="n">
        <v>45633</v>
      </c>
      <c r="B1438" s="12" t="n">
        <v>13.1</v>
      </c>
      <c r="C1438" s="12" t="n">
        <f aca="false">IF(NOT(ISNUMBER(B1438)),"",ROUND((INDEX(BP!$D$5:$D$9,MATCH(B1438,BP!$A$5:$A$9,1))-INDEX(BP!$C$5:$C$9,MATCH(B1438,BP!$A$5:$A$9,1)))/(INDEX(BP!$B$5:$B$9,MATCH(B1438,BP!$A$5:$A$9,1))-INDEX(BP!$A$5:$A$9,MATCH(B1438,BP!$A$5:$A$9,1)))*(B1438-INDEX(BP!$A$5:$A$9,MATCH(B1438,BP!$A$5:$A$9,1)))+INDEX(BP!$C$5:$C$9,MATCH(B1438,BP!$A$5:$A$9,1)),0))</f>
        <v>22</v>
      </c>
      <c r="D1438" s="12" t="str">
        <f aca="false">IF(NOT(ISNUMBER(C1438)),"",INDEX(BP!$F$5:$F$9,MATCH(C1438,BP!$E$5:$E$9,1)))</f>
        <v>ดีมาก</v>
      </c>
      <c r="E1438" s="12" t="n">
        <f aca="false">YEAR(A1438)</f>
        <v>2024</v>
      </c>
      <c r="F1438" s="12" t="n">
        <f aca="false">MONTH(A1438)</f>
        <v>12</v>
      </c>
      <c r="G1438" s="12" t="n">
        <v>15</v>
      </c>
      <c r="H1438" s="12" t="n">
        <v>32.4</v>
      </c>
      <c r="I1438" s="12" t="n">
        <v>70</v>
      </c>
      <c r="J1438" s="12" t="n">
        <v>7.1</v>
      </c>
      <c r="K1438" s="12" t="n">
        <v>0.6</v>
      </c>
      <c r="L1438" s="12" t="s">
        <v>35</v>
      </c>
    </row>
    <row r="1439" customFormat="false" ht="15" hidden="false" customHeight="false" outlineLevel="0" collapsed="false">
      <c r="A1439" s="11" t="n">
        <v>45634</v>
      </c>
      <c r="B1439" s="12" t="n">
        <v>12.1</v>
      </c>
      <c r="C1439" s="12" t="n">
        <f aca="false">IF(NOT(ISNUMBER(B1439)),"",ROUND((INDEX(BP!$D$5:$D$9,MATCH(B1439,BP!$A$5:$A$9,1))-INDEX(BP!$C$5:$C$9,MATCH(B1439,BP!$A$5:$A$9,1)))/(INDEX(BP!$B$5:$B$9,MATCH(B1439,BP!$A$5:$A$9,1))-INDEX(BP!$A$5:$A$9,MATCH(B1439,BP!$A$5:$A$9,1)))*(B1439-INDEX(BP!$A$5:$A$9,MATCH(B1439,BP!$A$5:$A$9,1)))+INDEX(BP!$C$5:$C$9,MATCH(B1439,BP!$A$5:$A$9,1)),0))</f>
        <v>20</v>
      </c>
      <c r="D1439" s="12" t="str">
        <f aca="false">IF(NOT(ISNUMBER(C1439)),"",INDEX(BP!$F$5:$F$9,MATCH(C1439,BP!$E$5:$E$9,1)))</f>
        <v>ดีมาก</v>
      </c>
      <c r="E1439" s="12" t="n">
        <f aca="false">YEAR(A1439)</f>
        <v>2024</v>
      </c>
      <c r="F1439" s="12" t="n">
        <f aca="false">MONTH(A1439)</f>
        <v>12</v>
      </c>
      <c r="G1439" s="12" t="n">
        <v>23.3</v>
      </c>
      <c r="H1439" s="12" t="n">
        <v>46.4</v>
      </c>
      <c r="I1439" s="12" t="n">
        <v>85</v>
      </c>
      <c r="J1439" s="12" t="n">
        <v>3.2</v>
      </c>
      <c r="K1439" s="12" t="n">
        <v>0</v>
      </c>
      <c r="L1439" s="12" t="s">
        <v>35</v>
      </c>
    </row>
    <row r="1440" customFormat="false" ht="15" hidden="false" customHeight="false" outlineLevel="0" collapsed="false">
      <c r="A1440" s="11" t="n">
        <v>45635</v>
      </c>
      <c r="B1440" s="12" t="n">
        <v>11.7</v>
      </c>
      <c r="C1440" s="12" t="n">
        <f aca="false">IF(NOT(ISNUMBER(B1440)),"",ROUND((INDEX(BP!$D$5:$D$9,MATCH(B1440,BP!$A$5:$A$9,1))-INDEX(BP!$C$5:$C$9,MATCH(B1440,BP!$A$5:$A$9,1)))/(INDEX(BP!$B$5:$B$9,MATCH(B1440,BP!$A$5:$A$9,1))-INDEX(BP!$A$5:$A$9,MATCH(B1440,BP!$A$5:$A$9,1)))*(B1440-INDEX(BP!$A$5:$A$9,MATCH(B1440,BP!$A$5:$A$9,1)))+INDEX(BP!$C$5:$C$9,MATCH(B1440,BP!$A$5:$A$9,1)),0))</f>
        <v>20</v>
      </c>
      <c r="D1440" s="12" t="str">
        <f aca="false">IF(NOT(ISNUMBER(C1440)),"",INDEX(BP!$F$5:$F$9,MATCH(C1440,BP!$E$5:$E$9,1)))</f>
        <v>ดีมาก</v>
      </c>
      <c r="E1440" s="12" t="n">
        <f aca="false">YEAR(A1440)</f>
        <v>2024</v>
      </c>
      <c r="F1440" s="12" t="n">
        <f aca="false">MONTH(A1440)</f>
        <v>12</v>
      </c>
      <c r="G1440" s="12" t="n">
        <v>13.6</v>
      </c>
      <c r="H1440" s="12" t="n">
        <v>31.3</v>
      </c>
      <c r="I1440" s="12" t="n">
        <v>57</v>
      </c>
      <c r="J1440" s="12" t="n">
        <v>33</v>
      </c>
      <c r="K1440" s="12" t="n">
        <v>19.6</v>
      </c>
      <c r="L1440" s="12" t="s">
        <v>36</v>
      </c>
    </row>
    <row r="1441" customFormat="false" ht="15" hidden="false" customHeight="false" outlineLevel="0" collapsed="false">
      <c r="A1441" s="11" t="n">
        <v>45636</v>
      </c>
      <c r="B1441" s="12" t="n">
        <v>11.6</v>
      </c>
      <c r="C1441" s="12" t="n">
        <f aca="false">IF(NOT(ISNUMBER(B1441)),"",ROUND((INDEX(BP!$D$5:$D$9,MATCH(B1441,BP!$A$5:$A$9,1))-INDEX(BP!$C$5:$C$9,MATCH(B1441,BP!$A$5:$A$9,1)))/(INDEX(BP!$B$5:$B$9,MATCH(B1441,BP!$A$5:$A$9,1))-INDEX(BP!$A$5:$A$9,MATCH(B1441,BP!$A$5:$A$9,1)))*(B1441-INDEX(BP!$A$5:$A$9,MATCH(B1441,BP!$A$5:$A$9,1)))+INDEX(BP!$C$5:$C$9,MATCH(B1441,BP!$A$5:$A$9,1)),0))</f>
        <v>19</v>
      </c>
      <c r="D1441" s="12" t="str">
        <f aca="false">IF(NOT(ISNUMBER(C1441)),"",INDEX(BP!$F$5:$F$9,MATCH(C1441,BP!$E$5:$E$9,1)))</f>
        <v>ดีมาก</v>
      </c>
      <c r="E1441" s="12" t="n">
        <f aca="false">YEAR(A1441)</f>
        <v>2024</v>
      </c>
      <c r="F1441" s="12" t="n">
        <f aca="false">MONTH(A1441)</f>
        <v>12</v>
      </c>
      <c r="G1441" s="12" t="n">
        <v>8.9</v>
      </c>
      <c r="H1441" s="12" t="n">
        <v>25.9</v>
      </c>
      <c r="I1441" s="12" t="n">
        <v>20</v>
      </c>
      <c r="J1441" s="12" t="n">
        <v>6.4</v>
      </c>
      <c r="K1441" s="12" t="n">
        <v>4.2</v>
      </c>
      <c r="L1441" s="12" t="s">
        <v>34</v>
      </c>
    </row>
    <row r="1442" customFormat="false" ht="15" hidden="false" customHeight="false" outlineLevel="0" collapsed="false">
      <c r="A1442" s="11" t="n">
        <v>45637</v>
      </c>
      <c r="B1442" s="12" t="n">
        <v>15.1</v>
      </c>
      <c r="C1442" s="12" t="n">
        <f aca="false">IF(NOT(ISNUMBER(B1442)),"",ROUND((INDEX(BP!$D$5:$D$9,MATCH(B1442,BP!$A$5:$A$9,1))-INDEX(BP!$C$5:$C$9,MATCH(B1442,BP!$A$5:$A$9,1)))/(INDEX(BP!$B$5:$B$9,MATCH(B1442,BP!$A$5:$A$9,1))-INDEX(BP!$A$5:$A$9,MATCH(B1442,BP!$A$5:$A$9,1)))*(B1442-INDEX(BP!$A$5:$A$9,MATCH(B1442,BP!$A$5:$A$9,1)))+INDEX(BP!$C$5:$C$9,MATCH(B1442,BP!$A$5:$A$9,1)),0))</f>
        <v>26</v>
      </c>
      <c r="D1442" s="12" t="str">
        <f aca="false">IF(NOT(ISNUMBER(C1442)),"",INDEX(BP!$F$5:$F$9,MATCH(C1442,BP!$E$5:$E$9,1)))</f>
        <v>ดี</v>
      </c>
      <c r="E1442" s="12" t="n">
        <f aca="false">YEAR(A1442)</f>
        <v>2024</v>
      </c>
      <c r="F1442" s="12" t="n">
        <f aca="false">MONTH(A1442)</f>
        <v>12</v>
      </c>
      <c r="G1442" s="12" t="n">
        <v>19.1</v>
      </c>
      <c r="H1442" s="12" t="n">
        <v>38.2</v>
      </c>
      <c r="I1442" s="12" t="n">
        <v>343</v>
      </c>
      <c r="J1442" s="12" t="n">
        <v>2.3</v>
      </c>
      <c r="K1442" s="12" t="n">
        <v>7.8</v>
      </c>
      <c r="L1442" s="12" t="s">
        <v>36</v>
      </c>
    </row>
    <row r="1443" customFormat="false" ht="15" hidden="false" customHeight="false" outlineLevel="0" collapsed="false">
      <c r="A1443" s="11" t="n">
        <v>45638</v>
      </c>
      <c r="B1443" s="12" t="n">
        <v>12.6</v>
      </c>
      <c r="C1443" s="12" t="n">
        <f aca="false">IF(NOT(ISNUMBER(B1443)),"",ROUND((INDEX(BP!$D$5:$D$9,MATCH(B1443,BP!$A$5:$A$9,1))-INDEX(BP!$C$5:$C$9,MATCH(B1443,BP!$A$5:$A$9,1)))/(INDEX(BP!$B$5:$B$9,MATCH(B1443,BP!$A$5:$A$9,1))-INDEX(BP!$A$5:$A$9,MATCH(B1443,BP!$A$5:$A$9,1)))*(B1443-INDEX(BP!$A$5:$A$9,MATCH(B1443,BP!$A$5:$A$9,1)))+INDEX(BP!$C$5:$C$9,MATCH(B1443,BP!$A$5:$A$9,1)),0))</f>
        <v>21</v>
      </c>
      <c r="D1443" s="12" t="str">
        <f aca="false">IF(NOT(ISNUMBER(C1443)),"",INDEX(BP!$F$5:$F$9,MATCH(C1443,BP!$E$5:$E$9,1)))</f>
        <v>ดีมาก</v>
      </c>
      <c r="E1443" s="12" t="n">
        <f aca="false">YEAR(A1443)</f>
        <v>2024</v>
      </c>
      <c r="F1443" s="12" t="n">
        <f aca="false">MONTH(A1443)</f>
        <v>12</v>
      </c>
      <c r="G1443" s="12" t="n">
        <v>14.3</v>
      </c>
      <c r="H1443" s="12" t="n">
        <v>29.5</v>
      </c>
      <c r="I1443" s="12" t="n">
        <v>346</v>
      </c>
      <c r="J1443" s="12" t="n">
        <v>24.5</v>
      </c>
      <c r="K1443" s="12" t="n">
        <v>0</v>
      </c>
      <c r="L1443" s="12" t="s">
        <v>36</v>
      </c>
    </row>
    <row r="1444" customFormat="false" ht="15" hidden="false" customHeight="false" outlineLevel="0" collapsed="false">
      <c r="A1444" s="11" t="n">
        <v>45639</v>
      </c>
      <c r="B1444" s="12" t="n">
        <v>8.7</v>
      </c>
      <c r="C1444" s="12" t="n">
        <f aca="false">IF(NOT(ISNUMBER(B1444)),"",ROUND((INDEX(BP!$D$5:$D$9,MATCH(B1444,BP!$A$5:$A$9,1))-INDEX(BP!$C$5:$C$9,MATCH(B1444,BP!$A$5:$A$9,1)))/(INDEX(BP!$B$5:$B$9,MATCH(B1444,BP!$A$5:$A$9,1))-INDEX(BP!$A$5:$A$9,MATCH(B1444,BP!$A$5:$A$9,1)))*(B1444-INDEX(BP!$A$5:$A$9,MATCH(B1444,BP!$A$5:$A$9,1)))+INDEX(BP!$C$5:$C$9,MATCH(B1444,BP!$A$5:$A$9,1)),0))</f>
        <v>15</v>
      </c>
      <c r="D1444" s="12" t="str">
        <f aca="false">IF(NOT(ISNUMBER(C1444)),"",INDEX(BP!$F$5:$F$9,MATCH(C1444,BP!$E$5:$E$9,1)))</f>
        <v>ดีมาก</v>
      </c>
      <c r="E1444" s="12" t="n">
        <f aca="false">YEAR(A1444)</f>
        <v>2024</v>
      </c>
      <c r="F1444" s="12" t="n">
        <f aca="false">MONTH(A1444)</f>
        <v>12</v>
      </c>
      <c r="G1444" s="12" t="n">
        <v>15.7</v>
      </c>
      <c r="H1444" s="12" t="n">
        <v>31.7</v>
      </c>
      <c r="I1444" s="12" t="n">
        <v>67</v>
      </c>
      <c r="J1444" s="12" t="n">
        <v>50.9</v>
      </c>
      <c r="K1444" s="12" t="n">
        <v>20.2</v>
      </c>
      <c r="L1444" s="12" t="s">
        <v>36</v>
      </c>
    </row>
    <row r="1445" customFormat="false" ht="15" hidden="false" customHeight="false" outlineLevel="0" collapsed="false">
      <c r="A1445" s="11" t="n">
        <v>45640</v>
      </c>
      <c r="B1445" s="12" t="n">
        <v>6.5</v>
      </c>
      <c r="C1445" s="12" t="n">
        <f aca="false">IF(NOT(ISNUMBER(B1445)),"",ROUND((INDEX(BP!$D$5:$D$9,MATCH(B1445,BP!$A$5:$A$9,1))-INDEX(BP!$C$5:$C$9,MATCH(B1445,BP!$A$5:$A$9,1)))/(INDEX(BP!$B$5:$B$9,MATCH(B1445,BP!$A$5:$A$9,1))-INDEX(BP!$A$5:$A$9,MATCH(B1445,BP!$A$5:$A$9,1)))*(B1445-INDEX(BP!$A$5:$A$9,MATCH(B1445,BP!$A$5:$A$9,1)))+INDEX(BP!$C$5:$C$9,MATCH(B1445,BP!$A$5:$A$9,1)),0))</f>
        <v>11</v>
      </c>
      <c r="D1445" s="12" t="str">
        <f aca="false">IF(NOT(ISNUMBER(C1445)),"",INDEX(BP!$F$5:$F$9,MATCH(C1445,BP!$E$5:$E$9,1)))</f>
        <v>ดีมาก</v>
      </c>
      <c r="E1445" s="12" t="n">
        <f aca="false">YEAR(A1445)</f>
        <v>2024</v>
      </c>
      <c r="F1445" s="12" t="n">
        <f aca="false">MONTH(A1445)</f>
        <v>12</v>
      </c>
      <c r="G1445" s="12" t="n">
        <v>17.3</v>
      </c>
      <c r="H1445" s="12" t="n">
        <v>34.9</v>
      </c>
      <c r="I1445" s="12" t="n">
        <v>47</v>
      </c>
      <c r="J1445" s="12" t="n">
        <v>32.2</v>
      </c>
      <c r="K1445" s="12" t="n">
        <v>5.2</v>
      </c>
      <c r="L1445" s="12" t="s">
        <v>35</v>
      </c>
    </row>
    <row r="1446" customFormat="false" ht="15" hidden="false" customHeight="false" outlineLevel="0" collapsed="false">
      <c r="A1446" s="11" t="n">
        <v>45641</v>
      </c>
      <c r="B1446" s="12" t="n">
        <v>6.4</v>
      </c>
      <c r="C1446" s="12" t="n">
        <f aca="false">IF(NOT(ISNUMBER(B1446)),"",ROUND((INDEX(BP!$D$5:$D$9,MATCH(B1446,BP!$A$5:$A$9,1))-INDEX(BP!$C$5:$C$9,MATCH(B1446,BP!$A$5:$A$9,1)))/(INDEX(BP!$B$5:$B$9,MATCH(B1446,BP!$A$5:$A$9,1))-INDEX(BP!$A$5:$A$9,MATCH(B1446,BP!$A$5:$A$9,1)))*(B1446-INDEX(BP!$A$5:$A$9,MATCH(B1446,BP!$A$5:$A$9,1)))+INDEX(BP!$C$5:$C$9,MATCH(B1446,BP!$A$5:$A$9,1)),0))</f>
        <v>11</v>
      </c>
      <c r="D1446" s="12" t="str">
        <f aca="false">IF(NOT(ISNUMBER(C1446)),"",INDEX(BP!$F$5:$F$9,MATCH(C1446,BP!$E$5:$E$9,1)))</f>
        <v>ดีมาก</v>
      </c>
      <c r="E1446" s="12" t="n">
        <f aca="false">YEAR(A1446)</f>
        <v>2024</v>
      </c>
      <c r="F1446" s="12" t="n">
        <f aca="false">MONTH(A1446)</f>
        <v>12</v>
      </c>
      <c r="G1446" s="12" t="n">
        <v>20.9</v>
      </c>
      <c r="H1446" s="12" t="n">
        <v>38.5</v>
      </c>
      <c r="I1446" s="12" t="n">
        <v>77</v>
      </c>
      <c r="J1446" s="12" t="n">
        <v>15.1</v>
      </c>
      <c r="K1446" s="12" t="n">
        <v>0.4</v>
      </c>
      <c r="L1446" s="12" t="s">
        <v>35</v>
      </c>
    </row>
    <row r="1447" customFormat="false" ht="15" hidden="false" customHeight="false" outlineLevel="0" collapsed="false">
      <c r="A1447" s="11" t="n">
        <v>45642</v>
      </c>
      <c r="B1447" s="12" t="n">
        <v>6.2</v>
      </c>
      <c r="C1447" s="12" t="n">
        <f aca="false">IF(NOT(ISNUMBER(B1447)),"",ROUND((INDEX(BP!$D$5:$D$9,MATCH(B1447,BP!$A$5:$A$9,1))-INDEX(BP!$C$5:$C$9,MATCH(B1447,BP!$A$5:$A$9,1)))/(INDEX(BP!$B$5:$B$9,MATCH(B1447,BP!$A$5:$A$9,1))-INDEX(BP!$A$5:$A$9,MATCH(B1447,BP!$A$5:$A$9,1)))*(B1447-INDEX(BP!$A$5:$A$9,MATCH(B1447,BP!$A$5:$A$9,1)))+INDEX(BP!$C$5:$C$9,MATCH(B1447,BP!$A$5:$A$9,1)),0))</f>
        <v>10</v>
      </c>
      <c r="D1447" s="12" t="str">
        <f aca="false">IF(NOT(ISNUMBER(C1447)),"",INDEX(BP!$F$5:$F$9,MATCH(C1447,BP!$E$5:$E$9,1)))</f>
        <v>ดีมาก</v>
      </c>
      <c r="E1447" s="12" t="n">
        <f aca="false">YEAR(A1447)</f>
        <v>2024</v>
      </c>
      <c r="F1447" s="12" t="n">
        <f aca="false">MONTH(A1447)</f>
        <v>12</v>
      </c>
      <c r="G1447" s="12" t="n">
        <v>22.4</v>
      </c>
      <c r="H1447" s="12" t="n">
        <v>41</v>
      </c>
      <c r="I1447" s="12" t="n">
        <v>72</v>
      </c>
      <c r="J1447" s="12" t="n">
        <v>22.6</v>
      </c>
      <c r="K1447" s="12" t="n">
        <v>14</v>
      </c>
      <c r="L1447" s="12" t="s">
        <v>36</v>
      </c>
    </row>
    <row r="1448" customFormat="false" ht="15" hidden="false" customHeight="false" outlineLevel="0" collapsed="false">
      <c r="A1448" s="11" t="n">
        <v>45643</v>
      </c>
      <c r="B1448" s="12" t="n">
        <v>10.1</v>
      </c>
      <c r="C1448" s="12" t="n">
        <f aca="false">IF(NOT(ISNUMBER(B1448)),"",ROUND((INDEX(BP!$D$5:$D$9,MATCH(B1448,BP!$A$5:$A$9,1))-INDEX(BP!$C$5:$C$9,MATCH(B1448,BP!$A$5:$A$9,1)))/(INDEX(BP!$B$5:$B$9,MATCH(B1448,BP!$A$5:$A$9,1))-INDEX(BP!$A$5:$A$9,MATCH(B1448,BP!$A$5:$A$9,1)))*(B1448-INDEX(BP!$A$5:$A$9,MATCH(B1448,BP!$A$5:$A$9,1)))+INDEX(BP!$C$5:$C$9,MATCH(B1448,BP!$A$5:$A$9,1)),0))</f>
        <v>17</v>
      </c>
      <c r="D1448" s="12" t="str">
        <f aca="false">IF(NOT(ISNUMBER(C1448)),"",INDEX(BP!$F$5:$F$9,MATCH(C1448,BP!$E$5:$E$9,1)))</f>
        <v>ดีมาก</v>
      </c>
      <c r="E1448" s="12" t="n">
        <f aca="false">YEAR(A1448)</f>
        <v>2024</v>
      </c>
      <c r="F1448" s="12" t="n">
        <f aca="false">MONTH(A1448)</f>
        <v>12</v>
      </c>
      <c r="G1448" s="12" t="n">
        <v>22.9</v>
      </c>
      <c r="H1448" s="12" t="n">
        <v>46.1</v>
      </c>
      <c r="I1448" s="12" t="n">
        <v>72</v>
      </c>
      <c r="J1448" s="12" t="n">
        <v>8.3</v>
      </c>
      <c r="K1448" s="12" t="n">
        <v>2.8</v>
      </c>
      <c r="L1448" s="12" t="s">
        <v>36</v>
      </c>
    </row>
    <row r="1449" customFormat="false" ht="15" hidden="false" customHeight="false" outlineLevel="0" collapsed="false">
      <c r="A1449" s="11" t="n">
        <v>45644</v>
      </c>
      <c r="B1449" s="12" t="n">
        <v>13.3</v>
      </c>
      <c r="C1449" s="12" t="n">
        <f aca="false">IF(NOT(ISNUMBER(B1449)),"",ROUND((INDEX(BP!$D$5:$D$9,MATCH(B1449,BP!$A$5:$A$9,1))-INDEX(BP!$C$5:$C$9,MATCH(B1449,BP!$A$5:$A$9,1)))/(INDEX(BP!$B$5:$B$9,MATCH(B1449,BP!$A$5:$A$9,1))-INDEX(BP!$A$5:$A$9,MATCH(B1449,BP!$A$5:$A$9,1)))*(B1449-INDEX(BP!$A$5:$A$9,MATCH(B1449,BP!$A$5:$A$9,1)))+INDEX(BP!$C$5:$C$9,MATCH(B1449,BP!$A$5:$A$9,1)),0))</f>
        <v>22</v>
      </c>
      <c r="D1449" s="12" t="str">
        <f aca="false">IF(NOT(ISNUMBER(C1449)),"",INDEX(BP!$F$5:$F$9,MATCH(C1449,BP!$E$5:$E$9,1)))</f>
        <v>ดีมาก</v>
      </c>
      <c r="E1449" s="12" t="n">
        <f aca="false">YEAR(A1449)</f>
        <v>2024</v>
      </c>
      <c r="F1449" s="12" t="n">
        <f aca="false">MONTH(A1449)</f>
        <v>12</v>
      </c>
      <c r="G1449" s="12" t="n">
        <v>19.3</v>
      </c>
      <c r="H1449" s="12" t="n">
        <v>38.9</v>
      </c>
      <c r="I1449" s="12" t="n">
        <v>65</v>
      </c>
      <c r="J1449" s="12" t="n">
        <v>0.3</v>
      </c>
      <c r="K1449" s="12" t="n">
        <v>4.4</v>
      </c>
      <c r="L1449" s="12" t="s">
        <v>36</v>
      </c>
    </row>
    <row r="1450" customFormat="false" ht="15" hidden="false" customHeight="false" outlineLevel="0" collapsed="false">
      <c r="A1450" s="11" t="n">
        <v>45645</v>
      </c>
      <c r="B1450" s="12" t="n">
        <v>12.8</v>
      </c>
      <c r="C1450" s="12" t="n">
        <f aca="false">IF(NOT(ISNUMBER(B1450)),"",ROUND((INDEX(BP!$D$5:$D$9,MATCH(B1450,BP!$A$5:$A$9,1))-INDEX(BP!$C$5:$C$9,MATCH(B1450,BP!$A$5:$A$9,1)))/(INDEX(BP!$B$5:$B$9,MATCH(B1450,BP!$A$5:$A$9,1))-INDEX(BP!$A$5:$A$9,MATCH(B1450,BP!$A$5:$A$9,1)))*(B1450-INDEX(BP!$A$5:$A$9,MATCH(B1450,BP!$A$5:$A$9,1)))+INDEX(BP!$C$5:$C$9,MATCH(B1450,BP!$A$5:$A$9,1)),0))</f>
        <v>21</v>
      </c>
      <c r="D1450" s="12" t="str">
        <f aca="false">IF(NOT(ISNUMBER(C1450)),"",INDEX(BP!$F$5:$F$9,MATCH(C1450,BP!$E$5:$E$9,1)))</f>
        <v>ดีมาก</v>
      </c>
      <c r="E1450" s="12" t="n">
        <f aca="false">YEAR(A1450)</f>
        <v>2024</v>
      </c>
      <c r="F1450" s="12" t="n">
        <f aca="false">MONTH(A1450)</f>
        <v>12</v>
      </c>
      <c r="G1450" s="12" t="n">
        <v>21.2</v>
      </c>
      <c r="H1450" s="12" t="n">
        <v>42.5</v>
      </c>
      <c r="I1450" s="12" t="n">
        <v>58</v>
      </c>
      <c r="J1450" s="12" t="n">
        <v>0.5</v>
      </c>
      <c r="K1450" s="12" t="n">
        <v>8</v>
      </c>
      <c r="L1450" s="12" t="s">
        <v>36</v>
      </c>
    </row>
    <row r="1451" customFormat="false" ht="15" hidden="false" customHeight="false" outlineLevel="0" collapsed="false">
      <c r="A1451" s="11" t="n">
        <v>45646</v>
      </c>
      <c r="B1451" s="12" t="n">
        <v>13.1</v>
      </c>
      <c r="C1451" s="12" t="n">
        <f aca="false">IF(NOT(ISNUMBER(B1451)),"",ROUND((INDEX(BP!$D$5:$D$9,MATCH(B1451,BP!$A$5:$A$9,1))-INDEX(BP!$C$5:$C$9,MATCH(B1451,BP!$A$5:$A$9,1)))/(INDEX(BP!$B$5:$B$9,MATCH(B1451,BP!$A$5:$A$9,1))-INDEX(BP!$A$5:$A$9,MATCH(B1451,BP!$A$5:$A$9,1)))*(B1451-INDEX(BP!$A$5:$A$9,MATCH(B1451,BP!$A$5:$A$9,1)))+INDEX(BP!$C$5:$C$9,MATCH(B1451,BP!$A$5:$A$9,1)),0))</f>
        <v>22</v>
      </c>
      <c r="D1451" s="12" t="str">
        <f aca="false">IF(NOT(ISNUMBER(C1451)),"",INDEX(BP!$F$5:$F$9,MATCH(C1451,BP!$E$5:$E$9,1)))</f>
        <v>ดีมาก</v>
      </c>
      <c r="E1451" s="12" t="n">
        <f aca="false">YEAR(A1451)</f>
        <v>2024</v>
      </c>
      <c r="F1451" s="12" t="n">
        <f aca="false">MONTH(A1451)</f>
        <v>12</v>
      </c>
      <c r="G1451" s="12" t="n">
        <v>19.4</v>
      </c>
      <c r="H1451" s="12" t="n">
        <v>39.6</v>
      </c>
      <c r="I1451" s="12" t="n">
        <v>56</v>
      </c>
      <c r="J1451" s="12" t="n">
        <v>0.7</v>
      </c>
      <c r="K1451" s="12" t="n">
        <v>0.2</v>
      </c>
      <c r="L1451" s="12" t="s">
        <v>36</v>
      </c>
    </row>
    <row r="1452" customFormat="false" ht="15" hidden="false" customHeight="false" outlineLevel="0" collapsed="false">
      <c r="A1452" s="11" t="n">
        <v>45647</v>
      </c>
      <c r="B1452" s="12" t="n">
        <v>14.7</v>
      </c>
      <c r="C1452" s="12" t="n">
        <f aca="false">IF(NOT(ISNUMBER(B1452)),"",ROUND((INDEX(BP!$D$5:$D$9,MATCH(B1452,BP!$A$5:$A$9,1))-INDEX(BP!$C$5:$C$9,MATCH(B1452,BP!$A$5:$A$9,1)))/(INDEX(BP!$B$5:$B$9,MATCH(B1452,BP!$A$5:$A$9,1))-INDEX(BP!$A$5:$A$9,MATCH(B1452,BP!$A$5:$A$9,1)))*(B1452-INDEX(BP!$A$5:$A$9,MATCH(B1452,BP!$A$5:$A$9,1)))+INDEX(BP!$C$5:$C$9,MATCH(B1452,BP!$A$5:$A$9,1)),0))</f>
        <v>25</v>
      </c>
      <c r="D1452" s="12" t="str">
        <f aca="false">IF(NOT(ISNUMBER(C1452)),"",INDEX(BP!$F$5:$F$9,MATCH(C1452,BP!$E$5:$E$9,1)))</f>
        <v>ดีมาก</v>
      </c>
      <c r="E1452" s="12" t="n">
        <f aca="false">YEAR(A1452)</f>
        <v>2024</v>
      </c>
      <c r="F1452" s="12" t="n">
        <f aca="false">MONTH(A1452)</f>
        <v>12</v>
      </c>
      <c r="G1452" s="12" t="n">
        <v>18.2</v>
      </c>
      <c r="H1452" s="12" t="n">
        <v>38.2</v>
      </c>
      <c r="I1452" s="12" t="n">
        <v>71</v>
      </c>
      <c r="J1452" s="12" t="n">
        <v>0</v>
      </c>
      <c r="K1452" s="12" t="n">
        <v>0</v>
      </c>
      <c r="L1452" s="12" t="s">
        <v>35</v>
      </c>
    </row>
    <row r="1453" customFormat="false" ht="15" hidden="false" customHeight="false" outlineLevel="0" collapsed="false">
      <c r="A1453" s="11" t="n">
        <v>45648</v>
      </c>
      <c r="B1453" s="12" t="n">
        <v>16.6</v>
      </c>
      <c r="C1453" s="12" t="n">
        <f aca="false">IF(NOT(ISNUMBER(B1453)),"",ROUND((INDEX(BP!$D$5:$D$9,MATCH(B1453,BP!$A$5:$A$9,1))-INDEX(BP!$C$5:$C$9,MATCH(B1453,BP!$A$5:$A$9,1)))/(INDEX(BP!$B$5:$B$9,MATCH(B1453,BP!$A$5:$A$9,1))-INDEX(BP!$A$5:$A$9,MATCH(B1453,BP!$A$5:$A$9,1)))*(B1453-INDEX(BP!$A$5:$A$9,MATCH(B1453,BP!$A$5:$A$9,1)))+INDEX(BP!$C$5:$C$9,MATCH(B1453,BP!$A$5:$A$9,1)),0))</f>
        <v>30</v>
      </c>
      <c r="D1453" s="12" t="str">
        <f aca="false">IF(NOT(ISNUMBER(C1453)),"",INDEX(BP!$F$5:$F$9,MATCH(C1453,BP!$E$5:$E$9,1)))</f>
        <v>ดี</v>
      </c>
      <c r="E1453" s="12" t="n">
        <f aca="false">YEAR(A1453)</f>
        <v>2024</v>
      </c>
      <c r="F1453" s="12" t="n">
        <f aca="false">MONTH(A1453)</f>
        <v>12</v>
      </c>
      <c r="G1453" s="12" t="n">
        <v>19.8</v>
      </c>
      <c r="H1453" s="12" t="n">
        <v>41.8</v>
      </c>
      <c r="I1453" s="12" t="n">
        <v>71</v>
      </c>
      <c r="J1453" s="12" t="n">
        <v>1</v>
      </c>
      <c r="K1453" s="12" t="n">
        <v>0</v>
      </c>
      <c r="L1453" s="12" t="s">
        <v>35</v>
      </c>
    </row>
    <row r="1454" customFormat="false" ht="15" hidden="false" customHeight="false" outlineLevel="0" collapsed="false">
      <c r="A1454" s="11" t="n">
        <v>45649</v>
      </c>
      <c r="B1454" s="12" t="n">
        <v>17.2</v>
      </c>
      <c r="C1454" s="12" t="n">
        <f aca="false">IF(NOT(ISNUMBER(B1454)),"",ROUND((INDEX(BP!$D$5:$D$9,MATCH(B1454,BP!$A$5:$A$9,1))-INDEX(BP!$C$5:$C$9,MATCH(B1454,BP!$A$5:$A$9,1)))/(INDEX(BP!$B$5:$B$9,MATCH(B1454,BP!$A$5:$A$9,1))-INDEX(BP!$A$5:$A$9,MATCH(B1454,BP!$A$5:$A$9,1)))*(B1454-INDEX(BP!$A$5:$A$9,MATCH(B1454,BP!$A$5:$A$9,1)))+INDEX(BP!$C$5:$C$9,MATCH(B1454,BP!$A$5:$A$9,1)),0))</f>
        <v>31</v>
      </c>
      <c r="D1454" s="12" t="str">
        <f aca="false">IF(NOT(ISNUMBER(C1454)),"",INDEX(BP!$F$5:$F$9,MATCH(C1454,BP!$E$5:$E$9,1)))</f>
        <v>ดี</v>
      </c>
      <c r="E1454" s="12" t="n">
        <f aca="false">YEAR(A1454)</f>
        <v>2024</v>
      </c>
      <c r="F1454" s="12" t="n">
        <f aca="false">MONTH(A1454)</f>
        <v>12</v>
      </c>
      <c r="G1454" s="12" t="n">
        <v>19.9</v>
      </c>
      <c r="H1454" s="12" t="n">
        <v>41.4</v>
      </c>
      <c r="I1454" s="12" t="n">
        <v>58</v>
      </c>
      <c r="J1454" s="12" t="n">
        <v>1.3</v>
      </c>
      <c r="K1454" s="12" t="n">
        <v>0</v>
      </c>
      <c r="L1454" s="12" t="s">
        <v>36</v>
      </c>
    </row>
    <row r="1455" customFormat="false" ht="15" hidden="false" customHeight="false" outlineLevel="0" collapsed="false">
      <c r="A1455" s="11" t="n">
        <v>45650</v>
      </c>
      <c r="B1455" s="12" t="n">
        <v>16.4</v>
      </c>
      <c r="C1455" s="12" t="n">
        <f aca="false">IF(NOT(ISNUMBER(B1455)),"",ROUND((INDEX(BP!$D$5:$D$9,MATCH(B1455,BP!$A$5:$A$9,1))-INDEX(BP!$C$5:$C$9,MATCH(B1455,BP!$A$5:$A$9,1)))/(INDEX(BP!$B$5:$B$9,MATCH(B1455,BP!$A$5:$A$9,1))-INDEX(BP!$A$5:$A$9,MATCH(B1455,BP!$A$5:$A$9,1)))*(B1455-INDEX(BP!$A$5:$A$9,MATCH(B1455,BP!$A$5:$A$9,1)))+INDEX(BP!$C$5:$C$9,MATCH(B1455,BP!$A$5:$A$9,1)),0))</f>
        <v>29</v>
      </c>
      <c r="D1455" s="12" t="str">
        <f aca="false">IF(NOT(ISNUMBER(C1455)),"",INDEX(BP!$F$5:$F$9,MATCH(C1455,BP!$E$5:$E$9,1)))</f>
        <v>ดี</v>
      </c>
      <c r="E1455" s="12" t="n">
        <f aca="false">YEAR(A1455)</f>
        <v>2024</v>
      </c>
      <c r="F1455" s="12" t="n">
        <f aca="false">MONTH(A1455)</f>
        <v>12</v>
      </c>
      <c r="G1455" s="12" t="n">
        <v>19.8</v>
      </c>
      <c r="H1455" s="12" t="n">
        <v>41.4</v>
      </c>
      <c r="I1455" s="12" t="n">
        <v>44</v>
      </c>
      <c r="J1455" s="12" t="n">
        <v>1</v>
      </c>
      <c r="K1455" s="12" t="n">
        <v>0</v>
      </c>
      <c r="L1455" s="12" t="s">
        <v>36</v>
      </c>
    </row>
    <row r="1456" customFormat="false" ht="15" hidden="false" customHeight="false" outlineLevel="0" collapsed="false">
      <c r="A1456" s="11" t="n">
        <v>45651</v>
      </c>
      <c r="B1456" s="12" t="n">
        <v>16</v>
      </c>
      <c r="C1456" s="12" t="n">
        <f aca="false">IF(NOT(ISNUMBER(B1456)),"",ROUND((INDEX(BP!$D$5:$D$9,MATCH(B1456,BP!$A$5:$A$9,1))-INDEX(BP!$C$5:$C$9,MATCH(B1456,BP!$A$5:$A$9,1)))/(INDEX(BP!$B$5:$B$9,MATCH(B1456,BP!$A$5:$A$9,1))-INDEX(BP!$A$5:$A$9,MATCH(B1456,BP!$A$5:$A$9,1)))*(B1456-INDEX(BP!$A$5:$A$9,MATCH(B1456,BP!$A$5:$A$9,1)))+INDEX(BP!$C$5:$C$9,MATCH(B1456,BP!$A$5:$A$9,1)),0))</f>
        <v>28</v>
      </c>
      <c r="D1456" s="12" t="str">
        <f aca="false">IF(NOT(ISNUMBER(C1456)),"",INDEX(BP!$F$5:$F$9,MATCH(C1456,BP!$E$5:$E$9,1)))</f>
        <v>ดี</v>
      </c>
      <c r="E1456" s="12" t="n">
        <f aca="false">YEAR(A1456)</f>
        <v>2024</v>
      </c>
      <c r="F1456" s="12" t="n">
        <f aca="false">MONTH(A1456)</f>
        <v>12</v>
      </c>
      <c r="G1456" s="12" t="n">
        <v>20</v>
      </c>
      <c r="H1456" s="12" t="n">
        <v>41.8</v>
      </c>
      <c r="I1456" s="12" t="n">
        <v>54</v>
      </c>
      <c r="J1456" s="12" t="n">
        <v>1.8</v>
      </c>
      <c r="K1456" s="12" t="n">
        <v>0</v>
      </c>
      <c r="L1456" s="12" t="s">
        <v>36</v>
      </c>
    </row>
    <row r="1457" customFormat="false" ht="15" hidden="false" customHeight="false" outlineLevel="0" collapsed="false">
      <c r="A1457" s="11" t="n">
        <v>45652</v>
      </c>
      <c r="B1457" s="12" t="n">
        <v>16.6</v>
      </c>
      <c r="C1457" s="12" t="n">
        <f aca="false">IF(NOT(ISNUMBER(B1457)),"",ROUND((INDEX(BP!$D$5:$D$9,MATCH(B1457,BP!$A$5:$A$9,1))-INDEX(BP!$C$5:$C$9,MATCH(B1457,BP!$A$5:$A$9,1)))/(INDEX(BP!$B$5:$B$9,MATCH(B1457,BP!$A$5:$A$9,1))-INDEX(BP!$A$5:$A$9,MATCH(B1457,BP!$A$5:$A$9,1)))*(B1457-INDEX(BP!$A$5:$A$9,MATCH(B1457,BP!$A$5:$A$9,1)))+INDEX(BP!$C$5:$C$9,MATCH(B1457,BP!$A$5:$A$9,1)),0))</f>
        <v>30</v>
      </c>
      <c r="D1457" s="12" t="str">
        <f aca="false">IF(NOT(ISNUMBER(C1457)),"",INDEX(BP!$F$5:$F$9,MATCH(C1457,BP!$E$5:$E$9,1)))</f>
        <v>ดี</v>
      </c>
      <c r="E1457" s="12" t="n">
        <f aca="false">YEAR(A1457)</f>
        <v>2024</v>
      </c>
      <c r="F1457" s="12" t="n">
        <f aca="false">MONTH(A1457)</f>
        <v>12</v>
      </c>
      <c r="G1457" s="12" t="n">
        <v>14.4</v>
      </c>
      <c r="H1457" s="12" t="n">
        <v>30.2</v>
      </c>
      <c r="I1457" s="12" t="n">
        <v>42</v>
      </c>
      <c r="J1457" s="12" t="n">
        <v>2</v>
      </c>
      <c r="K1457" s="12" t="n">
        <v>0.8</v>
      </c>
      <c r="L1457" s="12" t="s">
        <v>36</v>
      </c>
    </row>
    <row r="1458" customFormat="false" ht="15" hidden="false" customHeight="false" outlineLevel="0" collapsed="false">
      <c r="A1458" s="11" t="n">
        <v>45653</v>
      </c>
      <c r="B1458" s="12" t="n">
        <v>12</v>
      </c>
      <c r="C1458" s="12" t="n">
        <f aca="false">IF(NOT(ISNUMBER(B1458)),"",ROUND((INDEX(BP!$D$5:$D$9,MATCH(B1458,BP!$A$5:$A$9,1))-INDEX(BP!$C$5:$C$9,MATCH(B1458,BP!$A$5:$A$9,1)))/(INDEX(BP!$B$5:$B$9,MATCH(B1458,BP!$A$5:$A$9,1))-INDEX(BP!$A$5:$A$9,MATCH(B1458,BP!$A$5:$A$9,1)))*(B1458-INDEX(BP!$A$5:$A$9,MATCH(B1458,BP!$A$5:$A$9,1)))+INDEX(BP!$C$5:$C$9,MATCH(B1458,BP!$A$5:$A$9,1)),0))</f>
        <v>20</v>
      </c>
      <c r="D1458" s="12" t="str">
        <f aca="false">IF(NOT(ISNUMBER(C1458)),"",INDEX(BP!$F$5:$F$9,MATCH(C1458,BP!$E$5:$E$9,1)))</f>
        <v>ดีมาก</v>
      </c>
      <c r="E1458" s="12" t="n">
        <f aca="false">YEAR(A1458)</f>
        <v>2024</v>
      </c>
      <c r="F1458" s="12" t="n">
        <f aca="false">MONTH(A1458)</f>
        <v>12</v>
      </c>
      <c r="G1458" s="12" t="n">
        <v>18</v>
      </c>
      <c r="H1458" s="12" t="n">
        <v>36</v>
      </c>
      <c r="I1458" s="12" t="n">
        <v>63</v>
      </c>
      <c r="J1458" s="12" t="n">
        <v>7.9</v>
      </c>
      <c r="K1458" s="12" t="n">
        <v>10.2</v>
      </c>
      <c r="L1458" s="12" t="s">
        <v>36</v>
      </c>
    </row>
    <row r="1459" customFormat="false" ht="15" hidden="false" customHeight="false" outlineLevel="0" collapsed="false">
      <c r="A1459" s="11" t="n">
        <v>45654</v>
      </c>
      <c r="B1459" s="12" t="n">
        <v>9.7</v>
      </c>
      <c r="C1459" s="12" t="n">
        <f aca="false">IF(NOT(ISNUMBER(B1459)),"",ROUND((INDEX(BP!$D$5:$D$9,MATCH(B1459,BP!$A$5:$A$9,1))-INDEX(BP!$C$5:$C$9,MATCH(B1459,BP!$A$5:$A$9,1)))/(INDEX(BP!$B$5:$B$9,MATCH(B1459,BP!$A$5:$A$9,1))-INDEX(BP!$A$5:$A$9,MATCH(B1459,BP!$A$5:$A$9,1)))*(B1459-INDEX(BP!$A$5:$A$9,MATCH(B1459,BP!$A$5:$A$9,1)))+INDEX(BP!$C$5:$C$9,MATCH(B1459,BP!$A$5:$A$9,1)),0))</f>
        <v>16</v>
      </c>
      <c r="D1459" s="12" t="str">
        <f aca="false">IF(NOT(ISNUMBER(C1459)),"",INDEX(BP!$F$5:$F$9,MATCH(C1459,BP!$E$5:$E$9,1)))</f>
        <v>ดีมาก</v>
      </c>
      <c r="E1459" s="12" t="n">
        <f aca="false">YEAR(A1459)</f>
        <v>2024</v>
      </c>
      <c r="F1459" s="12" t="n">
        <f aca="false">MONTH(A1459)</f>
        <v>12</v>
      </c>
      <c r="G1459" s="12" t="n">
        <v>20.9</v>
      </c>
      <c r="H1459" s="12" t="n">
        <v>40.3</v>
      </c>
      <c r="I1459" s="12" t="n">
        <v>87</v>
      </c>
      <c r="J1459" s="12" t="n">
        <v>2.5</v>
      </c>
      <c r="K1459" s="12" t="n">
        <v>13.2</v>
      </c>
      <c r="L1459" s="12" t="s">
        <v>35</v>
      </c>
    </row>
    <row r="1460" customFormat="false" ht="15" hidden="false" customHeight="false" outlineLevel="0" collapsed="false">
      <c r="A1460" s="11" t="n">
        <v>45655</v>
      </c>
      <c r="B1460" s="12" t="n">
        <v>10.1</v>
      </c>
      <c r="C1460" s="12" t="n">
        <f aca="false">IF(NOT(ISNUMBER(B1460)),"",ROUND((INDEX(BP!$D$5:$D$9,MATCH(B1460,BP!$A$5:$A$9,1))-INDEX(BP!$C$5:$C$9,MATCH(B1460,BP!$A$5:$A$9,1)))/(INDEX(BP!$B$5:$B$9,MATCH(B1460,BP!$A$5:$A$9,1))-INDEX(BP!$A$5:$A$9,MATCH(B1460,BP!$A$5:$A$9,1)))*(B1460-INDEX(BP!$A$5:$A$9,MATCH(B1460,BP!$A$5:$A$9,1)))+INDEX(BP!$C$5:$C$9,MATCH(B1460,BP!$A$5:$A$9,1)),0))</f>
        <v>17</v>
      </c>
      <c r="D1460" s="12" t="str">
        <f aca="false">IF(NOT(ISNUMBER(C1460)),"",INDEX(BP!$F$5:$F$9,MATCH(C1460,BP!$E$5:$E$9,1)))</f>
        <v>ดีมาก</v>
      </c>
      <c r="E1460" s="12" t="n">
        <f aca="false">YEAR(A1460)</f>
        <v>2024</v>
      </c>
      <c r="F1460" s="12" t="n">
        <f aca="false">MONTH(A1460)</f>
        <v>12</v>
      </c>
      <c r="G1460" s="12" t="n">
        <v>26.5</v>
      </c>
      <c r="H1460" s="12" t="n">
        <v>54</v>
      </c>
      <c r="I1460" s="12" t="n">
        <v>89</v>
      </c>
      <c r="J1460" s="12" t="n">
        <v>13.6</v>
      </c>
      <c r="K1460" s="12" t="n">
        <v>4.4</v>
      </c>
      <c r="L1460" s="12" t="s">
        <v>35</v>
      </c>
    </row>
    <row r="1461" customFormat="false" ht="15" hidden="false" customHeight="false" outlineLevel="0" collapsed="false">
      <c r="A1461" s="11" t="n">
        <v>45656</v>
      </c>
      <c r="B1461" s="12" t="n">
        <v>14</v>
      </c>
      <c r="C1461" s="12" t="n">
        <f aca="false">IF(NOT(ISNUMBER(B1461)),"",ROUND((INDEX(BP!$D$5:$D$9,MATCH(B1461,BP!$A$5:$A$9,1))-INDEX(BP!$C$5:$C$9,MATCH(B1461,BP!$A$5:$A$9,1)))/(INDEX(BP!$B$5:$B$9,MATCH(B1461,BP!$A$5:$A$9,1))-INDEX(BP!$A$5:$A$9,MATCH(B1461,BP!$A$5:$A$9,1)))*(B1461-INDEX(BP!$A$5:$A$9,MATCH(B1461,BP!$A$5:$A$9,1)))+INDEX(BP!$C$5:$C$9,MATCH(B1461,BP!$A$5:$A$9,1)),0))</f>
        <v>23</v>
      </c>
      <c r="D1461" s="12" t="str">
        <f aca="false">IF(NOT(ISNUMBER(C1461)),"",INDEX(BP!$F$5:$F$9,MATCH(C1461,BP!$E$5:$E$9,1)))</f>
        <v>ดีมาก</v>
      </c>
      <c r="E1461" s="12" t="n">
        <f aca="false">YEAR(A1461)</f>
        <v>2024</v>
      </c>
      <c r="F1461" s="12" t="n">
        <f aca="false">MONTH(A1461)</f>
        <v>12</v>
      </c>
      <c r="G1461" s="12" t="n">
        <v>20</v>
      </c>
      <c r="H1461" s="12" t="n">
        <v>40.7</v>
      </c>
      <c r="I1461" s="12" t="n">
        <v>71</v>
      </c>
      <c r="J1461" s="12" t="n">
        <v>0.3</v>
      </c>
      <c r="K1461" s="12" t="n">
        <v>0</v>
      </c>
      <c r="L1461" s="12" t="s">
        <v>34</v>
      </c>
    </row>
    <row r="1462" customFormat="false" ht="15" hidden="false" customHeight="false" outlineLevel="0" collapsed="false">
      <c r="A1462" s="11" t="n">
        <v>45657</v>
      </c>
      <c r="B1462" s="12" t="n">
        <v>15.6</v>
      </c>
      <c r="C1462" s="12" t="n">
        <f aca="false">IF(NOT(ISNUMBER(B1462)),"",ROUND((INDEX(BP!$D$5:$D$9,MATCH(B1462,BP!$A$5:$A$9,1))-INDEX(BP!$C$5:$C$9,MATCH(B1462,BP!$A$5:$A$9,1)))/(INDEX(BP!$B$5:$B$9,MATCH(B1462,BP!$A$5:$A$9,1))-INDEX(BP!$A$5:$A$9,MATCH(B1462,BP!$A$5:$A$9,1)))*(B1462-INDEX(BP!$A$5:$A$9,MATCH(B1462,BP!$A$5:$A$9,1)))+INDEX(BP!$C$5:$C$9,MATCH(B1462,BP!$A$5:$A$9,1)),0))</f>
        <v>27</v>
      </c>
      <c r="D1462" s="12" t="str">
        <f aca="false">IF(NOT(ISNUMBER(C1462)),"",INDEX(BP!$F$5:$F$9,MATCH(C1462,BP!$E$5:$E$9,1)))</f>
        <v>ดี</v>
      </c>
      <c r="E1462" s="12" t="n">
        <f aca="false">YEAR(A1462)</f>
        <v>2024</v>
      </c>
      <c r="F1462" s="12" t="n">
        <f aca="false">MONTH(A1462)</f>
        <v>12</v>
      </c>
      <c r="G1462" s="12" t="n">
        <v>14.9</v>
      </c>
      <c r="H1462" s="12" t="n">
        <v>32</v>
      </c>
      <c r="I1462" s="12" t="n">
        <v>56</v>
      </c>
      <c r="J1462" s="12" t="n">
        <v>0</v>
      </c>
      <c r="K1462" s="12" t="n">
        <v>0</v>
      </c>
      <c r="L1462" s="12" t="s">
        <v>34</v>
      </c>
    </row>
    <row r="1463" customFormat="false" ht="15" hidden="false" customHeight="false" outlineLevel="0" collapsed="false">
      <c r="A1463" s="11" t="n">
        <v>45658</v>
      </c>
      <c r="B1463" s="12" t="n">
        <v>17.9</v>
      </c>
      <c r="C1463" s="12" t="n">
        <f aca="false">IF(NOT(ISNUMBER(B1463)),"",ROUND((INDEX(BP!$D$5:$D$9,MATCH(B1463,BP!$A$5:$A$9,1))-INDEX(BP!$C$5:$C$9,MATCH(B1463,BP!$A$5:$A$9,1)))/(INDEX(BP!$B$5:$B$9,MATCH(B1463,BP!$A$5:$A$9,1))-INDEX(BP!$A$5:$A$9,MATCH(B1463,BP!$A$5:$A$9,1)))*(B1463-INDEX(BP!$A$5:$A$9,MATCH(B1463,BP!$A$5:$A$9,1)))+INDEX(BP!$C$5:$C$9,MATCH(B1463,BP!$A$5:$A$9,1)),0))</f>
        <v>33</v>
      </c>
      <c r="D1463" s="12" t="str">
        <f aca="false">IF(NOT(ISNUMBER(C1463)),"",INDEX(BP!$F$5:$F$9,MATCH(C1463,BP!$E$5:$E$9,1)))</f>
        <v>ดี</v>
      </c>
      <c r="E1463" s="12" t="n">
        <f aca="false">YEAR(A1463)</f>
        <v>2025</v>
      </c>
      <c r="F1463" s="12" t="n">
        <f aca="false">MONTH(A1463)</f>
        <v>1</v>
      </c>
      <c r="G1463" s="12" t="n">
        <v>15</v>
      </c>
      <c r="H1463" s="12" t="n">
        <v>30.6</v>
      </c>
      <c r="I1463" s="12" t="n">
        <v>42</v>
      </c>
      <c r="J1463" s="12" t="n">
        <v>0.3</v>
      </c>
      <c r="K1463" s="12" t="n">
        <v>0</v>
      </c>
      <c r="L1463" s="12" t="s">
        <v>34</v>
      </c>
    </row>
    <row r="1464" customFormat="false" ht="15" hidden="false" customHeight="false" outlineLevel="0" collapsed="false">
      <c r="A1464" s="11" t="n">
        <v>45659</v>
      </c>
      <c r="B1464" s="12" t="n">
        <v>17.3</v>
      </c>
      <c r="C1464" s="12" t="n">
        <f aca="false">IF(NOT(ISNUMBER(B1464)),"",ROUND((INDEX(BP!$D$5:$D$9,MATCH(B1464,BP!$A$5:$A$9,1))-INDEX(BP!$C$5:$C$9,MATCH(B1464,BP!$A$5:$A$9,1)))/(INDEX(BP!$B$5:$B$9,MATCH(B1464,BP!$A$5:$A$9,1))-INDEX(BP!$A$5:$A$9,MATCH(B1464,BP!$A$5:$A$9,1)))*(B1464-INDEX(BP!$A$5:$A$9,MATCH(B1464,BP!$A$5:$A$9,1)))+INDEX(BP!$C$5:$C$9,MATCH(B1464,BP!$A$5:$A$9,1)),0))</f>
        <v>31</v>
      </c>
      <c r="D1464" s="12" t="str">
        <f aca="false">IF(NOT(ISNUMBER(C1464)),"",INDEX(BP!$F$5:$F$9,MATCH(C1464,BP!$E$5:$E$9,1)))</f>
        <v>ดี</v>
      </c>
      <c r="E1464" s="12" t="n">
        <f aca="false">YEAR(A1464)</f>
        <v>2025</v>
      </c>
      <c r="F1464" s="12" t="n">
        <f aca="false">MONTH(A1464)</f>
        <v>1</v>
      </c>
      <c r="G1464" s="12" t="n">
        <v>14.6</v>
      </c>
      <c r="H1464" s="12" t="n">
        <v>30.6</v>
      </c>
      <c r="I1464" s="12" t="n">
        <v>41</v>
      </c>
      <c r="J1464" s="12" t="n">
        <v>0.2</v>
      </c>
      <c r="K1464" s="12" t="n">
        <v>0</v>
      </c>
      <c r="L1464" s="12" t="s">
        <v>36</v>
      </c>
    </row>
    <row r="1465" customFormat="false" ht="15" hidden="false" customHeight="false" outlineLevel="0" collapsed="false">
      <c r="A1465" s="11" t="n">
        <v>45660</v>
      </c>
      <c r="B1465" s="12" t="n">
        <v>19.8</v>
      </c>
      <c r="C1465" s="12" t="n">
        <f aca="false">IF(NOT(ISNUMBER(B1465)),"",ROUND((INDEX(BP!$D$5:$D$9,MATCH(B1465,BP!$A$5:$A$9,1))-INDEX(BP!$C$5:$C$9,MATCH(B1465,BP!$A$5:$A$9,1)))/(INDEX(BP!$B$5:$B$9,MATCH(B1465,BP!$A$5:$A$9,1))-INDEX(BP!$A$5:$A$9,MATCH(B1465,BP!$A$5:$A$9,1)))*(B1465-INDEX(BP!$A$5:$A$9,MATCH(B1465,BP!$A$5:$A$9,1)))+INDEX(BP!$C$5:$C$9,MATCH(B1465,BP!$A$5:$A$9,1)),0))</f>
        <v>37</v>
      </c>
      <c r="D1465" s="12" t="str">
        <f aca="false">IF(NOT(ISNUMBER(C1465)),"",INDEX(BP!$F$5:$F$9,MATCH(C1465,BP!$E$5:$E$9,1)))</f>
        <v>ดี</v>
      </c>
      <c r="E1465" s="12" t="n">
        <f aca="false">YEAR(A1465)</f>
        <v>2025</v>
      </c>
      <c r="F1465" s="12" t="n">
        <f aca="false">MONTH(A1465)</f>
        <v>1</v>
      </c>
      <c r="G1465" s="12" t="n">
        <v>17.1</v>
      </c>
      <c r="H1465" s="12" t="n">
        <v>36</v>
      </c>
      <c r="I1465" s="12" t="n">
        <v>44</v>
      </c>
      <c r="J1465" s="12" t="n">
        <v>1.8</v>
      </c>
      <c r="K1465" s="12" t="n">
        <v>1</v>
      </c>
      <c r="L1465" s="12" t="s">
        <v>36</v>
      </c>
    </row>
    <row r="1466" customFormat="false" ht="15" hidden="false" customHeight="false" outlineLevel="0" collapsed="false">
      <c r="A1466" s="11" t="n">
        <v>45661</v>
      </c>
      <c r="B1466" s="12" t="n">
        <v>17.8</v>
      </c>
      <c r="C1466" s="12" t="n">
        <f aca="false">IF(NOT(ISNUMBER(B1466)),"",ROUND((INDEX(BP!$D$5:$D$9,MATCH(B1466,BP!$A$5:$A$9,1))-INDEX(BP!$C$5:$C$9,MATCH(B1466,BP!$A$5:$A$9,1)))/(INDEX(BP!$B$5:$B$9,MATCH(B1466,BP!$A$5:$A$9,1))-INDEX(BP!$A$5:$A$9,MATCH(B1466,BP!$A$5:$A$9,1)))*(B1466-INDEX(BP!$A$5:$A$9,MATCH(B1466,BP!$A$5:$A$9,1)))+INDEX(BP!$C$5:$C$9,MATCH(B1466,BP!$A$5:$A$9,1)),0))</f>
        <v>33</v>
      </c>
      <c r="D1466" s="12" t="str">
        <f aca="false">IF(NOT(ISNUMBER(C1466)),"",INDEX(BP!$F$5:$F$9,MATCH(C1466,BP!$E$5:$E$9,1)))</f>
        <v>ดี</v>
      </c>
      <c r="E1466" s="12" t="n">
        <f aca="false">YEAR(A1466)</f>
        <v>2025</v>
      </c>
      <c r="F1466" s="12" t="n">
        <f aca="false">MONTH(A1466)</f>
        <v>1</v>
      </c>
      <c r="G1466" s="12" t="n">
        <v>15.7</v>
      </c>
      <c r="H1466" s="12" t="n">
        <v>34.9</v>
      </c>
      <c r="I1466" s="12" t="n">
        <v>64</v>
      </c>
      <c r="J1466" s="12" t="n">
        <v>5.3</v>
      </c>
      <c r="K1466" s="12" t="n">
        <v>0.6</v>
      </c>
      <c r="L1466" s="12" t="s">
        <v>35</v>
      </c>
    </row>
    <row r="1467" customFormat="false" ht="15" hidden="false" customHeight="false" outlineLevel="0" collapsed="false">
      <c r="A1467" s="11" t="n">
        <v>45662</v>
      </c>
      <c r="B1467" s="12" t="n">
        <v>13.1</v>
      </c>
      <c r="C1467" s="12" t="n">
        <f aca="false">IF(NOT(ISNUMBER(B1467)),"",ROUND((INDEX(BP!$D$5:$D$9,MATCH(B1467,BP!$A$5:$A$9,1))-INDEX(BP!$C$5:$C$9,MATCH(B1467,BP!$A$5:$A$9,1)))/(INDEX(BP!$B$5:$B$9,MATCH(B1467,BP!$A$5:$A$9,1))-INDEX(BP!$A$5:$A$9,MATCH(B1467,BP!$A$5:$A$9,1)))*(B1467-INDEX(BP!$A$5:$A$9,MATCH(B1467,BP!$A$5:$A$9,1)))+INDEX(BP!$C$5:$C$9,MATCH(B1467,BP!$A$5:$A$9,1)),0))</f>
        <v>22</v>
      </c>
      <c r="D1467" s="12" t="str">
        <f aca="false">IF(NOT(ISNUMBER(C1467)),"",INDEX(BP!$F$5:$F$9,MATCH(C1467,BP!$E$5:$E$9,1)))</f>
        <v>ดีมาก</v>
      </c>
      <c r="E1467" s="12" t="n">
        <f aca="false">YEAR(A1467)</f>
        <v>2025</v>
      </c>
      <c r="F1467" s="12" t="n">
        <f aca="false">MONTH(A1467)</f>
        <v>1</v>
      </c>
      <c r="G1467" s="12" t="n">
        <v>17.2</v>
      </c>
      <c r="H1467" s="12" t="n">
        <v>37.4</v>
      </c>
      <c r="I1467" s="12" t="n">
        <v>83</v>
      </c>
      <c r="J1467" s="12" t="n">
        <v>2.7</v>
      </c>
      <c r="K1467" s="12" t="n">
        <v>0</v>
      </c>
      <c r="L1467" s="12" t="s">
        <v>35</v>
      </c>
    </row>
    <row r="1468" customFormat="false" ht="15" hidden="false" customHeight="false" outlineLevel="0" collapsed="false">
      <c r="A1468" s="11" t="n">
        <v>45663</v>
      </c>
      <c r="B1468" s="12" t="n">
        <v>20.1</v>
      </c>
      <c r="C1468" s="12" t="n">
        <f aca="false">IF(NOT(ISNUMBER(B1468)),"",ROUND((INDEX(BP!$D$5:$D$9,MATCH(B1468,BP!$A$5:$A$9,1))-INDEX(BP!$C$5:$C$9,MATCH(B1468,BP!$A$5:$A$9,1)))/(INDEX(BP!$B$5:$B$9,MATCH(B1468,BP!$A$5:$A$9,1))-INDEX(BP!$A$5:$A$9,MATCH(B1468,BP!$A$5:$A$9,1)))*(B1468-INDEX(BP!$A$5:$A$9,MATCH(B1468,BP!$A$5:$A$9,1)))+INDEX(BP!$C$5:$C$9,MATCH(B1468,BP!$A$5:$A$9,1)),0))</f>
        <v>38</v>
      </c>
      <c r="D1468" s="12" t="str">
        <f aca="false">IF(NOT(ISNUMBER(C1468)),"",INDEX(BP!$F$5:$F$9,MATCH(C1468,BP!$E$5:$E$9,1)))</f>
        <v>ดี</v>
      </c>
      <c r="E1468" s="12" t="n">
        <f aca="false">YEAR(A1468)</f>
        <v>2025</v>
      </c>
      <c r="F1468" s="12" t="n">
        <f aca="false">MONTH(A1468)</f>
        <v>1</v>
      </c>
      <c r="G1468" s="12" t="n">
        <v>21.5</v>
      </c>
      <c r="H1468" s="12" t="n">
        <v>43.6</v>
      </c>
      <c r="I1468" s="12" t="n">
        <v>59</v>
      </c>
      <c r="J1468" s="12" t="n">
        <v>1.3</v>
      </c>
      <c r="K1468" s="12" t="n">
        <v>0</v>
      </c>
      <c r="L1468" s="12" t="s">
        <v>36</v>
      </c>
    </row>
    <row r="1469" customFormat="false" ht="15" hidden="false" customHeight="false" outlineLevel="0" collapsed="false">
      <c r="A1469" s="11" t="n">
        <v>45664</v>
      </c>
      <c r="B1469" s="12" t="n">
        <v>20.5</v>
      </c>
      <c r="C1469" s="12" t="n">
        <f aca="false">IF(NOT(ISNUMBER(B1469)),"",ROUND((INDEX(BP!$D$5:$D$9,MATCH(B1469,BP!$A$5:$A$9,1))-INDEX(BP!$C$5:$C$9,MATCH(B1469,BP!$A$5:$A$9,1)))/(INDEX(BP!$B$5:$B$9,MATCH(B1469,BP!$A$5:$A$9,1))-INDEX(BP!$A$5:$A$9,MATCH(B1469,BP!$A$5:$A$9,1)))*(B1469-INDEX(BP!$A$5:$A$9,MATCH(B1469,BP!$A$5:$A$9,1)))+INDEX(BP!$C$5:$C$9,MATCH(B1469,BP!$A$5:$A$9,1)),0))</f>
        <v>39</v>
      </c>
      <c r="D1469" s="12" t="str">
        <f aca="false">IF(NOT(ISNUMBER(C1469)),"",INDEX(BP!$F$5:$F$9,MATCH(C1469,BP!$E$5:$E$9,1)))</f>
        <v>ดี</v>
      </c>
      <c r="E1469" s="12" t="n">
        <f aca="false">YEAR(A1469)</f>
        <v>2025</v>
      </c>
      <c r="F1469" s="12" t="n">
        <f aca="false">MONTH(A1469)</f>
        <v>1</v>
      </c>
      <c r="G1469" s="12" t="n">
        <v>18.6</v>
      </c>
      <c r="H1469" s="12" t="n">
        <v>38.5</v>
      </c>
      <c r="I1469" s="12" t="n">
        <v>78</v>
      </c>
      <c r="J1469" s="12" t="n">
        <v>0</v>
      </c>
      <c r="K1469" s="12" t="n">
        <v>0</v>
      </c>
      <c r="L1469" s="12" t="s">
        <v>36</v>
      </c>
    </row>
    <row r="1470" customFormat="false" ht="15" hidden="false" customHeight="false" outlineLevel="0" collapsed="false">
      <c r="A1470" s="11" t="n">
        <v>45665</v>
      </c>
      <c r="B1470" s="12" t="n">
        <v>19.9</v>
      </c>
      <c r="C1470" s="12" t="n">
        <f aca="false">IF(NOT(ISNUMBER(B1470)),"",ROUND((INDEX(BP!$D$5:$D$9,MATCH(B1470,BP!$A$5:$A$9,1))-INDEX(BP!$C$5:$C$9,MATCH(B1470,BP!$A$5:$A$9,1)))/(INDEX(BP!$B$5:$B$9,MATCH(B1470,BP!$A$5:$A$9,1))-INDEX(BP!$A$5:$A$9,MATCH(B1470,BP!$A$5:$A$9,1)))*(B1470-INDEX(BP!$A$5:$A$9,MATCH(B1470,BP!$A$5:$A$9,1)))+INDEX(BP!$C$5:$C$9,MATCH(B1470,BP!$A$5:$A$9,1)),0))</f>
        <v>38</v>
      </c>
      <c r="D1470" s="12" t="str">
        <f aca="false">IF(NOT(ISNUMBER(C1470)),"",INDEX(BP!$F$5:$F$9,MATCH(C1470,BP!$E$5:$E$9,1)))</f>
        <v>ดี</v>
      </c>
      <c r="E1470" s="12" t="n">
        <f aca="false">YEAR(A1470)</f>
        <v>2025</v>
      </c>
      <c r="F1470" s="12" t="n">
        <f aca="false">MONTH(A1470)</f>
        <v>1</v>
      </c>
      <c r="G1470" s="12" t="n">
        <v>18.4</v>
      </c>
      <c r="H1470" s="12" t="n">
        <v>37.4</v>
      </c>
      <c r="I1470" s="12" t="n">
        <v>74</v>
      </c>
      <c r="J1470" s="12" t="n">
        <v>0</v>
      </c>
      <c r="K1470" s="12" t="n">
        <v>0</v>
      </c>
      <c r="L1470" s="12" t="s">
        <v>36</v>
      </c>
    </row>
    <row r="1471" customFormat="false" ht="15" hidden="false" customHeight="false" outlineLevel="0" collapsed="false">
      <c r="A1471" s="11" t="n">
        <v>45666</v>
      </c>
      <c r="B1471" s="12" t="n">
        <v>22.5</v>
      </c>
      <c r="C1471" s="12" t="n">
        <f aca="false">IF(NOT(ISNUMBER(B1471)),"",ROUND((INDEX(BP!$D$5:$D$9,MATCH(B1471,BP!$A$5:$A$9,1))-INDEX(BP!$C$5:$C$9,MATCH(B1471,BP!$A$5:$A$9,1)))/(INDEX(BP!$B$5:$B$9,MATCH(B1471,BP!$A$5:$A$9,1))-INDEX(BP!$A$5:$A$9,MATCH(B1471,BP!$A$5:$A$9,1)))*(B1471-INDEX(BP!$A$5:$A$9,MATCH(B1471,BP!$A$5:$A$9,1)))+INDEX(BP!$C$5:$C$9,MATCH(B1471,BP!$A$5:$A$9,1)),0))</f>
        <v>44</v>
      </c>
      <c r="D1471" s="12" t="str">
        <f aca="false">IF(NOT(ISNUMBER(C1471)),"",INDEX(BP!$F$5:$F$9,MATCH(C1471,BP!$E$5:$E$9,1)))</f>
        <v>ดี</v>
      </c>
      <c r="E1471" s="12" t="n">
        <f aca="false">YEAR(A1471)</f>
        <v>2025</v>
      </c>
      <c r="F1471" s="12" t="n">
        <f aca="false">MONTH(A1471)</f>
        <v>1</v>
      </c>
      <c r="G1471" s="12" t="n">
        <v>20.2</v>
      </c>
      <c r="H1471" s="12" t="n">
        <v>40.7</v>
      </c>
      <c r="I1471" s="12" t="n">
        <v>81</v>
      </c>
      <c r="J1471" s="12" t="n">
        <v>0</v>
      </c>
      <c r="K1471" s="12" t="n">
        <v>0</v>
      </c>
      <c r="L1471" s="12" t="s">
        <v>36</v>
      </c>
    </row>
    <row r="1472" customFormat="false" ht="15" hidden="false" customHeight="false" outlineLevel="0" collapsed="false">
      <c r="A1472" s="11" t="n">
        <v>45667</v>
      </c>
      <c r="B1472" s="12" t="n">
        <v>20.4</v>
      </c>
      <c r="C1472" s="12" t="n">
        <f aca="false">IF(NOT(ISNUMBER(B1472)),"",ROUND((INDEX(BP!$D$5:$D$9,MATCH(B1472,BP!$A$5:$A$9,1))-INDEX(BP!$C$5:$C$9,MATCH(B1472,BP!$A$5:$A$9,1)))/(INDEX(BP!$B$5:$B$9,MATCH(B1472,BP!$A$5:$A$9,1))-INDEX(BP!$A$5:$A$9,MATCH(B1472,BP!$A$5:$A$9,1)))*(B1472-INDEX(BP!$A$5:$A$9,MATCH(B1472,BP!$A$5:$A$9,1)))+INDEX(BP!$C$5:$C$9,MATCH(B1472,BP!$A$5:$A$9,1)),0))</f>
        <v>39</v>
      </c>
      <c r="D1472" s="12" t="str">
        <f aca="false">IF(NOT(ISNUMBER(C1472)),"",INDEX(BP!$F$5:$F$9,MATCH(C1472,BP!$E$5:$E$9,1)))</f>
        <v>ดี</v>
      </c>
      <c r="E1472" s="12" t="n">
        <f aca="false">YEAR(A1472)</f>
        <v>2025</v>
      </c>
      <c r="F1472" s="12" t="n">
        <f aca="false">MONTH(A1472)</f>
        <v>1</v>
      </c>
      <c r="G1472" s="12" t="n">
        <v>21.4</v>
      </c>
      <c r="H1472" s="12" t="n">
        <v>43.9</v>
      </c>
      <c r="I1472" s="12" t="n">
        <v>65</v>
      </c>
      <c r="J1472" s="12" t="n">
        <v>5</v>
      </c>
      <c r="K1472" s="12" t="n">
        <v>1</v>
      </c>
      <c r="L1472" s="12" t="s">
        <v>36</v>
      </c>
    </row>
    <row r="1473" customFormat="false" ht="15" hidden="false" customHeight="false" outlineLevel="0" collapsed="false">
      <c r="A1473" s="11" t="n">
        <v>45668</v>
      </c>
      <c r="B1473" s="12" t="n">
        <v>20</v>
      </c>
      <c r="C1473" s="12" t="n">
        <f aca="false">IF(NOT(ISNUMBER(B1473)),"",ROUND((INDEX(BP!$D$5:$D$9,MATCH(B1473,BP!$A$5:$A$9,1))-INDEX(BP!$C$5:$C$9,MATCH(B1473,BP!$A$5:$A$9,1)))/(INDEX(BP!$B$5:$B$9,MATCH(B1473,BP!$A$5:$A$9,1))-INDEX(BP!$A$5:$A$9,MATCH(B1473,BP!$A$5:$A$9,1)))*(B1473-INDEX(BP!$A$5:$A$9,MATCH(B1473,BP!$A$5:$A$9,1)))+INDEX(BP!$C$5:$C$9,MATCH(B1473,BP!$A$5:$A$9,1)),0))</f>
        <v>38</v>
      </c>
      <c r="D1473" s="12" t="str">
        <f aca="false">IF(NOT(ISNUMBER(C1473)),"",INDEX(BP!$F$5:$F$9,MATCH(C1473,BP!$E$5:$E$9,1)))</f>
        <v>ดี</v>
      </c>
      <c r="E1473" s="12" t="n">
        <f aca="false">YEAR(A1473)</f>
        <v>2025</v>
      </c>
      <c r="F1473" s="12" t="n">
        <f aca="false">MONTH(A1473)</f>
        <v>1</v>
      </c>
      <c r="G1473" s="12" t="n">
        <v>21.6</v>
      </c>
      <c r="H1473" s="12" t="n">
        <v>48.6</v>
      </c>
      <c r="I1473" s="12" t="n">
        <v>84</v>
      </c>
      <c r="J1473" s="12" t="n">
        <v>30.2</v>
      </c>
      <c r="K1473" s="12" t="n">
        <v>22.8</v>
      </c>
      <c r="L1473" s="12" t="s">
        <v>35</v>
      </c>
    </row>
    <row r="1474" customFormat="false" ht="15" hidden="false" customHeight="false" outlineLevel="0" collapsed="false">
      <c r="A1474" s="11" t="n">
        <v>45669</v>
      </c>
      <c r="B1474" s="12" t="n">
        <v>19.8</v>
      </c>
      <c r="C1474" s="12" t="n">
        <f aca="false">IF(NOT(ISNUMBER(B1474)),"",ROUND((INDEX(BP!$D$5:$D$9,MATCH(B1474,BP!$A$5:$A$9,1))-INDEX(BP!$C$5:$C$9,MATCH(B1474,BP!$A$5:$A$9,1)))/(INDEX(BP!$B$5:$B$9,MATCH(B1474,BP!$A$5:$A$9,1))-INDEX(BP!$A$5:$A$9,MATCH(B1474,BP!$A$5:$A$9,1)))*(B1474-INDEX(BP!$A$5:$A$9,MATCH(B1474,BP!$A$5:$A$9,1)))+INDEX(BP!$C$5:$C$9,MATCH(B1474,BP!$A$5:$A$9,1)),0))</f>
        <v>37</v>
      </c>
      <c r="D1474" s="12" t="str">
        <f aca="false">IF(NOT(ISNUMBER(C1474)),"",INDEX(BP!$F$5:$F$9,MATCH(C1474,BP!$E$5:$E$9,1)))</f>
        <v>ดี</v>
      </c>
      <c r="E1474" s="12" t="n">
        <f aca="false">YEAR(A1474)</f>
        <v>2025</v>
      </c>
      <c r="F1474" s="12" t="n">
        <f aca="false">MONTH(A1474)</f>
        <v>1</v>
      </c>
      <c r="G1474" s="12" t="n">
        <v>27.3</v>
      </c>
      <c r="H1474" s="12" t="n">
        <v>54</v>
      </c>
      <c r="I1474" s="12" t="n">
        <v>61</v>
      </c>
      <c r="J1474" s="12" t="n">
        <v>5.5</v>
      </c>
      <c r="K1474" s="12" t="n">
        <v>4.8</v>
      </c>
      <c r="L1474" s="12" t="s">
        <v>35</v>
      </c>
    </row>
    <row r="1475" customFormat="false" ht="15" hidden="false" customHeight="false" outlineLevel="0" collapsed="false">
      <c r="A1475" s="11" t="n">
        <v>45670</v>
      </c>
      <c r="B1475" s="12" t="n">
        <v>21.7</v>
      </c>
      <c r="C1475" s="12" t="n">
        <f aca="false">IF(NOT(ISNUMBER(B1475)),"",ROUND((INDEX(BP!$D$5:$D$9,MATCH(B1475,BP!$A$5:$A$9,1))-INDEX(BP!$C$5:$C$9,MATCH(B1475,BP!$A$5:$A$9,1)))/(INDEX(BP!$B$5:$B$9,MATCH(B1475,BP!$A$5:$A$9,1))-INDEX(BP!$A$5:$A$9,MATCH(B1475,BP!$A$5:$A$9,1)))*(B1475-INDEX(BP!$A$5:$A$9,MATCH(B1475,BP!$A$5:$A$9,1)))+INDEX(BP!$C$5:$C$9,MATCH(B1475,BP!$A$5:$A$9,1)),0))</f>
        <v>42</v>
      </c>
      <c r="D1475" s="12" t="str">
        <f aca="false">IF(NOT(ISNUMBER(C1475)),"",INDEX(BP!$F$5:$F$9,MATCH(C1475,BP!$E$5:$E$9,1)))</f>
        <v>ดี</v>
      </c>
      <c r="E1475" s="12" t="n">
        <f aca="false">YEAR(A1475)</f>
        <v>2025</v>
      </c>
      <c r="F1475" s="12" t="n">
        <f aca="false">MONTH(A1475)</f>
        <v>1</v>
      </c>
      <c r="G1475" s="12" t="n">
        <v>26.7</v>
      </c>
      <c r="H1475" s="12" t="n">
        <v>55.8</v>
      </c>
      <c r="I1475" s="12" t="n">
        <v>62</v>
      </c>
      <c r="J1475" s="12" t="n">
        <v>2.2</v>
      </c>
      <c r="K1475" s="12" t="n">
        <v>0.4</v>
      </c>
      <c r="L1475" s="12" t="s">
        <v>36</v>
      </c>
    </row>
    <row r="1476" customFormat="false" ht="15" hidden="false" customHeight="false" outlineLevel="0" collapsed="false">
      <c r="A1476" s="11" t="n">
        <v>45671</v>
      </c>
      <c r="B1476" s="12" t="n">
        <v>24.1</v>
      </c>
      <c r="C1476" s="12" t="n">
        <f aca="false">IF(NOT(ISNUMBER(B1476)),"",ROUND((INDEX(BP!$D$5:$D$9,MATCH(B1476,BP!$A$5:$A$9,1))-INDEX(BP!$C$5:$C$9,MATCH(B1476,BP!$A$5:$A$9,1)))/(INDEX(BP!$B$5:$B$9,MATCH(B1476,BP!$A$5:$A$9,1))-INDEX(BP!$A$5:$A$9,MATCH(B1476,BP!$A$5:$A$9,1)))*(B1476-INDEX(BP!$A$5:$A$9,MATCH(B1476,BP!$A$5:$A$9,1)))+INDEX(BP!$C$5:$C$9,MATCH(B1476,BP!$A$5:$A$9,1)),0))</f>
        <v>48</v>
      </c>
      <c r="D1476" s="12" t="str">
        <f aca="false">IF(NOT(ISNUMBER(C1476)),"",INDEX(BP!$F$5:$F$9,MATCH(C1476,BP!$E$5:$E$9,1)))</f>
        <v>ดี</v>
      </c>
      <c r="E1476" s="12" t="n">
        <f aca="false">YEAR(A1476)</f>
        <v>2025</v>
      </c>
      <c r="F1476" s="12" t="n">
        <f aca="false">MONTH(A1476)</f>
        <v>1</v>
      </c>
      <c r="G1476" s="12" t="n">
        <v>22.7</v>
      </c>
      <c r="H1476" s="12" t="n">
        <v>45.4</v>
      </c>
      <c r="I1476" s="12" t="n">
        <v>47</v>
      </c>
      <c r="J1476" s="12" t="n">
        <v>1.6</v>
      </c>
      <c r="K1476" s="12" t="n">
        <v>0</v>
      </c>
      <c r="L1476" s="12" t="s">
        <v>36</v>
      </c>
    </row>
    <row r="1477" customFormat="false" ht="15" hidden="false" customHeight="false" outlineLevel="0" collapsed="false">
      <c r="A1477" s="11" t="n">
        <v>45672</v>
      </c>
      <c r="B1477" s="12" t="n">
        <v>21.8</v>
      </c>
      <c r="C1477" s="12" t="n">
        <f aca="false">IF(NOT(ISNUMBER(B1477)),"",ROUND((INDEX(BP!$D$5:$D$9,MATCH(B1477,BP!$A$5:$A$9,1))-INDEX(BP!$C$5:$C$9,MATCH(B1477,BP!$A$5:$A$9,1)))/(INDEX(BP!$B$5:$B$9,MATCH(B1477,BP!$A$5:$A$9,1))-INDEX(BP!$A$5:$A$9,MATCH(B1477,BP!$A$5:$A$9,1)))*(B1477-INDEX(BP!$A$5:$A$9,MATCH(B1477,BP!$A$5:$A$9,1)))+INDEX(BP!$C$5:$C$9,MATCH(B1477,BP!$A$5:$A$9,1)),0))</f>
        <v>42</v>
      </c>
      <c r="D1477" s="12" t="str">
        <f aca="false">IF(NOT(ISNUMBER(C1477)),"",INDEX(BP!$F$5:$F$9,MATCH(C1477,BP!$E$5:$E$9,1)))</f>
        <v>ดี</v>
      </c>
      <c r="E1477" s="12" t="n">
        <f aca="false">YEAR(A1477)</f>
        <v>2025</v>
      </c>
      <c r="F1477" s="12" t="n">
        <f aca="false">MONTH(A1477)</f>
        <v>1</v>
      </c>
      <c r="G1477" s="12" t="n">
        <v>22.9</v>
      </c>
      <c r="H1477" s="12" t="n">
        <v>51.8</v>
      </c>
      <c r="I1477" s="12" t="n">
        <v>39</v>
      </c>
      <c r="J1477" s="12" t="n">
        <v>24.2</v>
      </c>
      <c r="K1477" s="12" t="n">
        <v>62.2</v>
      </c>
      <c r="L1477" s="12" t="s">
        <v>36</v>
      </c>
    </row>
    <row r="1478" customFormat="false" ht="15" hidden="false" customHeight="false" outlineLevel="0" collapsed="false">
      <c r="A1478" s="11" t="n">
        <v>45673</v>
      </c>
      <c r="B1478" s="12" t="n">
        <v>11.4</v>
      </c>
      <c r="C1478" s="12" t="n">
        <f aca="false">IF(NOT(ISNUMBER(B1478)),"",ROUND((INDEX(BP!$D$5:$D$9,MATCH(B1478,BP!$A$5:$A$9,1))-INDEX(BP!$C$5:$C$9,MATCH(B1478,BP!$A$5:$A$9,1)))/(INDEX(BP!$B$5:$B$9,MATCH(B1478,BP!$A$5:$A$9,1))-INDEX(BP!$A$5:$A$9,MATCH(B1478,BP!$A$5:$A$9,1)))*(B1478-INDEX(BP!$A$5:$A$9,MATCH(B1478,BP!$A$5:$A$9,1)))+INDEX(BP!$C$5:$C$9,MATCH(B1478,BP!$A$5:$A$9,1)),0))</f>
        <v>19</v>
      </c>
      <c r="D1478" s="12" t="str">
        <f aca="false">IF(NOT(ISNUMBER(C1478)),"",INDEX(BP!$F$5:$F$9,MATCH(C1478,BP!$E$5:$E$9,1)))</f>
        <v>ดีมาก</v>
      </c>
      <c r="E1478" s="12" t="n">
        <f aca="false">YEAR(A1478)</f>
        <v>2025</v>
      </c>
      <c r="F1478" s="12" t="n">
        <f aca="false">MONTH(A1478)</f>
        <v>1</v>
      </c>
      <c r="G1478" s="12" t="n">
        <v>31.6</v>
      </c>
      <c r="H1478" s="12" t="n">
        <v>63</v>
      </c>
      <c r="I1478" s="12" t="n">
        <v>87</v>
      </c>
      <c r="J1478" s="12" t="n">
        <v>10.2</v>
      </c>
      <c r="K1478" s="12" t="n">
        <v>5</v>
      </c>
      <c r="L1478" s="12" t="s">
        <v>36</v>
      </c>
    </row>
    <row r="1479" customFormat="false" ht="15" hidden="false" customHeight="false" outlineLevel="0" collapsed="false">
      <c r="A1479" s="11" t="n">
        <v>45674</v>
      </c>
      <c r="B1479" s="12" t="n">
        <v>10.8</v>
      </c>
      <c r="C1479" s="12" t="n">
        <f aca="false">IF(NOT(ISNUMBER(B1479)),"",ROUND((INDEX(BP!$D$5:$D$9,MATCH(B1479,BP!$A$5:$A$9,1))-INDEX(BP!$C$5:$C$9,MATCH(B1479,BP!$A$5:$A$9,1)))/(INDEX(BP!$B$5:$B$9,MATCH(B1479,BP!$A$5:$A$9,1))-INDEX(BP!$A$5:$A$9,MATCH(B1479,BP!$A$5:$A$9,1)))*(B1479-INDEX(BP!$A$5:$A$9,MATCH(B1479,BP!$A$5:$A$9,1)))+INDEX(BP!$C$5:$C$9,MATCH(B1479,BP!$A$5:$A$9,1)),0))</f>
        <v>18</v>
      </c>
      <c r="D1479" s="12" t="str">
        <f aca="false">IF(NOT(ISNUMBER(C1479)),"",INDEX(BP!$F$5:$F$9,MATCH(C1479,BP!$E$5:$E$9,1)))</f>
        <v>ดีมาก</v>
      </c>
      <c r="E1479" s="12" t="n">
        <f aca="false">YEAR(A1479)</f>
        <v>2025</v>
      </c>
      <c r="F1479" s="12" t="n">
        <f aca="false">MONTH(A1479)</f>
        <v>1</v>
      </c>
      <c r="G1479" s="12" t="n">
        <v>28.1</v>
      </c>
      <c r="H1479" s="12" t="n">
        <v>54.7</v>
      </c>
      <c r="I1479" s="12" t="n">
        <v>89</v>
      </c>
      <c r="J1479" s="12" t="n">
        <v>5</v>
      </c>
      <c r="K1479" s="12" t="n">
        <v>0.4</v>
      </c>
      <c r="L1479" s="12" t="s">
        <v>36</v>
      </c>
    </row>
    <row r="1480" customFormat="false" ht="15" hidden="false" customHeight="false" outlineLevel="0" collapsed="false">
      <c r="A1480" s="11" t="n">
        <v>45675</v>
      </c>
      <c r="B1480" s="12" t="n">
        <v>13.9</v>
      </c>
      <c r="C1480" s="12" t="n">
        <f aca="false">IF(NOT(ISNUMBER(B1480)),"",ROUND((INDEX(BP!$D$5:$D$9,MATCH(B1480,BP!$A$5:$A$9,1))-INDEX(BP!$C$5:$C$9,MATCH(B1480,BP!$A$5:$A$9,1)))/(INDEX(BP!$B$5:$B$9,MATCH(B1480,BP!$A$5:$A$9,1))-INDEX(BP!$A$5:$A$9,MATCH(B1480,BP!$A$5:$A$9,1)))*(B1480-INDEX(BP!$A$5:$A$9,MATCH(B1480,BP!$A$5:$A$9,1)))+INDEX(BP!$C$5:$C$9,MATCH(B1480,BP!$A$5:$A$9,1)),0))</f>
        <v>23</v>
      </c>
      <c r="D1480" s="12" t="str">
        <f aca="false">IF(NOT(ISNUMBER(C1480)),"",INDEX(BP!$F$5:$F$9,MATCH(C1480,BP!$E$5:$E$9,1)))</f>
        <v>ดีมาก</v>
      </c>
      <c r="E1480" s="12" t="n">
        <f aca="false">YEAR(A1480)</f>
        <v>2025</v>
      </c>
      <c r="F1480" s="12" t="n">
        <f aca="false">MONTH(A1480)</f>
        <v>1</v>
      </c>
      <c r="G1480" s="12" t="n">
        <v>18.7</v>
      </c>
      <c r="H1480" s="12" t="n">
        <v>41</v>
      </c>
      <c r="I1480" s="12" t="n">
        <v>75</v>
      </c>
      <c r="J1480" s="12" t="n">
        <v>5.1</v>
      </c>
      <c r="K1480" s="12" t="n">
        <v>14.8</v>
      </c>
      <c r="L1480" s="12" t="s">
        <v>35</v>
      </c>
    </row>
    <row r="1481" customFormat="false" ht="15" hidden="false" customHeight="false" outlineLevel="0" collapsed="false">
      <c r="A1481" s="11" t="n">
        <v>45676</v>
      </c>
      <c r="B1481" s="12" t="n">
        <v>17.5</v>
      </c>
      <c r="C1481" s="12" t="n">
        <f aca="false">IF(NOT(ISNUMBER(B1481)),"",ROUND((INDEX(BP!$D$5:$D$9,MATCH(B1481,BP!$A$5:$A$9,1))-INDEX(BP!$C$5:$C$9,MATCH(B1481,BP!$A$5:$A$9,1)))/(INDEX(BP!$B$5:$B$9,MATCH(B1481,BP!$A$5:$A$9,1))-INDEX(BP!$A$5:$A$9,MATCH(B1481,BP!$A$5:$A$9,1)))*(B1481-INDEX(BP!$A$5:$A$9,MATCH(B1481,BP!$A$5:$A$9,1)))+INDEX(BP!$C$5:$C$9,MATCH(B1481,BP!$A$5:$A$9,1)),0))</f>
        <v>32</v>
      </c>
      <c r="D1481" s="12" t="str">
        <f aca="false">IF(NOT(ISNUMBER(C1481)),"",INDEX(BP!$F$5:$F$9,MATCH(C1481,BP!$E$5:$E$9,1)))</f>
        <v>ดี</v>
      </c>
      <c r="E1481" s="12" t="n">
        <f aca="false">YEAR(A1481)</f>
        <v>2025</v>
      </c>
      <c r="F1481" s="12" t="n">
        <f aca="false">MONTH(A1481)</f>
        <v>1</v>
      </c>
      <c r="G1481" s="12" t="n">
        <v>22.1</v>
      </c>
      <c r="H1481" s="12" t="n">
        <v>44.6</v>
      </c>
      <c r="I1481" s="12" t="n">
        <v>67</v>
      </c>
      <c r="J1481" s="12" t="n">
        <v>1.8</v>
      </c>
      <c r="K1481" s="12" t="n">
        <v>0</v>
      </c>
      <c r="L1481" s="12" t="s">
        <v>35</v>
      </c>
    </row>
    <row r="1482" customFormat="false" ht="15" hidden="false" customHeight="false" outlineLevel="0" collapsed="false">
      <c r="A1482" s="11" t="n">
        <v>45677</v>
      </c>
      <c r="B1482" s="12" t="n">
        <v>17.1</v>
      </c>
      <c r="C1482" s="12" t="n">
        <f aca="false">IF(NOT(ISNUMBER(B1482)),"",ROUND((INDEX(BP!$D$5:$D$9,MATCH(B1482,BP!$A$5:$A$9,1))-INDEX(BP!$C$5:$C$9,MATCH(B1482,BP!$A$5:$A$9,1)))/(INDEX(BP!$B$5:$B$9,MATCH(B1482,BP!$A$5:$A$9,1))-INDEX(BP!$A$5:$A$9,MATCH(B1482,BP!$A$5:$A$9,1)))*(B1482-INDEX(BP!$A$5:$A$9,MATCH(B1482,BP!$A$5:$A$9,1)))+INDEX(BP!$C$5:$C$9,MATCH(B1482,BP!$A$5:$A$9,1)),0))</f>
        <v>31</v>
      </c>
      <c r="D1482" s="12" t="str">
        <f aca="false">IF(NOT(ISNUMBER(C1482)),"",INDEX(BP!$F$5:$F$9,MATCH(C1482,BP!$E$5:$E$9,1)))</f>
        <v>ดี</v>
      </c>
      <c r="E1482" s="12" t="n">
        <f aca="false">YEAR(A1482)</f>
        <v>2025</v>
      </c>
      <c r="F1482" s="12" t="n">
        <f aca="false">MONTH(A1482)</f>
        <v>1</v>
      </c>
      <c r="G1482" s="12" t="n">
        <v>19.3</v>
      </c>
      <c r="H1482" s="12" t="n">
        <v>40.7</v>
      </c>
      <c r="I1482" s="12" t="n">
        <v>89</v>
      </c>
      <c r="J1482" s="12" t="n">
        <v>1.2</v>
      </c>
      <c r="K1482" s="12" t="n">
        <v>0</v>
      </c>
      <c r="L1482" s="12" t="s">
        <v>36</v>
      </c>
    </row>
    <row r="1483" customFormat="false" ht="15" hidden="false" customHeight="false" outlineLevel="0" collapsed="false">
      <c r="A1483" s="11" t="n">
        <v>45678</v>
      </c>
      <c r="B1483" s="12" t="n">
        <v>18.3</v>
      </c>
      <c r="C1483" s="12" t="n">
        <f aca="false">IF(NOT(ISNUMBER(B1483)),"",ROUND((INDEX(BP!$D$5:$D$9,MATCH(B1483,BP!$A$5:$A$9,1))-INDEX(BP!$C$5:$C$9,MATCH(B1483,BP!$A$5:$A$9,1)))/(INDEX(BP!$B$5:$B$9,MATCH(B1483,BP!$A$5:$A$9,1))-INDEX(BP!$A$5:$A$9,MATCH(B1483,BP!$A$5:$A$9,1)))*(B1483-INDEX(BP!$A$5:$A$9,MATCH(B1483,BP!$A$5:$A$9,1)))+INDEX(BP!$C$5:$C$9,MATCH(B1483,BP!$A$5:$A$9,1)),0))</f>
        <v>34</v>
      </c>
      <c r="D1483" s="12" t="str">
        <f aca="false">IF(NOT(ISNUMBER(C1483)),"",INDEX(BP!$F$5:$F$9,MATCH(C1483,BP!$E$5:$E$9,1)))</f>
        <v>ดี</v>
      </c>
      <c r="E1483" s="12" t="n">
        <f aca="false">YEAR(A1483)</f>
        <v>2025</v>
      </c>
      <c r="F1483" s="12" t="n">
        <f aca="false">MONTH(A1483)</f>
        <v>1</v>
      </c>
      <c r="G1483" s="12" t="n">
        <v>18.2</v>
      </c>
      <c r="H1483" s="12" t="n">
        <v>37.8</v>
      </c>
      <c r="I1483" s="12" t="n">
        <v>87</v>
      </c>
      <c r="J1483" s="12" t="n">
        <v>0</v>
      </c>
      <c r="K1483" s="12" t="n">
        <v>0</v>
      </c>
      <c r="L1483" s="12" t="s">
        <v>36</v>
      </c>
    </row>
    <row r="1484" customFormat="false" ht="15" hidden="false" customHeight="false" outlineLevel="0" collapsed="false">
      <c r="A1484" s="11" t="n">
        <v>45679</v>
      </c>
      <c r="B1484" s="12" t="n">
        <v>21</v>
      </c>
      <c r="C1484" s="12" t="n">
        <f aca="false">IF(NOT(ISNUMBER(B1484)),"",ROUND((INDEX(BP!$D$5:$D$9,MATCH(B1484,BP!$A$5:$A$9,1))-INDEX(BP!$C$5:$C$9,MATCH(B1484,BP!$A$5:$A$9,1)))/(INDEX(BP!$B$5:$B$9,MATCH(B1484,BP!$A$5:$A$9,1))-INDEX(BP!$A$5:$A$9,MATCH(B1484,BP!$A$5:$A$9,1)))*(B1484-INDEX(BP!$A$5:$A$9,MATCH(B1484,BP!$A$5:$A$9,1)))+INDEX(BP!$C$5:$C$9,MATCH(B1484,BP!$A$5:$A$9,1)),0))</f>
        <v>40</v>
      </c>
      <c r="D1484" s="12" t="str">
        <f aca="false">IF(NOT(ISNUMBER(C1484)),"",INDEX(BP!$F$5:$F$9,MATCH(C1484,BP!$E$5:$E$9,1)))</f>
        <v>ดี</v>
      </c>
      <c r="E1484" s="12" t="n">
        <f aca="false">YEAR(A1484)</f>
        <v>2025</v>
      </c>
      <c r="F1484" s="12" t="n">
        <f aca="false">MONTH(A1484)</f>
        <v>1</v>
      </c>
      <c r="G1484" s="12" t="n">
        <v>19.8</v>
      </c>
      <c r="H1484" s="12" t="n">
        <v>40.7</v>
      </c>
      <c r="I1484" s="12" t="n">
        <v>94</v>
      </c>
      <c r="J1484" s="12" t="n">
        <v>0.2</v>
      </c>
      <c r="K1484" s="12" t="n">
        <v>0</v>
      </c>
      <c r="L1484" s="12" t="s">
        <v>36</v>
      </c>
    </row>
    <row r="1485" customFormat="false" ht="15" hidden="false" customHeight="false" outlineLevel="0" collapsed="false">
      <c r="A1485" s="11" t="n">
        <v>45680</v>
      </c>
      <c r="B1485" s="12" t="n">
        <v>20.9</v>
      </c>
      <c r="C1485" s="12" t="n">
        <f aca="false">IF(NOT(ISNUMBER(B1485)),"",ROUND((INDEX(BP!$D$5:$D$9,MATCH(B1485,BP!$A$5:$A$9,1))-INDEX(BP!$C$5:$C$9,MATCH(B1485,BP!$A$5:$A$9,1)))/(INDEX(BP!$B$5:$B$9,MATCH(B1485,BP!$A$5:$A$9,1))-INDEX(BP!$A$5:$A$9,MATCH(B1485,BP!$A$5:$A$9,1)))*(B1485-INDEX(BP!$A$5:$A$9,MATCH(B1485,BP!$A$5:$A$9,1)))+INDEX(BP!$C$5:$C$9,MATCH(B1485,BP!$A$5:$A$9,1)),0))</f>
        <v>40</v>
      </c>
      <c r="D1485" s="12" t="str">
        <f aca="false">IF(NOT(ISNUMBER(C1485)),"",INDEX(BP!$F$5:$F$9,MATCH(C1485,BP!$E$5:$E$9,1)))</f>
        <v>ดี</v>
      </c>
      <c r="E1485" s="12" t="n">
        <f aca="false">YEAR(A1485)</f>
        <v>2025</v>
      </c>
      <c r="F1485" s="12" t="n">
        <f aca="false">MONTH(A1485)</f>
        <v>1</v>
      </c>
      <c r="G1485" s="12" t="n">
        <v>21.5</v>
      </c>
      <c r="H1485" s="12" t="n">
        <v>43.6</v>
      </c>
      <c r="I1485" s="12" t="n">
        <v>85</v>
      </c>
      <c r="J1485" s="12" t="n">
        <v>0.1</v>
      </c>
      <c r="K1485" s="12" t="n">
        <v>0</v>
      </c>
      <c r="L1485" s="12" t="s">
        <v>36</v>
      </c>
    </row>
    <row r="1486" customFormat="false" ht="15" hidden="false" customHeight="false" outlineLevel="0" collapsed="false">
      <c r="A1486" s="11" t="n">
        <v>45681</v>
      </c>
      <c r="B1486" s="12" t="n">
        <v>16.3</v>
      </c>
      <c r="C1486" s="12" t="n">
        <f aca="false">IF(NOT(ISNUMBER(B1486)),"",ROUND((INDEX(BP!$D$5:$D$9,MATCH(B1486,BP!$A$5:$A$9,1))-INDEX(BP!$C$5:$C$9,MATCH(B1486,BP!$A$5:$A$9,1)))/(INDEX(BP!$B$5:$B$9,MATCH(B1486,BP!$A$5:$A$9,1))-INDEX(BP!$A$5:$A$9,MATCH(B1486,BP!$A$5:$A$9,1)))*(B1486-INDEX(BP!$A$5:$A$9,MATCH(B1486,BP!$A$5:$A$9,1)))+INDEX(BP!$C$5:$C$9,MATCH(B1486,BP!$A$5:$A$9,1)),0))</f>
        <v>29</v>
      </c>
      <c r="D1486" s="12" t="str">
        <f aca="false">IF(NOT(ISNUMBER(C1486)),"",INDEX(BP!$F$5:$F$9,MATCH(C1486,BP!$E$5:$E$9,1)))</f>
        <v>ดี</v>
      </c>
      <c r="E1486" s="12" t="n">
        <f aca="false">YEAR(A1486)</f>
        <v>2025</v>
      </c>
      <c r="F1486" s="12" t="n">
        <f aca="false">MONTH(A1486)</f>
        <v>1</v>
      </c>
      <c r="G1486" s="12" t="n">
        <v>17.2</v>
      </c>
      <c r="H1486" s="12" t="n">
        <v>37.8</v>
      </c>
      <c r="I1486" s="12" t="n">
        <v>85</v>
      </c>
      <c r="J1486" s="12" t="n">
        <v>4.9</v>
      </c>
      <c r="K1486" s="12" t="n">
        <v>7</v>
      </c>
      <c r="L1486" s="12" t="s">
        <v>36</v>
      </c>
    </row>
    <row r="1487" customFormat="false" ht="15" hidden="false" customHeight="false" outlineLevel="0" collapsed="false">
      <c r="A1487" s="11" t="n">
        <v>45682</v>
      </c>
      <c r="B1487" s="12" t="n">
        <v>16</v>
      </c>
      <c r="C1487" s="12" t="n">
        <f aca="false">IF(NOT(ISNUMBER(B1487)),"",ROUND((INDEX(BP!$D$5:$D$9,MATCH(B1487,BP!$A$5:$A$9,1))-INDEX(BP!$C$5:$C$9,MATCH(B1487,BP!$A$5:$A$9,1)))/(INDEX(BP!$B$5:$B$9,MATCH(B1487,BP!$A$5:$A$9,1))-INDEX(BP!$A$5:$A$9,MATCH(B1487,BP!$A$5:$A$9,1)))*(B1487-INDEX(BP!$A$5:$A$9,MATCH(B1487,BP!$A$5:$A$9,1)))+INDEX(BP!$C$5:$C$9,MATCH(B1487,BP!$A$5:$A$9,1)),0))</f>
        <v>28</v>
      </c>
      <c r="D1487" s="12" t="str">
        <f aca="false">IF(NOT(ISNUMBER(C1487)),"",INDEX(BP!$F$5:$F$9,MATCH(C1487,BP!$E$5:$E$9,1)))</f>
        <v>ดี</v>
      </c>
      <c r="E1487" s="12" t="n">
        <f aca="false">YEAR(A1487)</f>
        <v>2025</v>
      </c>
      <c r="F1487" s="12" t="n">
        <f aca="false">MONTH(A1487)</f>
        <v>1</v>
      </c>
      <c r="G1487" s="12" t="n">
        <v>19.4</v>
      </c>
      <c r="H1487" s="12" t="n">
        <v>40</v>
      </c>
      <c r="I1487" s="12" t="n">
        <v>78</v>
      </c>
      <c r="J1487" s="12" t="n">
        <v>0.9</v>
      </c>
      <c r="K1487" s="12" t="n">
        <v>0</v>
      </c>
      <c r="L1487" s="12" t="s">
        <v>35</v>
      </c>
    </row>
    <row r="1488" customFormat="false" ht="15" hidden="false" customHeight="false" outlineLevel="0" collapsed="false">
      <c r="A1488" s="11" t="n">
        <v>45683</v>
      </c>
      <c r="B1488" s="12" t="n">
        <v>16.1</v>
      </c>
      <c r="C1488" s="12" t="n">
        <f aca="false">IF(NOT(ISNUMBER(B1488)),"",ROUND((INDEX(BP!$D$5:$D$9,MATCH(B1488,BP!$A$5:$A$9,1))-INDEX(BP!$C$5:$C$9,MATCH(B1488,BP!$A$5:$A$9,1)))/(INDEX(BP!$B$5:$B$9,MATCH(B1488,BP!$A$5:$A$9,1))-INDEX(BP!$A$5:$A$9,MATCH(B1488,BP!$A$5:$A$9,1)))*(B1488-INDEX(BP!$A$5:$A$9,MATCH(B1488,BP!$A$5:$A$9,1)))+INDEX(BP!$C$5:$C$9,MATCH(B1488,BP!$A$5:$A$9,1)),0))</f>
        <v>28</v>
      </c>
      <c r="D1488" s="12" t="str">
        <f aca="false">IF(NOT(ISNUMBER(C1488)),"",INDEX(BP!$F$5:$F$9,MATCH(C1488,BP!$E$5:$E$9,1)))</f>
        <v>ดี</v>
      </c>
      <c r="E1488" s="12" t="n">
        <f aca="false">YEAR(A1488)</f>
        <v>2025</v>
      </c>
      <c r="F1488" s="12" t="n">
        <f aca="false">MONTH(A1488)</f>
        <v>1</v>
      </c>
      <c r="G1488" s="12" t="n">
        <v>16.6</v>
      </c>
      <c r="H1488" s="12" t="n">
        <v>36.4</v>
      </c>
      <c r="I1488" s="12" t="n">
        <v>98</v>
      </c>
      <c r="J1488" s="12" t="n">
        <v>0.8</v>
      </c>
      <c r="K1488" s="12" t="n">
        <v>1.4</v>
      </c>
      <c r="L1488" s="12" t="s">
        <v>35</v>
      </c>
    </row>
    <row r="1489" customFormat="false" ht="15" hidden="false" customHeight="false" outlineLevel="0" collapsed="false">
      <c r="A1489" s="11" t="n">
        <v>45684</v>
      </c>
      <c r="B1489" s="12" t="n">
        <v>15.7</v>
      </c>
      <c r="C1489" s="12" t="n">
        <f aca="false">IF(NOT(ISNUMBER(B1489)),"",ROUND((INDEX(BP!$D$5:$D$9,MATCH(B1489,BP!$A$5:$A$9,1))-INDEX(BP!$C$5:$C$9,MATCH(B1489,BP!$A$5:$A$9,1)))/(INDEX(BP!$B$5:$B$9,MATCH(B1489,BP!$A$5:$A$9,1))-INDEX(BP!$A$5:$A$9,MATCH(B1489,BP!$A$5:$A$9,1)))*(B1489-INDEX(BP!$A$5:$A$9,MATCH(B1489,BP!$A$5:$A$9,1)))+INDEX(BP!$C$5:$C$9,MATCH(B1489,BP!$A$5:$A$9,1)),0))</f>
        <v>27</v>
      </c>
      <c r="D1489" s="12" t="str">
        <f aca="false">IF(NOT(ISNUMBER(C1489)),"",INDEX(BP!$F$5:$F$9,MATCH(C1489,BP!$E$5:$E$9,1)))</f>
        <v>ดี</v>
      </c>
      <c r="E1489" s="12" t="n">
        <f aca="false">YEAR(A1489)</f>
        <v>2025</v>
      </c>
      <c r="F1489" s="12" t="n">
        <f aca="false">MONTH(A1489)</f>
        <v>1</v>
      </c>
      <c r="G1489" s="12" t="n">
        <v>30.3</v>
      </c>
      <c r="H1489" s="12" t="n">
        <v>60.5</v>
      </c>
      <c r="I1489" s="12" t="n">
        <v>100</v>
      </c>
      <c r="J1489" s="12" t="n">
        <v>2.5</v>
      </c>
      <c r="K1489" s="12" t="n">
        <v>0</v>
      </c>
      <c r="L1489" s="12" t="s">
        <v>36</v>
      </c>
    </row>
    <row r="1490" customFormat="false" ht="15" hidden="false" customHeight="false" outlineLevel="0" collapsed="false">
      <c r="A1490" s="11" t="n">
        <v>45685</v>
      </c>
      <c r="B1490" s="12" t="n">
        <v>16.7</v>
      </c>
      <c r="C1490" s="12" t="n">
        <f aca="false">IF(NOT(ISNUMBER(B1490)),"",ROUND((INDEX(BP!$D$5:$D$9,MATCH(B1490,BP!$A$5:$A$9,1))-INDEX(BP!$C$5:$C$9,MATCH(B1490,BP!$A$5:$A$9,1)))/(INDEX(BP!$B$5:$B$9,MATCH(B1490,BP!$A$5:$A$9,1))-INDEX(BP!$A$5:$A$9,MATCH(B1490,BP!$A$5:$A$9,1)))*(B1490-INDEX(BP!$A$5:$A$9,MATCH(B1490,BP!$A$5:$A$9,1)))+INDEX(BP!$C$5:$C$9,MATCH(B1490,BP!$A$5:$A$9,1)),0))</f>
        <v>30</v>
      </c>
      <c r="D1490" s="12" t="str">
        <f aca="false">IF(NOT(ISNUMBER(C1490)),"",INDEX(BP!$F$5:$F$9,MATCH(C1490,BP!$E$5:$E$9,1)))</f>
        <v>ดี</v>
      </c>
      <c r="E1490" s="12" t="n">
        <f aca="false">YEAR(A1490)</f>
        <v>2025</v>
      </c>
      <c r="F1490" s="12" t="n">
        <f aca="false">MONTH(A1490)</f>
        <v>1</v>
      </c>
      <c r="G1490" s="12" t="n">
        <v>28.9</v>
      </c>
      <c r="H1490" s="12" t="n">
        <v>57.6</v>
      </c>
      <c r="I1490" s="12" t="n">
        <v>102</v>
      </c>
      <c r="J1490" s="12" t="n">
        <v>0.2</v>
      </c>
      <c r="K1490" s="12" t="n">
        <v>0.2</v>
      </c>
      <c r="L1490" s="12" t="s">
        <v>36</v>
      </c>
    </row>
    <row r="1491" customFormat="false" ht="15" hidden="false" customHeight="false" outlineLevel="0" collapsed="false">
      <c r="A1491" s="11" t="n">
        <v>45686</v>
      </c>
      <c r="B1491" s="12" t="n">
        <v>16.9</v>
      </c>
      <c r="C1491" s="12" t="n">
        <f aca="false">IF(NOT(ISNUMBER(B1491)),"",ROUND((INDEX(BP!$D$5:$D$9,MATCH(B1491,BP!$A$5:$A$9,1))-INDEX(BP!$C$5:$C$9,MATCH(B1491,BP!$A$5:$A$9,1)))/(INDEX(BP!$B$5:$B$9,MATCH(B1491,BP!$A$5:$A$9,1))-INDEX(BP!$A$5:$A$9,MATCH(B1491,BP!$A$5:$A$9,1)))*(B1491-INDEX(BP!$A$5:$A$9,MATCH(B1491,BP!$A$5:$A$9,1)))+INDEX(BP!$C$5:$C$9,MATCH(B1491,BP!$A$5:$A$9,1)),0))</f>
        <v>30</v>
      </c>
      <c r="D1491" s="12" t="str">
        <f aca="false">IF(NOT(ISNUMBER(C1491)),"",INDEX(BP!$F$5:$F$9,MATCH(C1491,BP!$E$5:$E$9,1)))</f>
        <v>ดี</v>
      </c>
      <c r="E1491" s="12" t="n">
        <f aca="false">YEAR(A1491)</f>
        <v>2025</v>
      </c>
      <c r="F1491" s="12" t="n">
        <f aca="false">MONTH(A1491)</f>
        <v>1</v>
      </c>
      <c r="G1491" s="12" t="n">
        <v>27.5</v>
      </c>
      <c r="H1491" s="12" t="n">
        <v>56.9</v>
      </c>
      <c r="I1491" s="12" t="n">
        <v>95</v>
      </c>
      <c r="J1491" s="12" t="n">
        <v>0.7</v>
      </c>
      <c r="K1491" s="12" t="n">
        <v>0</v>
      </c>
      <c r="L1491" s="12" t="s">
        <v>36</v>
      </c>
    </row>
    <row r="1492" customFormat="false" ht="15" hidden="false" customHeight="false" outlineLevel="0" collapsed="false">
      <c r="A1492" s="11" t="n">
        <v>45687</v>
      </c>
      <c r="B1492" s="12" t="n">
        <v>19.2</v>
      </c>
      <c r="C1492" s="12" t="n">
        <f aca="false">IF(NOT(ISNUMBER(B1492)),"",ROUND((INDEX(BP!$D$5:$D$9,MATCH(B1492,BP!$A$5:$A$9,1))-INDEX(BP!$C$5:$C$9,MATCH(B1492,BP!$A$5:$A$9,1)))/(INDEX(BP!$B$5:$B$9,MATCH(B1492,BP!$A$5:$A$9,1))-INDEX(BP!$A$5:$A$9,MATCH(B1492,BP!$A$5:$A$9,1)))*(B1492-INDEX(BP!$A$5:$A$9,MATCH(B1492,BP!$A$5:$A$9,1)))+INDEX(BP!$C$5:$C$9,MATCH(B1492,BP!$A$5:$A$9,1)),0))</f>
        <v>36</v>
      </c>
      <c r="D1492" s="12" t="str">
        <f aca="false">IF(NOT(ISNUMBER(C1492)),"",INDEX(BP!$F$5:$F$9,MATCH(C1492,BP!$E$5:$E$9,1)))</f>
        <v>ดี</v>
      </c>
      <c r="E1492" s="12" t="n">
        <f aca="false">YEAR(A1492)</f>
        <v>2025</v>
      </c>
      <c r="F1492" s="12" t="n">
        <f aca="false">MONTH(A1492)</f>
        <v>1</v>
      </c>
      <c r="G1492" s="12" t="n">
        <v>21.1</v>
      </c>
      <c r="H1492" s="12" t="n">
        <v>43.2</v>
      </c>
      <c r="I1492" s="12" t="n">
        <v>97</v>
      </c>
      <c r="J1492" s="12" t="n">
        <v>0</v>
      </c>
      <c r="K1492" s="12" t="n">
        <v>0</v>
      </c>
      <c r="L1492" s="12" t="s">
        <v>36</v>
      </c>
    </row>
    <row r="1493" customFormat="false" ht="15" hidden="false" customHeight="false" outlineLevel="0" collapsed="false">
      <c r="A1493" s="11" t="n">
        <v>45688</v>
      </c>
      <c r="B1493" s="12" t="n">
        <v>19.5</v>
      </c>
      <c r="C1493" s="12" t="n">
        <f aca="false">IF(NOT(ISNUMBER(B1493)),"",ROUND((INDEX(BP!$D$5:$D$9,MATCH(B1493,BP!$A$5:$A$9,1))-INDEX(BP!$C$5:$C$9,MATCH(B1493,BP!$A$5:$A$9,1)))/(INDEX(BP!$B$5:$B$9,MATCH(B1493,BP!$A$5:$A$9,1))-INDEX(BP!$A$5:$A$9,MATCH(B1493,BP!$A$5:$A$9,1)))*(B1493-INDEX(BP!$A$5:$A$9,MATCH(B1493,BP!$A$5:$A$9,1)))+INDEX(BP!$C$5:$C$9,MATCH(B1493,BP!$A$5:$A$9,1)),0))</f>
        <v>37</v>
      </c>
      <c r="D1493" s="12" t="str">
        <f aca="false">IF(NOT(ISNUMBER(C1493)),"",INDEX(BP!$F$5:$F$9,MATCH(C1493,BP!$E$5:$E$9,1)))</f>
        <v>ดี</v>
      </c>
      <c r="E1493" s="12" t="n">
        <f aca="false">YEAR(A1493)</f>
        <v>2025</v>
      </c>
      <c r="F1493" s="12" t="n">
        <f aca="false">MONTH(A1493)</f>
        <v>1</v>
      </c>
      <c r="G1493" s="12" t="n">
        <v>12.6</v>
      </c>
      <c r="H1493" s="12" t="n">
        <v>29.5</v>
      </c>
      <c r="I1493" s="12" t="n">
        <v>94</v>
      </c>
      <c r="J1493" s="12" t="n">
        <v>0</v>
      </c>
      <c r="K1493" s="12" t="n">
        <v>0</v>
      </c>
      <c r="L1493" s="12" t="s">
        <v>36</v>
      </c>
    </row>
    <row r="1494" customFormat="false" ht="15" hidden="false" customHeight="false" outlineLevel="0" collapsed="false">
      <c r="A1494" s="11" t="n">
        <v>45689</v>
      </c>
      <c r="B1494" s="12" t="n">
        <v>21.1</v>
      </c>
      <c r="C1494" s="12" t="n">
        <f aca="false">IF(NOT(ISNUMBER(B1494)),"",ROUND((INDEX(BP!$D$5:$D$9,MATCH(B1494,BP!$A$5:$A$9,1))-INDEX(BP!$C$5:$C$9,MATCH(B1494,BP!$A$5:$A$9,1)))/(INDEX(BP!$B$5:$B$9,MATCH(B1494,BP!$A$5:$A$9,1))-INDEX(BP!$A$5:$A$9,MATCH(B1494,BP!$A$5:$A$9,1)))*(B1494-INDEX(BP!$A$5:$A$9,MATCH(B1494,BP!$A$5:$A$9,1)))+INDEX(BP!$C$5:$C$9,MATCH(B1494,BP!$A$5:$A$9,1)),0))</f>
        <v>41</v>
      </c>
      <c r="D1494" s="12" t="str">
        <f aca="false">IF(NOT(ISNUMBER(C1494)),"",INDEX(BP!$F$5:$F$9,MATCH(C1494,BP!$E$5:$E$9,1)))</f>
        <v>ดี</v>
      </c>
      <c r="E1494" s="12" t="n">
        <f aca="false">YEAR(A1494)</f>
        <v>2025</v>
      </c>
      <c r="F1494" s="12" t="n">
        <f aca="false">MONTH(A1494)</f>
        <v>2</v>
      </c>
      <c r="G1494" s="12" t="n">
        <v>10.9</v>
      </c>
      <c r="H1494" s="12" t="n">
        <v>26.3</v>
      </c>
      <c r="I1494" s="12" t="n">
        <v>78</v>
      </c>
      <c r="J1494" s="12" t="n">
        <v>0</v>
      </c>
      <c r="K1494" s="12" t="n">
        <v>0</v>
      </c>
      <c r="L1494" s="12" t="s">
        <v>35</v>
      </c>
    </row>
    <row r="1495" customFormat="false" ht="15" hidden="false" customHeight="false" outlineLevel="0" collapsed="false">
      <c r="A1495" s="11" t="n">
        <v>45690</v>
      </c>
      <c r="B1495" s="12" t="n">
        <v>22.2</v>
      </c>
      <c r="C1495" s="12" t="n">
        <f aca="false">IF(NOT(ISNUMBER(B1495)),"",ROUND((INDEX(BP!$D$5:$D$9,MATCH(B1495,BP!$A$5:$A$9,1))-INDEX(BP!$C$5:$C$9,MATCH(B1495,BP!$A$5:$A$9,1)))/(INDEX(BP!$B$5:$B$9,MATCH(B1495,BP!$A$5:$A$9,1))-INDEX(BP!$A$5:$A$9,MATCH(B1495,BP!$A$5:$A$9,1)))*(B1495-INDEX(BP!$A$5:$A$9,MATCH(B1495,BP!$A$5:$A$9,1)))+INDEX(BP!$C$5:$C$9,MATCH(B1495,BP!$A$5:$A$9,1)),0))</f>
        <v>43</v>
      </c>
      <c r="D1495" s="12" t="str">
        <f aca="false">IF(NOT(ISNUMBER(C1495)),"",INDEX(BP!$F$5:$F$9,MATCH(C1495,BP!$E$5:$E$9,1)))</f>
        <v>ดี</v>
      </c>
      <c r="E1495" s="12" t="n">
        <f aca="false">YEAR(A1495)</f>
        <v>2025</v>
      </c>
      <c r="F1495" s="12" t="n">
        <f aca="false">MONTH(A1495)</f>
        <v>2</v>
      </c>
      <c r="G1495" s="12" t="n">
        <v>15.5</v>
      </c>
      <c r="H1495" s="12" t="n">
        <v>33.1</v>
      </c>
      <c r="I1495" s="12" t="n">
        <v>38</v>
      </c>
      <c r="J1495" s="12" t="n">
        <v>0</v>
      </c>
      <c r="K1495" s="12" t="n">
        <v>0</v>
      </c>
      <c r="L1495" s="12" t="s">
        <v>35</v>
      </c>
    </row>
    <row r="1496" customFormat="false" ht="15" hidden="false" customHeight="false" outlineLevel="0" collapsed="false">
      <c r="A1496" s="11" t="n">
        <v>45691</v>
      </c>
      <c r="B1496" s="12" t="n">
        <v>21.2</v>
      </c>
      <c r="C1496" s="12" t="n">
        <f aca="false">IF(NOT(ISNUMBER(B1496)),"",ROUND((INDEX(BP!$D$5:$D$9,MATCH(B1496,BP!$A$5:$A$9,1))-INDEX(BP!$C$5:$C$9,MATCH(B1496,BP!$A$5:$A$9,1)))/(INDEX(BP!$B$5:$B$9,MATCH(B1496,BP!$A$5:$A$9,1))-INDEX(BP!$A$5:$A$9,MATCH(B1496,BP!$A$5:$A$9,1)))*(B1496-INDEX(BP!$A$5:$A$9,MATCH(B1496,BP!$A$5:$A$9,1)))+INDEX(BP!$C$5:$C$9,MATCH(B1496,BP!$A$5:$A$9,1)),0))</f>
        <v>41</v>
      </c>
      <c r="D1496" s="12" t="str">
        <f aca="false">IF(NOT(ISNUMBER(C1496)),"",INDEX(BP!$F$5:$F$9,MATCH(C1496,BP!$E$5:$E$9,1)))</f>
        <v>ดี</v>
      </c>
      <c r="E1496" s="12" t="n">
        <f aca="false">YEAR(A1496)</f>
        <v>2025</v>
      </c>
      <c r="F1496" s="12" t="n">
        <f aca="false">MONTH(A1496)</f>
        <v>2</v>
      </c>
      <c r="G1496" s="12" t="n">
        <v>18.4</v>
      </c>
      <c r="H1496" s="12" t="n">
        <v>33.1</v>
      </c>
      <c r="I1496" s="12" t="n">
        <v>89</v>
      </c>
      <c r="J1496" s="12" t="n">
        <v>0</v>
      </c>
      <c r="K1496" s="12" t="n">
        <v>0</v>
      </c>
      <c r="L1496" s="12" t="s">
        <v>36</v>
      </c>
    </row>
    <row r="1497" customFormat="false" ht="15" hidden="false" customHeight="false" outlineLevel="0" collapsed="false">
      <c r="A1497" s="11" t="n">
        <v>45692</v>
      </c>
      <c r="B1497" s="12" t="n">
        <v>18.4</v>
      </c>
      <c r="C1497" s="12" t="n">
        <f aca="false">IF(NOT(ISNUMBER(B1497)),"",ROUND((INDEX(BP!$D$5:$D$9,MATCH(B1497,BP!$A$5:$A$9,1))-INDEX(BP!$C$5:$C$9,MATCH(B1497,BP!$A$5:$A$9,1)))/(INDEX(BP!$B$5:$B$9,MATCH(B1497,BP!$A$5:$A$9,1))-INDEX(BP!$A$5:$A$9,MATCH(B1497,BP!$A$5:$A$9,1)))*(B1497-INDEX(BP!$A$5:$A$9,MATCH(B1497,BP!$A$5:$A$9,1)))+INDEX(BP!$C$5:$C$9,MATCH(B1497,BP!$A$5:$A$9,1)),0))</f>
        <v>34</v>
      </c>
      <c r="D1497" s="12" t="str">
        <f aca="false">IF(NOT(ISNUMBER(C1497)),"",INDEX(BP!$F$5:$F$9,MATCH(C1497,BP!$E$5:$E$9,1)))</f>
        <v>ดี</v>
      </c>
      <c r="E1497" s="12" t="n">
        <f aca="false">YEAR(A1497)</f>
        <v>2025</v>
      </c>
      <c r="F1497" s="12" t="n">
        <f aca="false">MONTH(A1497)</f>
        <v>2</v>
      </c>
      <c r="G1497" s="12" t="n">
        <v>22.9</v>
      </c>
      <c r="H1497" s="12" t="n">
        <v>47.5</v>
      </c>
      <c r="I1497" s="12" t="n">
        <v>99</v>
      </c>
      <c r="J1497" s="12" t="n">
        <v>1.7</v>
      </c>
      <c r="K1497" s="12" t="n">
        <v>0</v>
      </c>
      <c r="L1497" s="12" t="s">
        <v>36</v>
      </c>
    </row>
    <row r="1498" customFormat="false" ht="15" hidden="false" customHeight="false" outlineLevel="0" collapsed="false">
      <c r="A1498" s="11" t="n">
        <v>45693</v>
      </c>
      <c r="B1498" s="12" t="n">
        <v>16</v>
      </c>
      <c r="C1498" s="12" t="n">
        <f aca="false">IF(NOT(ISNUMBER(B1498)),"",ROUND((INDEX(BP!$D$5:$D$9,MATCH(B1498,BP!$A$5:$A$9,1))-INDEX(BP!$C$5:$C$9,MATCH(B1498,BP!$A$5:$A$9,1)))/(INDEX(BP!$B$5:$B$9,MATCH(B1498,BP!$A$5:$A$9,1))-INDEX(BP!$A$5:$A$9,MATCH(B1498,BP!$A$5:$A$9,1)))*(B1498-INDEX(BP!$A$5:$A$9,MATCH(B1498,BP!$A$5:$A$9,1)))+INDEX(BP!$C$5:$C$9,MATCH(B1498,BP!$A$5:$A$9,1)),0))</f>
        <v>28</v>
      </c>
      <c r="D1498" s="12" t="str">
        <f aca="false">IF(NOT(ISNUMBER(C1498)),"",INDEX(BP!$F$5:$F$9,MATCH(C1498,BP!$E$5:$E$9,1)))</f>
        <v>ดี</v>
      </c>
      <c r="E1498" s="12" t="n">
        <f aca="false">YEAR(A1498)</f>
        <v>2025</v>
      </c>
      <c r="F1498" s="12" t="n">
        <f aca="false">MONTH(A1498)</f>
        <v>2</v>
      </c>
      <c r="G1498" s="12" t="n">
        <v>23.6</v>
      </c>
      <c r="H1498" s="12" t="n">
        <v>48.2</v>
      </c>
      <c r="I1498" s="12" t="n">
        <v>101</v>
      </c>
      <c r="J1498" s="12" t="n">
        <v>0</v>
      </c>
      <c r="K1498" s="12" t="n">
        <v>0</v>
      </c>
      <c r="L1498" s="12" t="s">
        <v>36</v>
      </c>
    </row>
    <row r="1499" customFormat="false" ht="15" hidden="false" customHeight="false" outlineLevel="0" collapsed="false">
      <c r="A1499" s="11" t="n">
        <v>45694</v>
      </c>
      <c r="B1499" s="12" t="n">
        <v>18.2</v>
      </c>
      <c r="C1499" s="12" t="n">
        <f aca="false">IF(NOT(ISNUMBER(B1499)),"",ROUND((INDEX(BP!$D$5:$D$9,MATCH(B1499,BP!$A$5:$A$9,1))-INDEX(BP!$C$5:$C$9,MATCH(B1499,BP!$A$5:$A$9,1)))/(INDEX(BP!$B$5:$B$9,MATCH(B1499,BP!$A$5:$A$9,1))-INDEX(BP!$A$5:$A$9,MATCH(B1499,BP!$A$5:$A$9,1)))*(B1499-INDEX(BP!$A$5:$A$9,MATCH(B1499,BP!$A$5:$A$9,1)))+INDEX(BP!$C$5:$C$9,MATCH(B1499,BP!$A$5:$A$9,1)),0))</f>
        <v>34</v>
      </c>
      <c r="D1499" s="12" t="str">
        <f aca="false">IF(NOT(ISNUMBER(C1499)),"",INDEX(BP!$F$5:$F$9,MATCH(C1499,BP!$E$5:$E$9,1)))</f>
        <v>ดี</v>
      </c>
      <c r="E1499" s="12" t="n">
        <f aca="false">YEAR(A1499)</f>
        <v>2025</v>
      </c>
      <c r="F1499" s="12" t="n">
        <f aca="false">MONTH(A1499)</f>
        <v>2</v>
      </c>
      <c r="G1499" s="12" t="n">
        <v>21.4</v>
      </c>
      <c r="H1499" s="12" t="n">
        <v>43.6</v>
      </c>
      <c r="I1499" s="12" t="n">
        <v>96</v>
      </c>
      <c r="J1499" s="12" t="n">
        <v>0.2</v>
      </c>
      <c r="K1499" s="12" t="n">
        <v>0</v>
      </c>
      <c r="L1499" s="12" t="s">
        <v>36</v>
      </c>
    </row>
    <row r="1500" customFormat="false" ht="15" hidden="false" customHeight="false" outlineLevel="0" collapsed="false">
      <c r="A1500" s="11" t="n">
        <v>45695</v>
      </c>
      <c r="B1500" s="12" t="n">
        <v>18.6</v>
      </c>
      <c r="C1500" s="12" t="n">
        <f aca="false">IF(NOT(ISNUMBER(B1500)),"",ROUND((INDEX(BP!$D$5:$D$9,MATCH(B1500,BP!$A$5:$A$9,1))-INDEX(BP!$C$5:$C$9,MATCH(B1500,BP!$A$5:$A$9,1)))/(INDEX(BP!$B$5:$B$9,MATCH(B1500,BP!$A$5:$A$9,1))-INDEX(BP!$A$5:$A$9,MATCH(B1500,BP!$A$5:$A$9,1)))*(B1500-INDEX(BP!$A$5:$A$9,MATCH(B1500,BP!$A$5:$A$9,1)))+INDEX(BP!$C$5:$C$9,MATCH(B1500,BP!$A$5:$A$9,1)),0))</f>
        <v>34</v>
      </c>
      <c r="D1500" s="12" t="str">
        <f aca="false">IF(NOT(ISNUMBER(C1500)),"",INDEX(BP!$F$5:$F$9,MATCH(C1500,BP!$E$5:$E$9,1)))</f>
        <v>ดี</v>
      </c>
      <c r="E1500" s="12" t="n">
        <f aca="false">YEAR(A1500)</f>
        <v>2025</v>
      </c>
      <c r="F1500" s="12" t="n">
        <f aca="false">MONTH(A1500)</f>
        <v>2</v>
      </c>
      <c r="G1500" s="12" t="n">
        <v>19.3</v>
      </c>
      <c r="H1500" s="12" t="n">
        <v>41</v>
      </c>
      <c r="I1500" s="12" t="n">
        <v>89</v>
      </c>
      <c r="J1500" s="12" t="n">
        <v>0</v>
      </c>
      <c r="K1500" s="12" t="n">
        <v>0</v>
      </c>
      <c r="L1500" s="12" t="s">
        <v>36</v>
      </c>
    </row>
    <row r="1501" customFormat="false" ht="15" hidden="false" customHeight="false" outlineLevel="0" collapsed="false">
      <c r="A1501" s="11" t="n">
        <v>45696</v>
      </c>
      <c r="B1501" s="12" t="n">
        <v>19.6</v>
      </c>
      <c r="C1501" s="12" t="n">
        <f aca="false">IF(NOT(ISNUMBER(B1501)),"",ROUND((INDEX(BP!$D$5:$D$9,MATCH(B1501,BP!$A$5:$A$9,1))-INDEX(BP!$C$5:$C$9,MATCH(B1501,BP!$A$5:$A$9,1)))/(INDEX(BP!$B$5:$B$9,MATCH(B1501,BP!$A$5:$A$9,1))-INDEX(BP!$A$5:$A$9,MATCH(B1501,BP!$A$5:$A$9,1)))*(B1501-INDEX(BP!$A$5:$A$9,MATCH(B1501,BP!$A$5:$A$9,1)))+INDEX(BP!$C$5:$C$9,MATCH(B1501,BP!$A$5:$A$9,1)),0))</f>
        <v>37</v>
      </c>
      <c r="D1501" s="12" t="str">
        <f aca="false">IF(NOT(ISNUMBER(C1501)),"",INDEX(BP!$F$5:$F$9,MATCH(C1501,BP!$E$5:$E$9,1)))</f>
        <v>ดี</v>
      </c>
      <c r="E1501" s="12" t="n">
        <f aca="false">YEAR(A1501)</f>
        <v>2025</v>
      </c>
      <c r="F1501" s="12" t="n">
        <f aca="false">MONTH(A1501)</f>
        <v>2</v>
      </c>
      <c r="G1501" s="12" t="n">
        <v>23.5</v>
      </c>
      <c r="H1501" s="12" t="n">
        <v>46.4</v>
      </c>
      <c r="I1501" s="12" t="n">
        <v>95</v>
      </c>
      <c r="J1501" s="12" t="n">
        <v>0.3</v>
      </c>
      <c r="K1501" s="12" t="n">
        <v>0</v>
      </c>
      <c r="L1501" s="12" t="s">
        <v>35</v>
      </c>
    </row>
    <row r="1502" customFormat="false" ht="15" hidden="false" customHeight="false" outlineLevel="0" collapsed="false">
      <c r="A1502" s="11" t="n">
        <v>45697</v>
      </c>
      <c r="B1502" s="12" t="n">
        <v>18.8</v>
      </c>
      <c r="C1502" s="12" t="n">
        <f aca="false">IF(NOT(ISNUMBER(B1502)),"",ROUND((INDEX(BP!$D$5:$D$9,MATCH(B1502,BP!$A$5:$A$9,1))-INDEX(BP!$C$5:$C$9,MATCH(B1502,BP!$A$5:$A$9,1)))/(INDEX(BP!$B$5:$B$9,MATCH(B1502,BP!$A$5:$A$9,1))-INDEX(BP!$A$5:$A$9,MATCH(B1502,BP!$A$5:$A$9,1)))*(B1502-INDEX(BP!$A$5:$A$9,MATCH(B1502,BP!$A$5:$A$9,1)))+INDEX(BP!$C$5:$C$9,MATCH(B1502,BP!$A$5:$A$9,1)),0))</f>
        <v>35</v>
      </c>
      <c r="D1502" s="12" t="str">
        <f aca="false">IF(NOT(ISNUMBER(C1502)),"",INDEX(BP!$F$5:$F$9,MATCH(C1502,BP!$E$5:$E$9,1)))</f>
        <v>ดี</v>
      </c>
      <c r="E1502" s="12" t="n">
        <f aca="false">YEAR(A1502)</f>
        <v>2025</v>
      </c>
      <c r="F1502" s="12" t="n">
        <f aca="false">MONTH(A1502)</f>
        <v>2</v>
      </c>
      <c r="G1502" s="12" t="n">
        <v>20.2</v>
      </c>
      <c r="H1502" s="12" t="n">
        <v>42.8</v>
      </c>
      <c r="I1502" s="12" t="n">
        <v>89</v>
      </c>
      <c r="J1502" s="12" t="n">
        <v>0.3</v>
      </c>
      <c r="K1502" s="12" t="n">
        <v>0</v>
      </c>
      <c r="L1502" s="12" t="s">
        <v>35</v>
      </c>
    </row>
    <row r="1503" customFormat="false" ht="15" hidden="false" customHeight="false" outlineLevel="0" collapsed="false">
      <c r="A1503" s="11" t="n">
        <v>45698</v>
      </c>
      <c r="B1503" s="12" t="n">
        <v>20.9</v>
      </c>
      <c r="C1503" s="12" t="n">
        <f aca="false">IF(NOT(ISNUMBER(B1503)),"",ROUND((INDEX(BP!$D$5:$D$9,MATCH(B1503,BP!$A$5:$A$9,1))-INDEX(BP!$C$5:$C$9,MATCH(B1503,BP!$A$5:$A$9,1)))/(INDEX(BP!$B$5:$B$9,MATCH(B1503,BP!$A$5:$A$9,1))-INDEX(BP!$A$5:$A$9,MATCH(B1503,BP!$A$5:$A$9,1)))*(B1503-INDEX(BP!$A$5:$A$9,MATCH(B1503,BP!$A$5:$A$9,1)))+INDEX(BP!$C$5:$C$9,MATCH(B1503,BP!$A$5:$A$9,1)),0))</f>
        <v>40</v>
      </c>
      <c r="D1503" s="12" t="str">
        <f aca="false">IF(NOT(ISNUMBER(C1503)),"",INDEX(BP!$F$5:$F$9,MATCH(C1503,BP!$E$5:$E$9,1)))</f>
        <v>ดี</v>
      </c>
      <c r="E1503" s="12" t="n">
        <f aca="false">YEAR(A1503)</f>
        <v>2025</v>
      </c>
      <c r="F1503" s="12" t="n">
        <f aca="false">MONTH(A1503)</f>
        <v>2</v>
      </c>
      <c r="G1503" s="12" t="n">
        <v>14.6</v>
      </c>
      <c r="H1503" s="12" t="n">
        <v>32</v>
      </c>
      <c r="I1503" s="12" t="n">
        <v>73</v>
      </c>
      <c r="J1503" s="12" t="n">
        <v>0</v>
      </c>
      <c r="K1503" s="12" t="n">
        <v>0</v>
      </c>
      <c r="L1503" s="12" t="s">
        <v>36</v>
      </c>
    </row>
    <row r="1504" customFormat="false" ht="15" hidden="false" customHeight="false" outlineLevel="0" collapsed="false">
      <c r="A1504" s="11" t="n">
        <v>45699</v>
      </c>
      <c r="B1504" s="12" t="n">
        <v>21</v>
      </c>
      <c r="C1504" s="12" t="n">
        <f aca="false">IF(NOT(ISNUMBER(B1504)),"",ROUND((INDEX(BP!$D$5:$D$9,MATCH(B1504,BP!$A$5:$A$9,1))-INDEX(BP!$C$5:$C$9,MATCH(B1504,BP!$A$5:$A$9,1)))/(INDEX(BP!$B$5:$B$9,MATCH(B1504,BP!$A$5:$A$9,1))-INDEX(BP!$A$5:$A$9,MATCH(B1504,BP!$A$5:$A$9,1)))*(B1504-INDEX(BP!$A$5:$A$9,MATCH(B1504,BP!$A$5:$A$9,1)))+INDEX(BP!$C$5:$C$9,MATCH(B1504,BP!$A$5:$A$9,1)),0))</f>
        <v>40</v>
      </c>
      <c r="D1504" s="12" t="str">
        <f aca="false">IF(NOT(ISNUMBER(C1504)),"",INDEX(BP!$F$5:$F$9,MATCH(C1504,BP!$E$5:$E$9,1)))</f>
        <v>ดี</v>
      </c>
      <c r="E1504" s="12" t="n">
        <f aca="false">YEAR(A1504)</f>
        <v>2025</v>
      </c>
      <c r="F1504" s="12" t="n">
        <f aca="false">MONTH(A1504)</f>
        <v>2</v>
      </c>
      <c r="G1504" s="12" t="n">
        <v>12.6</v>
      </c>
      <c r="H1504" s="12" t="n">
        <v>31</v>
      </c>
      <c r="I1504" s="12" t="n">
        <v>68</v>
      </c>
      <c r="J1504" s="12" t="n">
        <v>0.3</v>
      </c>
      <c r="K1504" s="12" t="n">
        <v>0</v>
      </c>
      <c r="L1504" s="12" t="s">
        <v>36</v>
      </c>
    </row>
    <row r="1505" customFormat="false" ht="15" hidden="false" customHeight="false" outlineLevel="0" collapsed="false">
      <c r="A1505" s="11" t="n">
        <v>45700</v>
      </c>
      <c r="B1505" s="12" t="n">
        <v>21.5</v>
      </c>
      <c r="C1505" s="12" t="n">
        <f aca="false">IF(NOT(ISNUMBER(B1505)),"",ROUND((INDEX(BP!$D$5:$D$9,MATCH(B1505,BP!$A$5:$A$9,1))-INDEX(BP!$C$5:$C$9,MATCH(B1505,BP!$A$5:$A$9,1)))/(INDEX(BP!$B$5:$B$9,MATCH(B1505,BP!$A$5:$A$9,1))-INDEX(BP!$A$5:$A$9,MATCH(B1505,BP!$A$5:$A$9,1)))*(B1505-INDEX(BP!$A$5:$A$9,MATCH(B1505,BP!$A$5:$A$9,1)))+INDEX(BP!$C$5:$C$9,MATCH(B1505,BP!$A$5:$A$9,1)),0))</f>
        <v>42</v>
      </c>
      <c r="D1505" s="12" t="str">
        <f aca="false">IF(NOT(ISNUMBER(C1505)),"",INDEX(BP!$F$5:$F$9,MATCH(C1505,BP!$E$5:$E$9,1)))</f>
        <v>ดี</v>
      </c>
      <c r="E1505" s="12" t="n">
        <f aca="false">YEAR(A1505)</f>
        <v>2025</v>
      </c>
      <c r="F1505" s="12" t="n">
        <f aca="false">MONTH(A1505)</f>
        <v>2</v>
      </c>
      <c r="G1505" s="12" t="n">
        <v>14.5</v>
      </c>
      <c r="H1505" s="12" t="n">
        <v>33.5</v>
      </c>
      <c r="I1505" s="12" t="n">
        <v>82</v>
      </c>
      <c r="J1505" s="12" t="n">
        <v>0.4</v>
      </c>
      <c r="K1505" s="12" t="n">
        <v>0</v>
      </c>
      <c r="L1505" s="12" t="s">
        <v>36</v>
      </c>
    </row>
    <row r="1506" customFormat="false" ht="15" hidden="false" customHeight="false" outlineLevel="0" collapsed="false">
      <c r="A1506" s="11" t="n">
        <v>45701</v>
      </c>
      <c r="B1506" s="12" t="n">
        <v>20.3</v>
      </c>
      <c r="C1506" s="12" t="n">
        <f aca="false">IF(NOT(ISNUMBER(B1506)),"",ROUND((INDEX(BP!$D$5:$D$9,MATCH(B1506,BP!$A$5:$A$9,1))-INDEX(BP!$C$5:$C$9,MATCH(B1506,BP!$A$5:$A$9,1)))/(INDEX(BP!$B$5:$B$9,MATCH(B1506,BP!$A$5:$A$9,1))-INDEX(BP!$A$5:$A$9,MATCH(B1506,BP!$A$5:$A$9,1)))*(B1506-INDEX(BP!$A$5:$A$9,MATCH(B1506,BP!$A$5:$A$9,1)))+INDEX(BP!$C$5:$C$9,MATCH(B1506,BP!$A$5:$A$9,1)),0))</f>
        <v>39</v>
      </c>
      <c r="D1506" s="12" t="str">
        <f aca="false">IF(NOT(ISNUMBER(C1506)),"",INDEX(BP!$F$5:$F$9,MATCH(C1506,BP!$E$5:$E$9,1)))</f>
        <v>ดี</v>
      </c>
      <c r="E1506" s="12" t="n">
        <f aca="false">YEAR(A1506)</f>
        <v>2025</v>
      </c>
      <c r="F1506" s="12" t="n">
        <f aca="false">MONTH(A1506)</f>
        <v>2</v>
      </c>
      <c r="G1506" s="12" t="n">
        <v>14.5</v>
      </c>
      <c r="H1506" s="12" t="n">
        <v>33.8</v>
      </c>
      <c r="I1506" s="12" t="n">
        <v>88</v>
      </c>
      <c r="J1506" s="12" t="n">
        <v>0</v>
      </c>
      <c r="K1506" s="12" t="n">
        <v>0</v>
      </c>
      <c r="L1506" s="12" t="s">
        <v>34</v>
      </c>
    </row>
    <row r="1507" customFormat="false" ht="15" hidden="false" customHeight="false" outlineLevel="0" collapsed="false">
      <c r="A1507" s="11" t="n">
        <v>45702</v>
      </c>
      <c r="B1507" s="12" t="n">
        <v>17.7</v>
      </c>
      <c r="C1507" s="12" t="n">
        <f aca="false">IF(NOT(ISNUMBER(B1507)),"",ROUND((INDEX(BP!$D$5:$D$9,MATCH(B1507,BP!$A$5:$A$9,1))-INDEX(BP!$C$5:$C$9,MATCH(B1507,BP!$A$5:$A$9,1)))/(INDEX(BP!$B$5:$B$9,MATCH(B1507,BP!$A$5:$A$9,1))-INDEX(BP!$A$5:$A$9,MATCH(B1507,BP!$A$5:$A$9,1)))*(B1507-INDEX(BP!$A$5:$A$9,MATCH(B1507,BP!$A$5:$A$9,1)))+INDEX(BP!$C$5:$C$9,MATCH(B1507,BP!$A$5:$A$9,1)),0))</f>
        <v>32</v>
      </c>
      <c r="D1507" s="12" t="str">
        <f aca="false">IF(NOT(ISNUMBER(C1507)),"",INDEX(BP!$F$5:$F$9,MATCH(C1507,BP!$E$5:$E$9,1)))</f>
        <v>ดี</v>
      </c>
      <c r="E1507" s="12" t="n">
        <f aca="false">YEAR(A1507)</f>
        <v>2025</v>
      </c>
      <c r="F1507" s="12" t="n">
        <f aca="false">MONTH(A1507)</f>
        <v>2</v>
      </c>
      <c r="G1507" s="12" t="n">
        <v>15</v>
      </c>
      <c r="H1507" s="12" t="n">
        <v>34.2</v>
      </c>
      <c r="I1507" s="12" t="n">
        <v>88</v>
      </c>
      <c r="J1507" s="12" t="n">
        <v>0.1</v>
      </c>
      <c r="K1507" s="12" t="n">
        <v>0</v>
      </c>
      <c r="L1507" s="12" t="s">
        <v>36</v>
      </c>
    </row>
    <row r="1508" customFormat="false" ht="15" hidden="false" customHeight="false" outlineLevel="0" collapsed="false">
      <c r="A1508" s="11" t="n">
        <v>45703</v>
      </c>
      <c r="B1508" s="12" t="n">
        <v>17.3</v>
      </c>
      <c r="C1508" s="12" t="n">
        <f aca="false">IF(NOT(ISNUMBER(B1508)),"",ROUND((INDEX(BP!$D$5:$D$9,MATCH(B1508,BP!$A$5:$A$9,1))-INDEX(BP!$C$5:$C$9,MATCH(B1508,BP!$A$5:$A$9,1)))/(INDEX(BP!$B$5:$B$9,MATCH(B1508,BP!$A$5:$A$9,1))-INDEX(BP!$A$5:$A$9,MATCH(B1508,BP!$A$5:$A$9,1)))*(B1508-INDEX(BP!$A$5:$A$9,MATCH(B1508,BP!$A$5:$A$9,1)))+INDEX(BP!$C$5:$C$9,MATCH(B1508,BP!$A$5:$A$9,1)),0))</f>
        <v>31</v>
      </c>
      <c r="D1508" s="12" t="str">
        <f aca="false">IF(NOT(ISNUMBER(C1508)),"",INDEX(BP!$F$5:$F$9,MATCH(C1508,BP!$E$5:$E$9,1)))</f>
        <v>ดี</v>
      </c>
      <c r="E1508" s="12" t="n">
        <f aca="false">YEAR(A1508)</f>
        <v>2025</v>
      </c>
      <c r="F1508" s="12" t="n">
        <f aca="false">MONTH(A1508)</f>
        <v>2</v>
      </c>
      <c r="G1508" s="12" t="n">
        <v>13.9</v>
      </c>
      <c r="H1508" s="12" t="n">
        <v>32.4</v>
      </c>
      <c r="I1508" s="12" t="n">
        <v>82</v>
      </c>
      <c r="J1508" s="12" t="n">
        <v>0</v>
      </c>
      <c r="K1508" s="12" t="n">
        <v>0</v>
      </c>
      <c r="L1508" s="12" t="s">
        <v>35</v>
      </c>
    </row>
    <row r="1509" customFormat="false" ht="15" hidden="false" customHeight="false" outlineLevel="0" collapsed="false">
      <c r="A1509" s="11" t="n">
        <v>45704</v>
      </c>
      <c r="B1509" s="12" t="n">
        <v>17.9</v>
      </c>
      <c r="C1509" s="12" t="n">
        <f aca="false">IF(NOT(ISNUMBER(B1509)),"",ROUND((INDEX(BP!$D$5:$D$9,MATCH(B1509,BP!$A$5:$A$9,1))-INDEX(BP!$C$5:$C$9,MATCH(B1509,BP!$A$5:$A$9,1)))/(INDEX(BP!$B$5:$B$9,MATCH(B1509,BP!$A$5:$A$9,1))-INDEX(BP!$A$5:$A$9,MATCH(B1509,BP!$A$5:$A$9,1)))*(B1509-INDEX(BP!$A$5:$A$9,MATCH(B1509,BP!$A$5:$A$9,1)))+INDEX(BP!$C$5:$C$9,MATCH(B1509,BP!$A$5:$A$9,1)),0))</f>
        <v>33</v>
      </c>
      <c r="D1509" s="12" t="str">
        <f aca="false">IF(NOT(ISNUMBER(C1509)),"",INDEX(BP!$F$5:$F$9,MATCH(C1509,BP!$E$5:$E$9,1)))</f>
        <v>ดี</v>
      </c>
      <c r="E1509" s="12" t="n">
        <f aca="false">YEAR(A1509)</f>
        <v>2025</v>
      </c>
      <c r="F1509" s="12" t="n">
        <f aca="false">MONTH(A1509)</f>
        <v>2</v>
      </c>
      <c r="G1509" s="12" t="n">
        <v>16.1</v>
      </c>
      <c r="H1509" s="12" t="n">
        <v>36</v>
      </c>
      <c r="I1509" s="12" t="n">
        <v>95</v>
      </c>
      <c r="J1509" s="12" t="n">
        <v>0</v>
      </c>
      <c r="K1509" s="12" t="n">
        <v>0</v>
      </c>
      <c r="L1509" s="12" t="s">
        <v>35</v>
      </c>
    </row>
    <row r="1510" customFormat="false" ht="15" hidden="false" customHeight="false" outlineLevel="0" collapsed="false">
      <c r="A1510" s="11" t="n">
        <v>45705</v>
      </c>
      <c r="B1510" s="12" t="n">
        <v>16.7</v>
      </c>
      <c r="C1510" s="12" t="n">
        <f aca="false">IF(NOT(ISNUMBER(B1510)),"",ROUND((INDEX(BP!$D$5:$D$9,MATCH(B1510,BP!$A$5:$A$9,1))-INDEX(BP!$C$5:$C$9,MATCH(B1510,BP!$A$5:$A$9,1)))/(INDEX(BP!$B$5:$B$9,MATCH(B1510,BP!$A$5:$A$9,1))-INDEX(BP!$A$5:$A$9,MATCH(B1510,BP!$A$5:$A$9,1)))*(B1510-INDEX(BP!$A$5:$A$9,MATCH(B1510,BP!$A$5:$A$9,1)))+INDEX(BP!$C$5:$C$9,MATCH(B1510,BP!$A$5:$A$9,1)),0))</f>
        <v>30</v>
      </c>
      <c r="D1510" s="12" t="str">
        <f aca="false">IF(NOT(ISNUMBER(C1510)),"",INDEX(BP!$F$5:$F$9,MATCH(C1510,BP!$E$5:$E$9,1)))</f>
        <v>ดี</v>
      </c>
      <c r="E1510" s="12" t="n">
        <f aca="false">YEAR(A1510)</f>
        <v>2025</v>
      </c>
      <c r="F1510" s="12" t="n">
        <f aca="false">MONTH(A1510)</f>
        <v>2</v>
      </c>
      <c r="G1510" s="12" t="n">
        <v>20</v>
      </c>
      <c r="H1510" s="12" t="n">
        <v>43.2</v>
      </c>
      <c r="I1510" s="12" t="n">
        <v>88</v>
      </c>
      <c r="J1510" s="12" t="n">
        <v>0.2</v>
      </c>
      <c r="K1510" s="12" t="n">
        <v>0</v>
      </c>
      <c r="L1510" s="12" t="s">
        <v>36</v>
      </c>
    </row>
    <row r="1511" customFormat="false" ht="15" hidden="false" customHeight="false" outlineLevel="0" collapsed="false">
      <c r="A1511" s="11" t="n">
        <v>45706</v>
      </c>
      <c r="B1511" s="12" t="n">
        <v>13.8</v>
      </c>
      <c r="C1511" s="12" t="n">
        <f aca="false">IF(NOT(ISNUMBER(B1511)),"",ROUND((INDEX(BP!$D$5:$D$9,MATCH(B1511,BP!$A$5:$A$9,1))-INDEX(BP!$C$5:$C$9,MATCH(B1511,BP!$A$5:$A$9,1)))/(INDEX(BP!$B$5:$B$9,MATCH(B1511,BP!$A$5:$A$9,1))-INDEX(BP!$A$5:$A$9,MATCH(B1511,BP!$A$5:$A$9,1)))*(B1511-INDEX(BP!$A$5:$A$9,MATCH(B1511,BP!$A$5:$A$9,1)))+INDEX(BP!$C$5:$C$9,MATCH(B1511,BP!$A$5:$A$9,1)),0))</f>
        <v>23</v>
      </c>
      <c r="D1511" s="12" t="str">
        <f aca="false">IF(NOT(ISNUMBER(C1511)),"",INDEX(BP!$F$5:$F$9,MATCH(C1511,BP!$E$5:$E$9,1)))</f>
        <v>ดีมาก</v>
      </c>
      <c r="E1511" s="12" t="n">
        <f aca="false">YEAR(A1511)</f>
        <v>2025</v>
      </c>
      <c r="F1511" s="12" t="n">
        <f aca="false">MONTH(A1511)</f>
        <v>2</v>
      </c>
      <c r="G1511" s="12" t="n">
        <v>21.5</v>
      </c>
      <c r="H1511" s="12" t="n">
        <v>45.7</v>
      </c>
      <c r="I1511" s="12" t="n">
        <v>91</v>
      </c>
      <c r="J1511" s="12" t="n">
        <v>0.7</v>
      </c>
      <c r="K1511" s="12" t="n">
        <v>0</v>
      </c>
      <c r="L1511" s="12" t="s">
        <v>36</v>
      </c>
    </row>
    <row r="1512" customFormat="false" ht="15" hidden="false" customHeight="false" outlineLevel="0" collapsed="false">
      <c r="A1512" s="11" t="n">
        <v>45707</v>
      </c>
      <c r="B1512" s="12" t="n">
        <v>10.7</v>
      </c>
      <c r="C1512" s="12" t="n">
        <f aca="false">IF(NOT(ISNUMBER(B1512)),"",ROUND((INDEX(BP!$D$5:$D$9,MATCH(B1512,BP!$A$5:$A$9,1))-INDEX(BP!$C$5:$C$9,MATCH(B1512,BP!$A$5:$A$9,1)))/(INDEX(BP!$B$5:$B$9,MATCH(B1512,BP!$A$5:$A$9,1))-INDEX(BP!$A$5:$A$9,MATCH(B1512,BP!$A$5:$A$9,1)))*(B1512-INDEX(BP!$A$5:$A$9,MATCH(B1512,BP!$A$5:$A$9,1)))+INDEX(BP!$C$5:$C$9,MATCH(B1512,BP!$A$5:$A$9,1)),0))</f>
        <v>18</v>
      </c>
      <c r="D1512" s="12" t="str">
        <f aca="false">IF(NOT(ISNUMBER(C1512)),"",INDEX(BP!$F$5:$F$9,MATCH(C1512,BP!$E$5:$E$9,1)))</f>
        <v>ดีมาก</v>
      </c>
      <c r="E1512" s="12" t="n">
        <f aca="false">YEAR(A1512)</f>
        <v>2025</v>
      </c>
      <c r="F1512" s="12" t="n">
        <f aca="false">MONTH(A1512)</f>
        <v>2</v>
      </c>
      <c r="G1512" s="12" t="n">
        <v>22.1</v>
      </c>
      <c r="H1512" s="12" t="n">
        <v>47.2</v>
      </c>
      <c r="I1512" s="12" t="n">
        <v>92</v>
      </c>
      <c r="J1512" s="12" t="n">
        <v>0.3</v>
      </c>
      <c r="K1512" s="12" t="n">
        <v>0</v>
      </c>
      <c r="L1512" s="12" t="s">
        <v>36</v>
      </c>
    </row>
    <row r="1513" customFormat="false" ht="15" hidden="false" customHeight="false" outlineLevel="0" collapsed="false">
      <c r="A1513" s="11" t="n">
        <v>45708</v>
      </c>
      <c r="B1513" s="12" t="n">
        <v>11.9</v>
      </c>
      <c r="C1513" s="12" t="n">
        <f aca="false">IF(NOT(ISNUMBER(B1513)),"",ROUND((INDEX(BP!$D$5:$D$9,MATCH(B1513,BP!$A$5:$A$9,1))-INDEX(BP!$C$5:$C$9,MATCH(B1513,BP!$A$5:$A$9,1)))/(INDEX(BP!$B$5:$B$9,MATCH(B1513,BP!$A$5:$A$9,1))-INDEX(BP!$A$5:$A$9,MATCH(B1513,BP!$A$5:$A$9,1)))*(B1513-INDEX(BP!$A$5:$A$9,MATCH(B1513,BP!$A$5:$A$9,1)))+INDEX(BP!$C$5:$C$9,MATCH(B1513,BP!$A$5:$A$9,1)),0))</f>
        <v>20</v>
      </c>
      <c r="D1513" s="12" t="str">
        <f aca="false">IF(NOT(ISNUMBER(C1513)),"",INDEX(BP!$F$5:$F$9,MATCH(C1513,BP!$E$5:$E$9,1)))</f>
        <v>ดีมาก</v>
      </c>
      <c r="E1513" s="12" t="n">
        <f aca="false">YEAR(A1513)</f>
        <v>2025</v>
      </c>
      <c r="F1513" s="12" t="n">
        <f aca="false">MONTH(A1513)</f>
        <v>2</v>
      </c>
      <c r="G1513" s="12" t="n">
        <v>26.1</v>
      </c>
      <c r="H1513" s="12" t="n">
        <v>54</v>
      </c>
      <c r="I1513" s="12" t="n">
        <v>97</v>
      </c>
      <c r="J1513" s="12" t="n">
        <v>1.2</v>
      </c>
      <c r="K1513" s="12" t="n">
        <v>0</v>
      </c>
      <c r="L1513" s="12" t="s">
        <v>36</v>
      </c>
    </row>
    <row r="1514" customFormat="false" ht="15" hidden="false" customHeight="false" outlineLevel="0" collapsed="false">
      <c r="A1514" s="11" t="n">
        <v>45709</v>
      </c>
      <c r="B1514" s="12" t="n">
        <v>11</v>
      </c>
      <c r="C1514" s="12" t="n">
        <f aca="false">IF(NOT(ISNUMBER(B1514)),"",ROUND((INDEX(BP!$D$5:$D$9,MATCH(B1514,BP!$A$5:$A$9,1))-INDEX(BP!$C$5:$C$9,MATCH(B1514,BP!$A$5:$A$9,1)))/(INDEX(BP!$B$5:$B$9,MATCH(B1514,BP!$A$5:$A$9,1))-INDEX(BP!$A$5:$A$9,MATCH(B1514,BP!$A$5:$A$9,1)))*(B1514-INDEX(BP!$A$5:$A$9,MATCH(B1514,BP!$A$5:$A$9,1)))+INDEX(BP!$C$5:$C$9,MATCH(B1514,BP!$A$5:$A$9,1)),0))</f>
        <v>18</v>
      </c>
      <c r="D1514" s="12" t="str">
        <f aca="false">IF(NOT(ISNUMBER(C1514)),"",INDEX(BP!$F$5:$F$9,MATCH(C1514,BP!$E$5:$E$9,1)))</f>
        <v>ดีมาก</v>
      </c>
      <c r="E1514" s="12" t="n">
        <f aca="false">YEAR(A1514)</f>
        <v>2025</v>
      </c>
      <c r="F1514" s="12" t="n">
        <f aca="false">MONTH(A1514)</f>
        <v>2</v>
      </c>
      <c r="G1514" s="12" t="n">
        <v>21.2</v>
      </c>
      <c r="H1514" s="12" t="n">
        <v>45.7</v>
      </c>
      <c r="I1514" s="12" t="n">
        <v>95</v>
      </c>
      <c r="J1514" s="12" t="n">
        <v>0.2</v>
      </c>
      <c r="K1514" s="12" t="n">
        <v>0</v>
      </c>
      <c r="L1514" s="12" t="s">
        <v>36</v>
      </c>
    </row>
    <row r="1515" customFormat="false" ht="15" hidden="false" customHeight="false" outlineLevel="0" collapsed="false">
      <c r="A1515" s="11" t="n">
        <v>45710</v>
      </c>
      <c r="B1515" s="12" t="n">
        <v>11.4</v>
      </c>
      <c r="C1515" s="12" t="n">
        <f aca="false">IF(NOT(ISNUMBER(B1515)),"",ROUND((INDEX(BP!$D$5:$D$9,MATCH(B1515,BP!$A$5:$A$9,1))-INDEX(BP!$C$5:$C$9,MATCH(B1515,BP!$A$5:$A$9,1)))/(INDEX(BP!$B$5:$B$9,MATCH(B1515,BP!$A$5:$A$9,1))-INDEX(BP!$A$5:$A$9,MATCH(B1515,BP!$A$5:$A$9,1)))*(B1515-INDEX(BP!$A$5:$A$9,MATCH(B1515,BP!$A$5:$A$9,1)))+INDEX(BP!$C$5:$C$9,MATCH(B1515,BP!$A$5:$A$9,1)),0))</f>
        <v>19</v>
      </c>
      <c r="D1515" s="12" t="str">
        <f aca="false">IF(NOT(ISNUMBER(C1515)),"",INDEX(BP!$F$5:$F$9,MATCH(C1515,BP!$E$5:$E$9,1)))</f>
        <v>ดีมาก</v>
      </c>
      <c r="E1515" s="12" t="n">
        <f aca="false">YEAR(A1515)</f>
        <v>2025</v>
      </c>
      <c r="F1515" s="12" t="n">
        <f aca="false">MONTH(A1515)</f>
        <v>2</v>
      </c>
      <c r="G1515" s="12" t="n">
        <v>25.5</v>
      </c>
      <c r="H1515" s="12" t="n">
        <v>51.5</v>
      </c>
      <c r="I1515" s="12" t="n">
        <v>91</v>
      </c>
      <c r="J1515" s="12" t="n">
        <v>1.8</v>
      </c>
      <c r="K1515" s="12" t="n">
        <v>0.6</v>
      </c>
      <c r="L1515" s="12" t="s">
        <v>35</v>
      </c>
    </row>
    <row r="1516" customFormat="false" ht="15" hidden="false" customHeight="false" outlineLevel="0" collapsed="false">
      <c r="A1516" s="11" t="n">
        <v>45711</v>
      </c>
      <c r="B1516" s="12" t="n">
        <v>10.2</v>
      </c>
      <c r="C1516" s="12" t="n">
        <f aca="false">IF(NOT(ISNUMBER(B1516)),"",ROUND((INDEX(BP!$D$5:$D$9,MATCH(B1516,BP!$A$5:$A$9,1))-INDEX(BP!$C$5:$C$9,MATCH(B1516,BP!$A$5:$A$9,1)))/(INDEX(BP!$B$5:$B$9,MATCH(B1516,BP!$A$5:$A$9,1))-INDEX(BP!$A$5:$A$9,MATCH(B1516,BP!$A$5:$A$9,1)))*(B1516-INDEX(BP!$A$5:$A$9,MATCH(B1516,BP!$A$5:$A$9,1)))+INDEX(BP!$C$5:$C$9,MATCH(B1516,BP!$A$5:$A$9,1)),0))</f>
        <v>17</v>
      </c>
      <c r="D1516" s="12" t="str">
        <f aca="false">IF(NOT(ISNUMBER(C1516)),"",INDEX(BP!$F$5:$F$9,MATCH(C1516,BP!$E$5:$E$9,1)))</f>
        <v>ดีมาก</v>
      </c>
      <c r="E1516" s="12" t="n">
        <f aca="false">YEAR(A1516)</f>
        <v>2025</v>
      </c>
      <c r="F1516" s="12" t="n">
        <f aca="false">MONTH(A1516)</f>
        <v>2</v>
      </c>
      <c r="G1516" s="12" t="n">
        <v>23.1</v>
      </c>
      <c r="H1516" s="12" t="n">
        <v>49.3</v>
      </c>
      <c r="I1516" s="12" t="n">
        <v>86</v>
      </c>
      <c r="J1516" s="12" t="n">
        <v>20.2</v>
      </c>
      <c r="K1516" s="12" t="n">
        <v>9.4</v>
      </c>
      <c r="L1516" s="12" t="s">
        <v>35</v>
      </c>
    </row>
    <row r="1517" customFormat="false" ht="15" hidden="false" customHeight="false" outlineLevel="0" collapsed="false">
      <c r="A1517" s="11" t="n">
        <v>45712</v>
      </c>
      <c r="B1517" s="12" t="n">
        <v>7.3</v>
      </c>
      <c r="C1517" s="12" t="n">
        <f aca="false">IF(NOT(ISNUMBER(B1517)),"",ROUND((INDEX(BP!$D$5:$D$9,MATCH(B1517,BP!$A$5:$A$9,1))-INDEX(BP!$C$5:$C$9,MATCH(B1517,BP!$A$5:$A$9,1)))/(INDEX(BP!$B$5:$B$9,MATCH(B1517,BP!$A$5:$A$9,1))-INDEX(BP!$A$5:$A$9,MATCH(B1517,BP!$A$5:$A$9,1)))*(B1517-INDEX(BP!$A$5:$A$9,MATCH(B1517,BP!$A$5:$A$9,1)))+INDEX(BP!$C$5:$C$9,MATCH(B1517,BP!$A$5:$A$9,1)),0))</f>
        <v>12</v>
      </c>
      <c r="D1517" s="12" t="str">
        <f aca="false">IF(NOT(ISNUMBER(C1517)),"",INDEX(BP!$F$5:$F$9,MATCH(C1517,BP!$E$5:$E$9,1)))</f>
        <v>ดีมาก</v>
      </c>
      <c r="E1517" s="12" t="n">
        <f aca="false">YEAR(A1517)</f>
        <v>2025</v>
      </c>
      <c r="F1517" s="12" t="n">
        <f aca="false">MONTH(A1517)</f>
        <v>2</v>
      </c>
      <c r="G1517" s="12" t="n">
        <v>27</v>
      </c>
      <c r="H1517" s="12" t="n">
        <v>57.2</v>
      </c>
      <c r="I1517" s="12" t="n">
        <v>100</v>
      </c>
      <c r="J1517" s="12" t="n">
        <v>42.2</v>
      </c>
      <c r="K1517" s="12" t="n">
        <v>35.6</v>
      </c>
      <c r="L1517" s="12" t="s">
        <v>36</v>
      </c>
    </row>
    <row r="1518" customFormat="false" ht="15" hidden="false" customHeight="false" outlineLevel="0" collapsed="false">
      <c r="A1518" s="11" t="n">
        <v>45713</v>
      </c>
      <c r="B1518" s="12" t="n">
        <v>10.5</v>
      </c>
      <c r="C1518" s="12" t="n">
        <f aca="false">IF(NOT(ISNUMBER(B1518)),"",ROUND((INDEX(BP!$D$5:$D$9,MATCH(B1518,BP!$A$5:$A$9,1))-INDEX(BP!$C$5:$C$9,MATCH(B1518,BP!$A$5:$A$9,1)))/(INDEX(BP!$B$5:$B$9,MATCH(B1518,BP!$A$5:$A$9,1))-INDEX(BP!$A$5:$A$9,MATCH(B1518,BP!$A$5:$A$9,1)))*(B1518-INDEX(BP!$A$5:$A$9,MATCH(B1518,BP!$A$5:$A$9,1)))+INDEX(BP!$C$5:$C$9,MATCH(B1518,BP!$A$5:$A$9,1)),0))</f>
        <v>18</v>
      </c>
      <c r="D1518" s="12" t="str">
        <f aca="false">IF(NOT(ISNUMBER(C1518)),"",INDEX(BP!$F$5:$F$9,MATCH(C1518,BP!$E$5:$E$9,1)))</f>
        <v>ดีมาก</v>
      </c>
      <c r="E1518" s="12" t="n">
        <f aca="false">YEAR(A1518)</f>
        <v>2025</v>
      </c>
      <c r="F1518" s="12" t="n">
        <f aca="false">MONTH(A1518)</f>
        <v>2</v>
      </c>
      <c r="G1518" s="12" t="n">
        <v>29.8</v>
      </c>
      <c r="H1518" s="12" t="n">
        <v>64.1</v>
      </c>
      <c r="I1518" s="12" t="n">
        <v>96</v>
      </c>
      <c r="J1518" s="12" t="n">
        <v>5.1</v>
      </c>
      <c r="K1518" s="12" t="n">
        <v>8</v>
      </c>
      <c r="L1518" s="12" t="s">
        <v>36</v>
      </c>
    </row>
    <row r="1519" customFormat="false" ht="15" hidden="false" customHeight="false" outlineLevel="0" collapsed="false">
      <c r="A1519" s="11" t="n">
        <v>45714</v>
      </c>
      <c r="B1519" s="12" t="n">
        <v>10.5</v>
      </c>
      <c r="C1519" s="12" t="n">
        <f aca="false">IF(NOT(ISNUMBER(B1519)),"",ROUND((INDEX(BP!$D$5:$D$9,MATCH(B1519,BP!$A$5:$A$9,1))-INDEX(BP!$C$5:$C$9,MATCH(B1519,BP!$A$5:$A$9,1)))/(INDEX(BP!$B$5:$B$9,MATCH(B1519,BP!$A$5:$A$9,1))-INDEX(BP!$A$5:$A$9,MATCH(B1519,BP!$A$5:$A$9,1)))*(B1519-INDEX(BP!$A$5:$A$9,MATCH(B1519,BP!$A$5:$A$9,1)))+INDEX(BP!$C$5:$C$9,MATCH(B1519,BP!$A$5:$A$9,1)),0))</f>
        <v>18</v>
      </c>
      <c r="D1519" s="12" t="str">
        <f aca="false">IF(NOT(ISNUMBER(C1519)),"",INDEX(BP!$F$5:$F$9,MATCH(C1519,BP!$E$5:$E$9,1)))</f>
        <v>ดีมาก</v>
      </c>
      <c r="E1519" s="12" t="n">
        <f aca="false">YEAR(A1519)</f>
        <v>2025</v>
      </c>
      <c r="F1519" s="12" t="n">
        <f aca="false">MONTH(A1519)</f>
        <v>2</v>
      </c>
      <c r="G1519" s="12" t="n">
        <v>31.8</v>
      </c>
      <c r="H1519" s="12" t="n">
        <v>62.6</v>
      </c>
      <c r="I1519" s="12" t="n">
        <v>94</v>
      </c>
      <c r="J1519" s="12" t="n">
        <v>0.9</v>
      </c>
      <c r="K1519" s="12" t="n">
        <v>1</v>
      </c>
      <c r="L1519" s="12" t="s">
        <v>36</v>
      </c>
    </row>
    <row r="1520" customFormat="false" ht="15" hidden="false" customHeight="false" outlineLevel="0" collapsed="false">
      <c r="A1520" s="11" t="n">
        <v>45715</v>
      </c>
      <c r="B1520" s="12" t="n">
        <v>11.7</v>
      </c>
      <c r="C1520" s="12" t="n">
        <f aca="false">IF(NOT(ISNUMBER(B1520)),"",ROUND((INDEX(BP!$D$5:$D$9,MATCH(B1520,BP!$A$5:$A$9,1))-INDEX(BP!$C$5:$C$9,MATCH(B1520,BP!$A$5:$A$9,1)))/(INDEX(BP!$B$5:$B$9,MATCH(B1520,BP!$A$5:$A$9,1))-INDEX(BP!$A$5:$A$9,MATCH(B1520,BP!$A$5:$A$9,1)))*(B1520-INDEX(BP!$A$5:$A$9,MATCH(B1520,BP!$A$5:$A$9,1)))+INDEX(BP!$C$5:$C$9,MATCH(B1520,BP!$A$5:$A$9,1)),0))</f>
        <v>20</v>
      </c>
      <c r="D1520" s="12" t="str">
        <f aca="false">IF(NOT(ISNUMBER(C1520)),"",INDEX(BP!$F$5:$F$9,MATCH(C1520,BP!$E$5:$E$9,1)))</f>
        <v>ดีมาก</v>
      </c>
      <c r="E1520" s="12" t="n">
        <f aca="false">YEAR(A1520)</f>
        <v>2025</v>
      </c>
      <c r="F1520" s="12" t="n">
        <f aca="false">MONTH(A1520)</f>
        <v>2</v>
      </c>
      <c r="G1520" s="12" t="n">
        <v>28.4</v>
      </c>
      <c r="H1520" s="12" t="n">
        <v>55.8</v>
      </c>
      <c r="I1520" s="12" t="n">
        <v>94</v>
      </c>
      <c r="J1520" s="12" t="n">
        <v>1</v>
      </c>
      <c r="K1520" s="12" t="n">
        <v>0</v>
      </c>
      <c r="L1520" s="12" t="s">
        <v>36</v>
      </c>
    </row>
    <row r="1521" customFormat="false" ht="15" hidden="false" customHeight="false" outlineLevel="0" collapsed="false">
      <c r="A1521" s="11" t="n">
        <v>45716</v>
      </c>
      <c r="B1521" s="12" t="n">
        <v>11.3</v>
      </c>
      <c r="C1521" s="12" t="n">
        <f aca="false">IF(NOT(ISNUMBER(B1521)),"",ROUND((INDEX(BP!$D$5:$D$9,MATCH(B1521,BP!$A$5:$A$9,1))-INDEX(BP!$C$5:$C$9,MATCH(B1521,BP!$A$5:$A$9,1)))/(INDEX(BP!$B$5:$B$9,MATCH(B1521,BP!$A$5:$A$9,1))-INDEX(BP!$A$5:$A$9,MATCH(B1521,BP!$A$5:$A$9,1)))*(B1521-INDEX(BP!$A$5:$A$9,MATCH(B1521,BP!$A$5:$A$9,1)))+INDEX(BP!$C$5:$C$9,MATCH(B1521,BP!$A$5:$A$9,1)),0))</f>
        <v>19</v>
      </c>
      <c r="D1521" s="12" t="str">
        <f aca="false">IF(NOT(ISNUMBER(C1521)),"",INDEX(BP!$F$5:$F$9,MATCH(C1521,BP!$E$5:$E$9,1)))</f>
        <v>ดีมาก</v>
      </c>
      <c r="E1521" s="12" t="n">
        <f aca="false">YEAR(A1521)</f>
        <v>2025</v>
      </c>
      <c r="F1521" s="12" t="n">
        <f aca="false">MONTH(A1521)</f>
        <v>2</v>
      </c>
      <c r="G1521" s="12" t="n">
        <v>22.7</v>
      </c>
      <c r="H1521" s="12" t="n">
        <v>45.4</v>
      </c>
      <c r="I1521" s="12" t="n">
        <v>91</v>
      </c>
      <c r="J1521" s="12" t="n">
        <v>0.7</v>
      </c>
      <c r="K1521" s="12" t="n">
        <v>0.2</v>
      </c>
      <c r="L1521" s="12" t="s">
        <v>36</v>
      </c>
    </row>
    <row r="1522" customFormat="false" ht="15" hidden="false" customHeight="false" outlineLevel="0" collapsed="false">
      <c r="A1522" s="11" t="n">
        <v>45717</v>
      </c>
      <c r="B1522" s="12" t="n">
        <v>11.6</v>
      </c>
      <c r="C1522" s="12" t="n">
        <f aca="false">IF(NOT(ISNUMBER(B1522)),"",ROUND((INDEX(BP!$D$5:$D$9,MATCH(B1522,BP!$A$5:$A$9,1))-INDEX(BP!$C$5:$C$9,MATCH(B1522,BP!$A$5:$A$9,1)))/(INDEX(BP!$B$5:$B$9,MATCH(B1522,BP!$A$5:$A$9,1))-INDEX(BP!$A$5:$A$9,MATCH(B1522,BP!$A$5:$A$9,1)))*(B1522-INDEX(BP!$A$5:$A$9,MATCH(B1522,BP!$A$5:$A$9,1)))+INDEX(BP!$C$5:$C$9,MATCH(B1522,BP!$A$5:$A$9,1)),0))</f>
        <v>19</v>
      </c>
      <c r="D1522" s="12" t="str">
        <f aca="false">IF(NOT(ISNUMBER(C1522)),"",INDEX(BP!$F$5:$F$9,MATCH(C1522,BP!$E$5:$E$9,1)))</f>
        <v>ดีมาก</v>
      </c>
      <c r="E1522" s="12" t="n">
        <f aca="false">YEAR(A1522)</f>
        <v>2025</v>
      </c>
      <c r="F1522" s="12" t="n">
        <f aca="false">MONTH(A1522)</f>
        <v>3</v>
      </c>
      <c r="G1522" s="12" t="n">
        <v>17.9</v>
      </c>
      <c r="H1522" s="12" t="n">
        <v>39.6</v>
      </c>
      <c r="I1522" s="12" t="n">
        <v>89</v>
      </c>
      <c r="J1522" s="12" t="n">
        <v>0.4</v>
      </c>
      <c r="K1522" s="12" t="n">
        <v>0</v>
      </c>
      <c r="L1522" s="12" t="s">
        <v>35</v>
      </c>
    </row>
    <row r="1523" customFormat="false" ht="15" hidden="false" customHeight="false" outlineLevel="0" collapsed="false">
      <c r="A1523" s="11" t="n">
        <v>45718</v>
      </c>
      <c r="B1523" s="12" t="n">
        <v>11.7</v>
      </c>
      <c r="C1523" s="12" t="n">
        <f aca="false">IF(NOT(ISNUMBER(B1523)),"",ROUND((INDEX(BP!$D$5:$D$9,MATCH(B1523,BP!$A$5:$A$9,1))-INDEX(BP!$C$5:$C$9,MATCH(B1523,BP!$A$5:$A$9,1)))/(INDEX(BP!$B$5:$B$9,MATCH(B1523,BP!$A$5:$A$9,1))-INDEX(BP!$A$5:$A$9,MATCH(B1523,BP!$A$5:$A$9,1)))*(B1523-INDEX(BP!$A$5:$A$9,MATCH(B1523,BP!$A$5:$A$9,1)))+INDEX(BP!$C$5:$C$9,MATCH(B1523,BP!$A$5:$A$9,1)),0))</f>
        <v>20</v>
      </c>
      <c r="D1523" s="12" t="str">
        <f aca="false">IF(NOT(ISNUMBER(C1523)),"",INDEX(BP!$F$5:$F$9,MATCH(C1523,BP!$E$5:$E$9,1)))</f>
        <v>ดีมาก</v>
      </c>
      <c r="E1523" s="12" t="n">
        <f aca="false">YEAR(A1523)</f>
        <v>2025</v>
      </c>
      <c r="F1523" s="12" t="n">
        <f aca="false">MONTH(A1523)</f>
        <v>3</v>
      </c>
      <c r="G1523" s="12" t="n">
        <v>17.5</v>
      </c>
      <c r="H1523" s="12" t="n">
        <v>38.2</v>
      </c>
      <c r="I1523" s="12" t="n">
        <v>80</v>
      </c>
      <c r="J1523" s="12" t="n">
        <v>0</v>
      </c>
      <c r="K1523" s="12" t="n">
        <v>0</v>
      </c>
      <c r="L1523" s="12" t="s">
        <v>35</v>
      </c>
    </row>
    <row r="1524" customFormat="false" ht="15" hidden="false" customHeight="false" outlineLevel="0" collapsed="false">
      <c r="A1524" s="11" t="n">
        <v>45719</v>
      </c>
      <c r="B1524" s="12" t="n">
        <v>14.3</v>
      </c>
      <c r="C1524" s="12" t="n">
        <f aca="false">IF(NOT(ISNUMBER(B1524)),"",ROUND((INDEX(BP!$D$5:$D$9,MATCH(B1524,BP!$A$5:$A$9,1))-INDEX(BP!$C$5:$C$9,MATCH(B1524,BP!$A$5:$A$9,1)))/(INDEX(BP!$B$5:$B$9,MATCH(B1524,BP!$A$5:$A$9,1))-INDEX(BP!$A$5:$A$9,MATCH(B1524,BP!$A$5:$A$9,1)))*(B1524-INDEX(BP!$A$5:$A$9,MATCH(B1524,BP!$A$5:$A$9,1)))+INDEX(BP!$C$5:$C$9,MATCH(B1524,BP!$A$5:$A$9,1)),0))</f>
        <v>24</v>
      </c>
      <c r="D1524" s="12" t="str">
        <f aca="false">IF(NOT(ISNUMBER(C1524)),"",INDEX(BP!$F$5:$F$9,MATCH(C1524,BP!$E$5:$E$9,1)))</f>
        <v>ดีมาก</v>
      </c>
      <c r="E1524" s="12" t="n">
        <f aca="false">YEAR(A1524)</f>
        <v>2025</v>
      </c>
      <c r="F1524" s="12" t="n">
        <f aca="false">MONTH(A1524)</f>
        <v>3</v>
      </c>
      <c r="G1524" s="12" t="n">
        <v>15.3</v>
      </c>
      <c r="H1524" s="12" t="n">
        <v>34.6</v>
      </c>
      <c r="I1524" s="12" t="n">
        <v>72</v>
      </c>
      <c r="J1524" s="12" t="n">
        <v>0</v>
      </c>
      <c r="K1524" s="12" t="n">
        <v>0</v>
      </c>
      <c r="L1524" s="12" t="s">
        <v>36</v>
      </c>
    </row>
    <row r="1525" customFormat="false" ht="15" hidden="false" customHeight="false" outlineLevel="0" collapsed="false">
      <c r="A1525" s="11" t="n">
        <v>45720</v>
      </c>
      <c r="B1525" s="12" t="n">
        <v>15.2</v>
      </c>
      <c r="C1525" s="12" t="n">
        <f aca="false">IF(NOT(ISNUMBER(B1525)),"",ROUND((INDEX(BP!$D$5:$D$9,MATCH(B1525,BP!$A$5:$A$9,1))-INDEX(BP!$C$5:$C$9,MATCH(B1525,BP!$A$5:$A$9,1)))/(INDEX(BP!$B$5:$B$9,MATCH(B1525,BP!$A$5:$A$9,1))-INDEX(BP!$A$5:$A$9,MATCH(B1525,BP!$A$5:$A$9,1)))*(B1525-INDEX(BP!$A$5:$A$9,MATCH(B1525,BP!$A$5:$A$9,1)))+INDEX(BP!$C$5:$C$9,MATCH(B1525,BP!$A$5:$A$9,1)),0))</f>
        <v>26</v>
      </c>
      <c r="D1525" s="12" t="str">
        <f aca="false">IF(NOT(ISNUMBER(C1525)),"",INDEX(BP!$F$5:$F$9,MATCH(C1525,BP!$E$5:$E$9,1)))</f>
        <v>ดี</v>
      </c>
      <c r="E1525" s="12" t="n">
        <f aca="false">YEAR(A1525)</f>
        <v>2025</v>
      </c>
      <c r="F1525" s="12" t="n">
        <f aca="false">MONTH(A1525)</f>
        <v>3</v>
      </c>
      <c r="G1525" s="12" t="n">
        <v>16</v>
      </c>
      <c r="H1525" s="12" t="n">
        <v>34.6</v>
      </c>
      <c r="I1525" s="12" t="n">
        <v>72</v>
      </c>
      <c r="J1525" s="12" t="n">
        <v>0</v>
      </c>
      <c r="K1525" s="12" t="n">
        <v>0</v>
      </c>
      <c r="L1525" s="12" t="s">
        <v>36</v>
      </c>
    </row>
    <row r="1526" customFormat="false" ht="15" hidden="false" customHeight="false" outlineLevel="0" collapsed="false">
      <c r="A1526" s="11" t="n">
        <v>45721</v>
      </c>
      <c r="B1526" s="12" t="n">
        <v>15</v>
      </c>
      <c r="C1526" s="12" t="n">
        <f aca="false">IF(NOT(ISNUMBER(B1526)),"",ROUND((INDEX(BP!$D$5:$D$9,MATCH(B1526,BP!$A$5:$A$9,1))-INDEX(BP!$C$5:$C$9,MATCH(B1526,BP!$A$5:$A$9,1)))/(INDEX(BP!$B$5:$B$9,MATCH(B1526,BP!$A$5:$A$9,1))-INDEX(BP!$A$5:$A$9,MATCH(B1526,BP!$A$5:$A$9,1)))*(B1526-INDEX(BP!$A$5:$A$9,MATCH(B1526,BP!$A$5:$A$9,1)))+INDEX(BP!$C$5:$C$9,MATCH(B1526,BP!$A$5:$A$9,1)),0))</f>
        <v>25</v>
      </c>
      <c r="D1526" s="12" t="str">
        <f aca="false">IF(NOT(ISNUMBER(C1526)),"",INDEX(BP!$F$5:$F$9,MATCH(C1526,BP!$E$5:$E$9,1)))</f>
        <v>ดีมาก</v>
      </c>
      <c r="E1526" s="12" t="n">
        <f aca="false">YEAR(A1526)</f>
        <v>2025</v>
      </c>
      <c r="F1526" s="12" t="n">
        <f aca="false">MONTH(A1526)</f>
        <v>3</v>
      </c>
      <c r="G1526" s="12" t="n">
        <v>14.2</v>
      </c>
      <c r="H1526" s="12" t="n">
        <v>33.1</v>
      </c>
      <c r="I1526" s="12" t="n">
        <v>88</v>
      </c>
      <c r="J1526" s="12" t="n">
        <v>1.4</v>
      </c>
      <c r="K1526" s="12" t="n">
        <v>0</v>
      </c>
      <c r="L1526" s="12" t="s">
        <v>36</v>
      </c>
    </row>
    <row r="1527" customFormat="false" ht="15" hidden="false" customHeight="false" outlineLevel="0" collapsed="false">
      <c r="A1527" s="11" t="n">
        <v>45722</v>
      </c>
      <c r="B1527" s="12" t="n">
        <v>14.3</v>
      </c>
      <c r="C1527" s="12" t="n">
        <f aca="false">IF(NOT(ISNUMBER(B1527)),"",ROUND((INDEX(BP!$D$5:$D$9,MATCH(B1527,BP!$A$5:$A$9,1))-INDEX(BP!$C$5:$C$9,MATCH(B1527,BP!$A$5:$A$9,1)))/(INDEX(BP!$B$5:$B$9,MATCH(B1527,BP!$A$5:$A$9,1))-INDEX(BP!$A$5:$A$9,MATCH(B1527,BP!$A$5:$A$9,1)))*(B1527-INDEX(BP!$A$5:$A$9,MATCH(B1527,BP!$A$5:$A$9,1)))+INDEX(BP!$C$5:$C$9,MATCH(B1527,BP!$A$5:$A$9,1)),0))</f>
        <v>24</v>
      </c>
      <c r="D1527" s="12" t="str">
        <f aca="false">IF(NOT(ISNUMBER(C1527)),"",INDEX(BP!$F$5:$F$9,MATCH(C1527,BP!$E$5:$E$9,1)))</f>
        <v>ดีมาก</v>
      </c>
      <c r="E1527" s="12" t="n">
        <f aca="false">YEAR(A1527)</f>
        <v>2025</v>
      </c>
      <c r="F1527" s="12" t="n">
        <f aca="false">MONTH(A1527)</f>
        <v>3</v>
      </c>
      <c r="G1527" s="12" t="n">
        <v>14.3</v>
      </c>
      <c r="H1527" s="12" t="n">
        <v>33.8</v>
      </c>
      <c r="I1527" s="12" t="n">
        <v>99</v>
      </c>
      <c r="J1527" s="12" t="n">
        <v>0.1</v>
      </c>
      <c r="K1527" s="12" t="n">
        <v>0</v>
      </c>
      <c r="L1527" s="12" t="s">
        <v>36</v>
      </c>
    </row>
    <row r="1528" customFormat="false" ht="15" hidden="false" customHeight="false" outlineLevel="0" collapsed="false">
      <c r="A1528" s="11" t="n">
        <v>45723</v>
      </c>
      <c r="B1528" s="12" t="n">
        <v>13.1</v>
      </c>
      <c r="C1528" s="12" t="n">
        <f aca="false">IF(NOT(ISNUMBER(B1528)),"",ROUND((INDEX(BP!$D$5:$D$9,MATCH(B1528,BP!$A$5:$A$9,1))-INDEX(BP!$C$5:$C$9,MATCH(B1528,BP!$A$5:$A$9,1)))/(INDEX(BP!$B$5:$B$9,MATCH(B1528,BP!$A$5:$A$9,1))-INDEX(BP!$A$5:$A$9,MATCH(B1528,BP!$A$5:$A$9,1)))*(B1528-INDEX(BP!$A$5:$A$9,MATCH(B1528,BP!$A$5:$A$9,1)))+INDEX(BP!$C$5:$C$9,MATCH(B1528,BP!$A$5:$A$9,1)),0))</f>
        <v>22</v>
      </c>
      <c r="D1528" s="12" t="str">
        <f aca="false">IF(NOT(ISNUMBER(C1528)),"",INDEX(BP!$F$5:$F$9,MATCH(C1528,BP!$E$5:$E$9,1)))</f>
        <v>ดีมาก</v>
      </c>
      <c r="E1528" s="12" t="n">
        <f aca="false">YEAR(A1528)</f>
        <v>2025</v>
      </c>
      <c r="F1528" s="12" t="n">
        <f aca="false">MONTH(A1528)</f>
        <v>3</v>
      </c>
      <c r="G1528" s="12" t="n">
        <v>17.7</v>
      </c>
      <c r="H1528" s="12" t="n">
        <v>37.8</v>
      </c>
      <c r="I1528" s="12" t="n">
        <v>88</v>
      </c>
      <c r="J1528" s="12" t="n">
        <v>0</v>
      </c>
      <c r="K1528" s="12" t="n">
        <v>0</v>
      </c>
      <c r="L1528" s="12" t="s">
        <v>36</v>
      </c>
    </row>
    <row r="1529" customFormat="false" ht="15" hidden="false" customHeight="false" outlineLevel="0" collapsed="false">
      <c r="A1529" s="11" t="n">
        <v>45724</v>
      </c>
      <c r="B1529" s="12" t="n">
        <v>9.1</v>
      </c>
      <c r="C1529" s="12" t="n">
        <f aca="false">IF(NOT(ISNUMBER(B1529)),"",ROUND((INDEX(BP!$D$5:$D$9,MATCH(B1529,BP!$A$5:$A$9,1))-INDEX(BP!$C$5:$C$9,MATCH(B1529,BP!$A$5:$A$9,1)))/(INDEX(BP!$B$5:$B$9,MATCH(B1529,BP!$A$5:$A$9,1))-INDEX(BP!$A$5:$A$9,MATCH(B1529,BP!$A$5:$A$9,1)))*(B1529-INDEX(BP!$A$5:$A$9,MATCH(B1529,BP!$A$5:$A$9,1)))+INDEX(BP!$C$5:$C$9,MATCH(B1529,BP!$A$5:$A$9,1)),0))</f>
        <v>15</v>
      </c>
      <c r="D1529" s="12" t="str">
        <f aca="false">IF(NOT(ISNUMBER(C1529)),"",INDEX(BP!$F$5:$F$9,MATCH(C1529,BP!$E$5:$E$9,1)))</f>
        <v>ดีมาก</v>
      </c>
      <c r="E1529" s="12" t="n">
        <f aca="false">YEAR(A1529)</f>
        <v>2025</v>
      </c>
      <c r="F1529" s="12" t="n">
        <f aca="false">MONTH(A1529)</f>
        <v>3</v>
      </c>
      <c r="G1529" s="12" t="n">
        <v>24.7</v>
      </c>
      <c r="H1529" s="12" t="n">
        <v>50.8</v>
      </c>
      <c r="I1529" s="12" t="n">
        <v>97</v>
      </c>
      <c r="J1529" s="12" t="n">
        <v>3.2</v>
      </c>
      <c r="K1529" s="12" t="n">
        <v>1.4</v>
      </c>
      <c r="L1529" s="12" t="s">
        <v>35</v>
      </c>
    </row>
    <row r="1530" customFormat="false" ht="15" hidden="false" customHeight="false" outlineLevel="0" collapsed="false">
      <c r="A1530" s="11" t="n">
        <v>45725</v>
      </c>
      <c r="B1530" s="12" t="n">
        <v>11.3</v>
      </c>
      <c r="C1530" s="12" t="n">
        <f aca="false">IF(NOT(ISNUMBER(B1530)),"",ROUND((INDEX(BP!$D$5:$D$9,MATCH(B1530,BP!$A$5:$A$9,1))-INDEX(BP!$C$5:$C$9,MATCH(B1530,BP!$A$5:$A$9,1)))/(INDEX(BP!$B$5:$B$9,MATCH(B1530,BP!$A$5:$A$9,1))-INDEX(BP!$A$5:$A$9,MATCH(B1530,BP!$A$5:$A$9,1)))*(B1530-INDEX(BP!$A$5:$A$9,MATCH(B1530,BP!$A$5:$A$9,1)))+INDEX(BP!$C$5:$C$9,MATCH(B1530,BP!$A$5:$A$9,1)),0))</f>
        <v>19</v>
      </c>
      <c r="D1530" s="12" t="str">
        <f aca="false">IF(NOT(ISNUMBER(C1530)),"",INDEX(BP!$F$5:$F$9,MATCH(C1530,BP!$E$5:$E$9,1)))</f>
        <v>ดีมาก</v>
      </c>
      <c r="E1530" s="12" t="n">
        <f aca="false">YEAR(A1530)</f>
        <v>2025</v>
      </c>
      <c r="F1530" s="12" t="n">
        <f aca="false">MONTH(A1530)</f>
        <v>3</v>
      </c>
      <c r="G1530" s="12" t="n">
        <v>26.1</v>
      </c>
      <c r="H1530" s="12" t="n">
        <v>54.7</v>
      </c>
      <c r="I1530" s="12" t="n">
        <v>98</v>
      </c>
      <c r="J1530" s="12" t="n">
        <v>4.8</v>
      </c>
      <c r="K1530" s="12" t="n">
        <v>0.2</v>
      </c>
      <c r="L1530" s="12" t="s">
        <v>35</v>
      </c>
    </row>
    <row r="1531" customFormat="false" ht="15" hidden="false" customHeight="false" outlineLevel="0" collapsed="false">
      <c r="A1531" s="11" t="n">
        <v>45726</v>
      </c>
      <c r="B1531" s="12" t="n">
        <v>10.6</v>
      </c>
      <c r="C1531" s="12" t="n">
        <f aca="false">IF(NOT(ISNUMBER(B1531)),"",ROUND((INDEX(BP!$D$5:$D$9,MATCH(B1531,BP!$A$5:$A$9,1))-INDEX(BP!$C$5:$C$9,MATCH(B1531,BP!$A$5:$A$9,1)))/(INDEX(BP!$B$5:$B$9,MATCH(B1531,BP!$A$5:$A$9,1))-INDEX(BP!$A$5:$A$9,MATCH(B1531,BP!$A$5:$A$9,1)))*(B1531-INDEX(BP!$A$5:$A$9,MATCH(B1531,BP!$A$5:$A$9,1)))+INDEX(BP!$C$5:$C$9,MATCH(B1531,BP!$A$5:$A$9,1)),0))</f>
        <v>18</v>
      </c>
      <c r="D1531" s="12" t="str">
        <f aca="false">IF(NOT(ISNUMBER(C1531)),"",INDEX(BP!$F$5:$F$9,MATCH(C1531,BP!$E$5:$E$9,1)))</f>
        <v>ดีมาก</v>
      </c>
      <c r="E1531" s="12" t="n">
        <f aca="false">YEAR(A1531)</f>
        <v>2025</v>
      </c>
      <c r="F1531" s="12" t="n">
        <f aca="false">MONTH(A1531)</f>
        <v>3</v>
      </c>
      <c r="G1531" s="12" t="n">
        <v>27.4</v>
      </c>
      <c r="H1531" s="12" t="n">
        <v>55.4</v>
      </c>
      <c r="I1531" s="12" t="n">
        <v>89</v>
      </c>
      <c r="J1531" s="12" t="n">
        <v>2.5</v>
      </c>
      <c r="K1531" s="12" t="n">
        <v>2.4</v>
      </c>
      <c r="L1531" s="12" t="s">
        <v>36</v>
      </c>
    </row>
    <row r="1532" customFormat="false" ht="15" hidden="false" customHeight="false" outlineLevel="0" collapsed="false">
      <c r="A1532" s="11" t="n">
        <v>45727</v>
      </c>
      <c r="B1532" s="12" t="n">
        <v>10.3</v>
      </c>
      <c r="C1532" s="12" t="n">
        <f aca="false">IF(NOT(ISNUMBER(B1532)),"",ROUND((INDEX(BP!$D$5:$D$9,MATCH(B1532,BP!$A$5:$A$9,1))-INDEX(BP!$C$5:$C$9,MATCH(B1532,BP!$A$5:$A$9,1)))/(INDEX(BP!$B$5:$B$9,MATCH(B1532,BP!$A$5:$A$9,1))-INDEX(BP!$A$5:$A$9,MATCH(B1532,BP!$A$5:$A$9,1)))*(B1532-INDEX(BP!$A$5:$A$9,MATCH(B1532,BP!$A$5:$A$9,1)))+INDEX(BP!$C$5:$C$9,MATCH(B1532,BP!$A$5:$A$9,1)),0))</f>
        <v>17</v>
      </c>
      <c r="D1532" s="12" t="str">
        <f aca="false">IF(NOT(ISNUMBER(C1532)),"",INDEX(BP!$F$5:$F$9,MATCH(C1532,BP!$E$5:$E$9,1)))</f>
        <v>ดีมาก</v>
      </c>
      <c r="E1532" s="12" t="n">
        <f aca="false">YEAR(A1532)</f>
        <v>2025</v>
      </c>
      <c r="F1532" s="12" t="n">
        <f aca="false">MONTH(A1532)</f>
        <v>3</v>
      </c>
      <c r="G1532" s="12" t="n">
        <v>19.1</v>
      </c>
      <c r="H1532" s="12" t="n">
        <v>40.7</v>
      </c>
      <c r="I1532" s="12" t="n">
        <v>90</v>
      </c>
      <c r="J1532" s="12" t="n">
        <v>11.6</v>
      </c>
      <c r="K1532" s="12" t="n">
        <v>2.4</v>
      </c>
      <c r="L1532" s="12" t="s">
        <v>36</v>
      </c>
    </row>
    <row r="1533" customFormat="false" ht="15" hidden="false" customHeight="false" outlineLevel="0" collapsed="false">
      <c r="A1533" s="11" t="n">
        <v>45728</v>
      </c>
      <c r="B1533" s="12" t="n">
        <v>9.8</v>
      </c>
      <c r="C1533" s="12" t="n">
        <f aca="false">IF(NOT(ISNUMBER(B1533)),"",ROUND((INDEX(BP!$D$5:$D$9,MATCH(B1533,BP!$A$5:$A$9,1))-INDEX(BP!$C$5:$C$9,MATCH(B1533,BP!$A$5:$A$9,1)))/(INDEX(BP!$B$5:$B$9,MATCH(B1533,BP!$A$5:$A$9,1))-INDEX(BP!$A$5:$A$9,MATCH(B1533,BP!$A$5:$A$9,1)))*(B1533-INDEX(BP!$A$5:$A$9,MATCH(B1533,BP!$A$5:$A$9,1)))+INDEX(BP!$C$5:$C$9,MATCH(B1533,BP!$A$5:$A$9,1)),0))</f>
        <v>16</v>
      </c>
      <c r="D1533" s="12" t="str">
        <f aca="false">IF(NOT(ISNUMBER(C1533)),"",INDEX(BP!$F$5:$F$9,MATCH(C1533,BP!$E$5:$E$9,1)))</f>
        <v>ดีมาก</v>
      </c>
      <c r="E1533" s="12" t="n">
        <f aca="false">YEAR(A1533)</f>
        <v>2025</v>
      </c>
      <c r="F1533" s="12" t="n">
        <f aca="false">MONTH(A1533)</f>
        <v>3</v>
      </c>
      <c r="G1533" s="12" t="n">
        <v>17.8</v>
      </c>
      <c r="H1533" s="12" t="n">
        <v>36</v>
      </c>
      <c r="I1533" s="12" t="n">
        <v>92</v>
      </c>
      <c r="J1533" s="12" t="n">
        <v>2.5</v>
      </c>
      <c r="K1533" s="12" t="n">
        <v>1.2</v>
      </c>
      <c r="L1533" s="12" t="s">
        <v>36</v>
      </c>
    </row>
    <row r="1534" customFormat="false" ht="15" hidden="false" customHeight="false" outlineLevel="0" collapsed="false">
      <c r="A1534" s="11" t="n">
        <v>45729</v>
      </c>
      <c r="B1534" s="12" t="n">
        <v>9.6</v>
      </c>
      <c r="C1534" s="12" t="n">
        <f aca="false">IF(NOT(ISNUMBER(B1534)),"",ROUND((INDEX(BP!$D$5:$D$9,MATCH(B1534,BP!$A$5:$A$9,1))-INDEX(BP!$C$5:$C$9,MATCH(B1534,BP!$A$5:$A$9,1)))/(INDEX(BP!$B$5:$B$9,MATCH(B1534,BP!$A$5:$A$9,1))-INDEX(BP!$A$5:$A$9,MATCH(B1534,BP!$A$5:$A$9,1)))*(B1534-INDEX(BP!$A$5:$A$9,MATCH(B1534,BP!$A$5:$A$9,1)))+INDEX(BP!$C$5:$C$9,MATCH(B1534,BP!$A$5:$A$9,1)),0))</f>
        <v>16</v>
      </c>
      <c r="D1534" s="12" t="str">
        <f aca="false">IF(NOT(ISNUMBER(C1534)),"",INDEX(BP!$F$5:$F$9,MATCH(C1534,BP!$E$5:$E$9,1)))</f>
        <v>ดีมาก</v>
      </c>
      <c r="E1534" s="12" t="n">
        <f aca="false">YEAR(A1534)</f>
        <v>2025</v>
      </c>
      <c r="F1534" s="12" t="n">
        <f aca="false">MONTH(A1534)</f>
        <v>3</v>
      </c>
      <c r="G1534" s="12" t="n">
        <v>20.2</v>
      </c>
      <c r="H1534" s="12" t="n">
        <v>43.9</v>
      </c>
      <c r="I1534" s="12" t="n">
        <v>95</v>
      </c>
      <c r="J1534" s="12" t="n">
        <v>0.4</v>
      </c>
      <c r="K1534" s="12" t="n">
        <v>0</v>
      </c>
      <c r="L1534" s="12" t="s">
        <v>36</v>
      </c>
    </row>
    <row r="1535" customFormat="false" ht="15" hidden="false" customHeight="false" outlineLevel="0" collapsed="false">
      <c r="A1535" s="11" t="n">
        <v>45730</v>
      </c>
      <c r="B1535" s="12" t="n">
        <v>10.3</v>
      </c>
      <c r="C1535" s="12" t="n">
        <f aca="false">IF(NOT(ISNUMBER(B1535)),"",ROUND((INDEX(BP!$D$5:$D$9,MATCH(B1535,BP!$A$5:$A$9,1))-INDEX(BP!$C$5:$C$9,MATCH(B1535,BP!$A$5:$A$9,1)))/(INDEX(BP!$B$5:$B$9,MATCH(B1535,BP!$A$5:$A$9,1))-INDEX(BP!$A$5:$A$9,MATCH(B1535,BP!$A$5:$A$9,1)))*(B1535-INDEX(BP!$A$5:$A$9,MATCH(B1535,BP!$A$5:$A$9,1)))+INDEX(BP!$C$5:$C$9,MATCH(B1535,BP!$A$5:$A$9,1)),0))</f>
        <v>17</v>
      </c>
      <c r="D1535" s="12" t="str">
        <f aca="false">IF(NOT(ISNUMBER(C1535)),"",INDEX(BP!$F$5:$F$9,MATCH(C1535,BP!$E$5:$E$9,1)))</f>
        <v>ดีมาก</v>
      </c>
      <c r="E1535" s="12" t="n">
        <f aca="false">YEAR(A1535)</f>
        <v>2025</v>
      </c>
      <c r="F1535" s="12" t="n">
        <f aca="false">MONTH(A1535)</f>
        <v>3</v>
      </c>
      <c r="G1535" s="12" t="n">
        <v>18.6</v>
      </c>
      <c r="H1535" s="12" t="n">
        <v>40.7</v>
      </c>
      <c r="I1535" s="12" t="n">
        <v>87</v>
      </c>
      <c r="J1535" s="12" t="n">
        <v>1.4</v>
      </c>
      <c r="K1535" s="12" t="n">
        <v>0</v>
      </c>
      <c r="L1535" s="12" t="s">
        <v>36</v>
      </c>
    </row>
    <row r="1536" customFormat="false" ht="15" hidden="false" customHeight="false" outlineLevel="0" collapsed="false">
      <c r="A1536" s="11" t="n">
        <v>45731</v>
      </c>
      <c r="B1536" s="12" t="n">
        <v>9.9</v>
      </c>
      <c r="C1536" s="12" t="n">
        <f aca="false">IF(NOT(ISNUMBER(B1536)),"",ROUND((INDEX(BP!$D$5:$D$9,MATCH(B1536,BP!$A$5:$A$9,1))-INDEX(BP!$C$5:$C$9,MATCH(B1536,BP!$A$5:$A$9,1)))/(INDEX(BP!$B$5:$B$9,MATCH(B1536,BP!$A$5:$A$9,1))-INDEX(BP!$A$5:$A$9,MATCH(B1536,BP!$A$5:$A$9,1)))*(B1536-INDEX(BP!$A$5:$A$9,MATCH(B1536,BP!$A$5:$A$9,1)))+INDEX(BP!$C$5:$C$9,MATCH(B1536,BP!$A$5:$A$9,1)),0))</f>
        <v>17</v>
      </c>
      <c r="D1536" s="12" t="str">
        <f aca="false">IF(NOT(ISNUMBER(C1536)),"",INDEX(BP!$F$5:$F$9,MATCH(C1536,BP!$E$5:$E$9,1)))</f>
        <v>ดีมาก</v>
      </c>
      <c r="E1536" s="12" t="n">
        <f aca="false">YEAR(A1536)</f>
        <v>2025</v>
      </c>
      <c r="F1536" s="12" t="n">
        <f aca="false">MONTH(A1536)</f>
        <v>3</v>
      </c>
      <c r="G1536" s="12" t="n">
        <v>19.4</v>
      </c>
      <c r="H1536" s="12" t="n">
        <v>42.5</v>
      </c>
      <c r="I1536" s="12" t="n">
        <v>85</v>
      </c>
      <c r="J1536" s="12" t="n">
        <v>0.6</v>
      </c>
      <c r="K1536" s="12" t="n">
        <v>0</v>
      </c>
      <c r="L1536" s="12" t="s">
        <v>35</v>
      </c>
    </row>
    <row r="1537" customFormat="false" ht="15" hidden="false" customHeight="false" outlineLevel="0" collapsed="false">
      <c r="A1537" s="11" t="n">
        <v>45732</v>
      </c>
      <c r="B1537" s="12" t="n">
        <v>10.7</v>
      </c>
      <c r="C1537" s="12" t="n">
        <f aca="false">IF(NOT(ISNUMBER(B1537)),"",ROUND((INDEX(BP!$D$5:$D$9,MATCH(B1537,BP!$A$5:$A$9,1))-INDEX(BP!$C$5:$C$9,MATCH(B1537,BP!$A$5:$A$9,1)))/(INDEX(BP!$B$5:$B$9,MATCH(B1537,BP!$A$5:$A$9,1))-INDEX(BP!$A$5:$A$9,MATCH(B1537,BP!$A$5:$A$9,1)))*(B1537-INDEX(BP!$A$5:$A$9,MATCH(B1537,BP!$A$5:$A$9,1)))+INDEX(BP!$C$5:$C$9,MATCH(B1537,BP!$A$5:$A$9,1)),0))</f>
        <v>18</v>
      </c>
      <c r="D1537" s="12" t="str">
        <f aca="false">IF(NOT(ISNUMBER(C1537)),"",INDEX(BP!$F$5:$F$9,MATCH(C1537,BP!$E$5:$E$9,1)))</f>
        <v>ดีมาก</v>
      </c>
      <c r="E1537" s="12" t="n">
        <f aca="false">YEAR(A1537)</f>
        <v>2025</v>
      </c>
      <c r="F1537" s="12" t="n">
        <f aca="false">MONTH(A1537)</f>
        <v>3</v>
      </c>
      <c r="G1537" s="12" t="n">
        <v>14</v>
      </c>
      <c r="H1537" s="12" t="n">
        <v>32.8</v>
      </c>
      <c r="I1537" s="12" t="n">
        <v>66</v>
      </c>
      <c r="J1537" s="12" t="n">
        <v>0</v>
      </c>
      <c r="K1537" s="12" t="n">
        <v>0</v>
      </c>
      <c r="L1537" s="12" t="s">
        <v>35</v>
      </c>
    </row>
    <row r="1538" customFormat="false" ht="15" hidden="false" customHeight="false" outlineLevel="0" collapsed="false">
      <c r="A1538" s="11" t="n">
        <v>45733</v>
      </c>
      <c r="B1538" s="12" t="n">
        <v>11.2</v>
      </c>
      <c r="C1538" s="12" t="n">
        <f aca="false">IF(NOT(ISNUMBER(B1538)),"",ROUND((INDEX(BP!$D$5:$D$9,MATCH(B1538,BP!$A$5:$A$9,1))-INDEX(BP!$C$5:$C$9,MATCH(B1538,BP!$A$5:$A$9,1)))/(INDEX(BP!$B$5:$B$9,MATCH(B1538,BP!$A$5:$A$9,1))-INDEX(BP!$A$5:$A$9,MATCH(B1538,BP!$A$5:$A$9,1)))*(B1538-INDEX(BP!$A$5:$A$9,MATCH(B1538,BP!$A$5:$A$9,1)))+INDEX(BP!$C$5:$C$9,MATCH(B1538,BP!$A$5:$A$9,1)),0))</f>
        <v>19</v>
      </c>
      <c r="D1538" s="12" t="str">
        <f aca="false">IF(NOT(ISNUMBER(C1538)),"",INDEX(BP!$F$5:$F$9,MATCH(C1538,BP!$E$5:$E$9,1)))</f>
        <v>ดีมาก</v>
      </c>
      <c r="E1538" s="12" t="n">
        <f aca="false">YEAR(A1538)</f>
        <v>2025</v>
      </c>
      <c r="F1538" s="12" t="n">
        <f aca="false">MONTH(A1538)</f>
        <v>3</v>
      </c>
      <c r="G1538" s="12" t="n">
        <v>19.2</v>
      </c>
      <c r="H1538" s="12" t="n">
        <v>42.5</v>
      </c>
      <c r="I1538" s="12" t="n">
        <v>77</v>
      </c>
      <c r="J1538" s="12" t="n">
        <v>0</v>
      </c>
      <c r="K1538" s="12" t="n">
        <v>0</v>
      </c>
      <c r="L1538" s="12" t="s">
        <v>36</v>
      </c>
    </row>
    <row r="1539" customFormat="false" ht="15" hidden="false" customHeight="false" outlineLevel="0" collapsed="false">
      <c r="A1539" s="11" t="n">
        <v>45734</v>
      </c>
      <c r="B1539" s="12" t="n">
        <v>12.2</v>
      </c>
      <c r="C1539" s="12" t="n">
        <f aca="false">IF(NOT(ISNUMBER(B1539)),"",ROUND((INDEX(BP!$D$5:$D$9,MATCH(B1539,BP!$A$5:$A$9,1))-INDEX(BP!$C$5:$C$9,MATCH(B1539,BP!$A$5:$A$9,1)))/(INDEX(BP!$B$5:$B$9,MATCH(B1539,BP!$A$5:$A$9,1))-INDEX(BP!$A$5:$A$9,MATCH(B1539,BP!$A$5:$A$9,1)))*(B1539-INDEX(BP!$A$5:$A$9,MATCH(B1539,BP!$A$5:$A$9,1)))+INDEX(BP!$C$5:$C$9,MATCH(B1539,BP!$A$5:$A$9,1)),0))</f>
        <v>20</v>
      </c>
      <c r="D1539" s="12" t="str">
        <f aca="false">IF(NOT(ISNUMBER(C1539)),"",INDEX(BP!$F$5:$F$9,MATCH(C1539,BP!$E$5:$E$9,1)))</f>
        <v>ดีมาก</v>
      </c>
      <c r="E1539" s="12" t="n">
        <f aca="false">YEAR(A1539)</f>
        <v>2025</v>
      </c>
      <c r="F1539" s="12" t="n">
        <f aca="false">MONTH(A1539)</f>
        <v>3</v>
      </c>
      <c r="G1539" s="12" t="n">
        <v>26.7</v>
      </c>
      <c r="H1539" s="12" t="n">
        <v>55.1</v>
      </c>
      <c r="I1539" s="12" t="n">
        <v>93</v>
      </c>
      <c r="J1539" s="12" t="n">
        <v>0.1</v>
      </c>
      <c r="K1539" s="12" t="n">
        <v>0</v>
      </c>
      <c r="L1539" s="12" t="s">
        <v>36</v>
      </c>
    </row>
    <row r="1540" customFormat="false" ht="15" hidden="false" customHeight="false" outlineLevel="0" collapsed="false">
      <c r="A1540" s="11" t="n">
        <v>45735</v>
      </c>
      <c r="B1540" s="12" t="n">
        <v>14</v>
      </c>
      <c r="C1540" s="12" t="n">
        <f aca="false">IF(NOT(ISNUMBER(B1540)),"",ROUND((INDEX(BP!$D$5:$D$9,MATCH(B1540,BP!$A$5:$A$9,1))-INDEX(BP!$C$5:$C$9,MATCH(B1540,BP!$A$5:$A$9,1)))/(INDEX(BP!$B$5:$B$9,MATCH(B1540,BP!$A$5:$A$9,1))-INDEX(BP!$A$5:$A$9,MATCH(B1540,BP!$A$5:$A$9,1)))*(B1540-INDEX(BP!$A$5:$A$9,MATCH(B1540,BP!$A$5:$A$9,1)))+INDEX(BP!$C$5:$C$9,MATCH(B1540,BP!$A$5:$A$9,1)),0))</f>
        <v>23</v>
      </c>
      <c r="D1540" s="12" t="str">
        <f aca="false">IF(NOT(ISNUMBER(C1540)),"",INDEX(BP!$F$5:$F$9,MATCH(C1540,BP!$E$5:$E$9,1)))</f>
        <v>ดีมาก</v>
      </c>
      <c r="E1540" s="12" t="n">
        <f aca="false">YEAR(A1540)</f>
        <v>2025</v>
      </c>
      <c r="F1540" s="12" t="n">
        <f aca="false">MONTH(A1540)</f>
        <v>3</v>
      </c>
      <c r="G1540" s="12" t="n">
        <v>30.4</v>
      </c>
      <c r="H1540" s="12" t="n">
        <v>61.2</v>
      </c>
      <c r="I1540" s="12" t="n">
        <v>95</v>
      </c>
      <c r="J1540" s="12" t="n">
        <v>1.7</v>
      </c>
      <c r="K1540" s="12" t="n">
        <v>0</v>
      </c>
      <c r="L1540" s="12" t="s">
        <v>36</v>
      </c>
    </row>
    <row r="1541" customFormat="false" ht="15" hidden="false" customHeight="false" outlineLevel="0" collapsed="false">
      <c r="A1541" s="11" t="n">
        <v>45736</v>
      </c>
      <c r="B1541" s="12" t="n">
        <v>17</v>
      </c>
      <c r="C1541" s="12" t="n">
        <f aca="false">IF(NOT(ISNUMBER(B1541)),"",ROUND((INDEX(BP!$D$5:$D$9,MATCH(B1541,BP!$A$5:$A$9,1))-INDEX(BP!$C$5:$C$9,MATCH(B1541,BP!$A$5:$A$9,1)))/(INDEX(BP!$B$5:$B$9,MATCH(B1541,BP!$A$5:$A$9,1))-INDEX(BP!$A$5:$A$9,MATCH(B1541,BP!$A$5:$A$9,1)))*(B1541-INDEX(BP!$A$5:$A$9,MATCH(B1541,BP!$A$5:$A$9,1)))+INDEX(BP!$C$5:$C$9,MATCH(B1541,BP!$A$5:$A$9,1)),0))</f>
        <v>31</v>
      </c>
      <c r="D1541" s="12" t="str">
        <f aca="false">IF(NOT(ISNUMBER(C1541)),"",INDEX(BP!$F$5:$F$9,MATCH(C1541,BP!$E$5:$E$9,1)))</f>
        <v>ดี</v>
      </c>
      <c r="E1541" s="12" t="n">
        <f aca="false">YEAR(A1541)</f>
        <v>2025</v>
      </c>
      <c r="F1541" s="12" t="n">
        <f aca="false">MONTH(A1541)</f>
        <v>3</v>
      </c>
      <c r="G1541" s="12" t="n">
        <v>24</v>
      </c>
      <c r="H1541" s="12" t="n">
        <v>49.3</v>
      </c>
      <c r="I1541" s="12" t="n">
        <v>87</v>
      </c>
      <c r="J1541" s="12" t="n">
        <v>5.7</v>
      </c>
      <c r="K1541" s="12" t="n">
        <v>9.6</v>
      </c>
      <c r="L1541" s="12" t="s">
        <v>36</v>
      </c>
    </row>
    <row r="1542" customFormat="false" ht="15" hidden="false" customHeight="false" outlineLevel="0" collapsed="false">
      <c r="A1542" s="11" t="n">
        <v>45737</v>
      </c>
      <c r="B1542" s="12" t="n">
        <v>18.9</v>
      </c>
      <c r="C1542" s="12" t="n">
        <f aca="false">IF(NOT(ISNUMBER(B1542)),"",ROUND((INDEX(BP!$D$5:$D$9,MATCH(B1542,BP!$A$5:$A$9,1))-INDEX(BP!$C$5:$C$9,MATCH(B1542,BP!$A$5:$A$9,1)))/(INDEX(BP!$B$5:$B$9,MATCH(B1542,BP!$A$5:$A$9,1))-INDEX(BP!$A$5:$A$9,MATCH(B1542,BP!$A$5:$A$9,1)))*(B1542-INDEX(BP!$A$5:$A$9,MATCH(B1542,BP!$A$5:$A$9,1)))+INDEX(BP!$C$5:$C$9,MATCH(B1542,BP!$A$5:$A$9,1)),0))</f>
        <v>35</v>
      </c>
      <c r="D1542" s="12" t="str">
        <f aca="false">IF(NOT(ISNUMBER(C1542)),"",INDEX(BP!$F$5:$F$9,MATCH(C1542,BP!$E$5:$E$9,1)))</f>
        <v>ดี</v>
      </c>
      <c r="E1542" s="12" t="n">
        <f aca="false">YEAR(A1542)</f>
        <v>2025</v>
      </c>
      <c r="F1542" s="12" t="n">
        <f aca="false">MONTH(A1542)</f>
        <v>3</v>
      </c>
      <c r="G1542" s="12" t="n">
        <v>22.2</v>
      </c>
      <c r="H1542" s="12" t="n">
        <v>46.4</v>
      </c>
      <c r="I1542" s="12" t="n">
        <v>85</v>
      </c>
      <c r="J1542" s="12" t="n">
        <v>1.2</v>
      </c>
      <c r="K1542" s="12" t="n">
        <v>0</v>
      </c>
      <c r="L1542" s="12" t="s">
        <v>36</v>
      </c>
    </row>
    <row r="1543" customFormat="false" ht="15" hidden="false" customHeight="false" outlineLevel="0" collapsed="false">
      <c r="A1543" s="11" t="n">
        <v>45738</v>
      </c>
      <c r="B1543" s="12" t="n">
        <v>23.2</v>
      </c>
      <c r="C1543" s="12" t="n">
        <f aca="false">IF(NOT(ISNUMBER(B1543)),"",ROUND((INDEX(BP!$D$5:$D$9,MATCH(B1543,BP!$A$5:$A$9,1))-INDEX(BP!$C$5:$C$9,MATCH(B1543,BP!$A$5:$A$9,1)))/(INDEX(BP!$B$5:$B$9,MATCH(B1543,BP!$A$5:$A$9,1))-INDEX(BP!$A$5:$A$9,MATCH(B1543,BP!$A$5:$A$9,1)))*(B1543-INDEX(BP!$A$5:$A$9,MATCH(B1543,BP!$A$5:$A$9,1)))+INDEX(BP!$C$5:$C$9,MATCH(B1543,BP!$A$5:$A$9,1)),0))</f>
        <v>46</v>
      </c>
      <c r="D1543" s="12" t="str">
        <f aca="false">IF(NOT(ISNUMBER(C1543)),"",INDEX(BP!$F$5:$F$9,MATCH(C1543,BP!$E$5:$E$9,1)))</f>
        <v>ดี</v>
      </c>
      <c r="E1543" s="12" t="n">
        <f aca="false">YEAR(A1543)</f>
        <v>2025</v>
      </c>
      <c r="F1543" s="12" t="n">
        <f aca="false">MONTH(A1543)</f>
        <v>3</v>
      </c>
      <c r="G1543" s="12" t="n">
        <v>24.8</v>
      </c>
      <c r="H1543" s="12" t="n">
        <v>51.5</v>
      </c>
      <c r="I1543" s="12" t="n">
        <v>88</v>
      </c>
      <c r="J1543" s="12" t="n">
        <v>2.1</v>
      </c>
      <c r="K1543" s="12" t="n">
        <v>0.4</v>
      </c>
      <c r="L1543" s="12" t="s">
        <v>35</v>
      </c>
    </row>
    <row r="1544" customFormat="false" ht="15" hidden="false" customHeight="false" outlineLevel="0" collapsed="false">
      <c r="A1544" s="11" t="n">
        <v>45739</v>
      </c>
      <c r="B1544" s="12" t="n">
        <v>20.1</v>
      </c>
      <c r="C1544" s="12" t="n">
        <f aca="false">IF(NOT(ISNUMBER(B1544)),"",ROUND((INDEX(BP!$D$5:$D$9,MATCH(B1544,BP!$A$5:$A$9,1))-INDEX(BP!$C$5:$C$9,MATCH(B1544,BP!$A$5:$A$9,1)))/(INDEX(BP!$B$5:$B$9,MATCH(B1544,BP!$A$5:$A$9,1))-INDEX(BP!$A$5:$A$9,MATCH(B1544,BP!$A$5:$A$9,1)))*(B1544-INDEX(BP!$A$5:$A$9,MATCH(B1544,BP!$A$5:$A$9,1)))+INDEX(BP!$C$5:$C$9,MATCH(B1544,BP!$A$5:$A$9,1)),0))</f>
        <v>38</v>
      </c>
      <c r="D1544" s="12" t="str">
        <f aca="false">IF(NOT(ISNUMBER(C1544)),"",INDEX(BP!$F$5:$F$9,MATCH(C1544,BP!$E$5:$E$9,1)))</f>
        <v>ดี</v>
      </c>
      <c r="E1544" s="12" t="n">
        <f aca="false">YEAR(A1544)</f>
        <v>2025</v>
      </c>
      <c r="F1544" s="12" t="n">
        <f aca="false">MONTH(A1544)</f>
        <v>3</v>
      </c>
      <c r="G1544" s="12" t="n">
        <v>21.3</v>
      </c>
      <c r="H1544" s="12" t="n">
        <v>44.6</v>
      </c>
      <c r="I1544" s="12" t="n">
        <v>92</v>
      </c>
      <c r="J1544" s="12" t="n">
        <v>1</v>
      </c>
      <c r="K1544" s="12" t="n">
        <v>0</v>
      </c>
      <c r="L1544" s="12" t="s">
        <v>35</v>
      </c>
    </row>
    <row r="1545" customFormat="false" ht="15" hidden="false" customHeight="false" outlineLevel="0" collapsed="false">
      <c r="A1545" s="11" t="n">
        <v>45740</v>
      </c>
      <c r="B1545" s="12" t="n">
        <v>18.8</v>
      </c>
      <c r="C1545" s="12" t="n">
        <f aca="false">IF(NOT(ISNUMBER(B1545)),"",ROUND((INDEX(BP!$D$5:$D$9,MATCH(B1545,BP!$A$5:$A$9,1))-INDEX(BP!$C$5:$C$9,MATCH(B1545,BP!$A$5:$A$9,1)))/(INDEX(BP!$B$5:$B$9,MATCH(B1545,BP!$A$5:$A$9,1))-INDEX(BP!$A$5:$A$9,MATCH(B1545,BP!$A$5:$A$9,1)))*(B1545-INDEX(BP!$A$5:$A$9,MATCH(B1545,BP!$A$5:$A$9,1)))+INDEX(BP!$C$5:$C$9,MATCH(B1545,BP!$A$5:$A$9,1)),0))</f>
        <v>35</v>
      </c>
      <c r="D1545" s="12" t="str">
        <f aca="false">IF(NOT(ISNUMBER(C1545)),"",INDEX(BP!$F$5:$F$9,MATCH(C1545,BP!$E$5:$E$9,1)))</f>
        <v>ดี</v>
      </c>
      <c r="E1545" s="12" t="n">
        <f aca="false">YEAR(A1545)</f>
        <v>2025</v>
      </c>
      <c r="F1545" s="12" t="n">
        <f aca="false">MONTH(A1545)</f>
        <v>3</v>
      </c>
      <c r="G1545" s="12" t="n">
        <v>14.7</v>
      </c>
      <c r="H1545" s="12" t="n">
        <v>33.8</v>
      </c>
      <c r="I1545" s="12" t="n">
        <v>85</v>
      </c>
      <c r="J1545" s="12" t="n">
        <v>1.2</v>
      </c>
      <c r="K1545" s="12" t="n">
        <v>0</v>
      </c>
      <c r="L1545" s="12" t="s">
        <v>36</v>
      </c>
    </row>
    <row r="1546" customFormat="false" ht="15" hidden="false" customHeight="false" outlineLevel="0" collapsed="false">
      <c r="A1546" s="11" t="n">
        <v>45741</v>
      </c>
      <c r="B1546" s="12" t="n">
        <v>21.5</v>
      </c>
      <c r="C1546" s="12" t="n">
        <f aca="false">IF(NOT(ISNUMBER(B1546)),"",ROUND((INDEX(BP!$D$5:$D$9,MATCH(B1546,BP!$A$5:$A$9,1))-INDEX(BP!$C$5:$C$9,MATCH(B1546,BP!$A$5:$A$9,1)))/(INDEX(BP!$B$5:$B$9,MATCH(B1546,BP!$A$5:$A$9,1))-INDEX(BP!$A$5:$A$9,MATCH(B1546,BP!$A$5:$A$9,1)))*(B1546-INDEX(BP!$A$5:$A$9,MATCH(B1546,BP!$A$5:$A$9,1)))+INDEX(BP!$C$5:$C$9,MATCH(B1546,BP!$A$5:$A$9,1)),0))</f>
        <v>42</v>
      </c>
      <c r="D1546" s="12" t="str">
        <f aca="false">IF(NOT(ISNUMBER(C1546)),"",INDEX(BP!$F$5:$F$9,MATCH(C1546,BP!$E$5:$E$9,1)))</f>
        <v>ดี</v>
      </c>
      <c r="E1546" s="12" t="n">
        <f aca="false">YEAR(A1546)</f>
        <v>2025</v>
      </c>
      <c r="F1546" s="12" t="n">
        <f aca="false">MONTH(A1546)</f>
        <v>3</v>
      </c>
      <c r="G1546" s="12" t="n">
        <v>13.6</v>
      </c>
      <c r="H1546" s="12" t="n">
        <v>32.4</v>
      </c>
      <c r="I1546" s="12" t="n">
        <v>91</v>
      </c>
      <c r="J1546" s="12" t="n">
        <v>0</v>
      </c>
      <c r="K1546" s="12" t="n">
        <v>0</v>
      </c>
      <c r="L1546" s="12" t="s">
        <v>36</v>
      </c>
    </row>
    <row r="1547" customFormat="false" ht="15" hidden="false" customHeight="false" outlineLevel="0" collapsed="false">
      <c r="A1547" s="11" t="n">
        <v>45742</v>
      </c>
      <c r="B1547" s="12" t="n">
        <v>25.5</v>
      </c>
      <c r="C1547" s="12" t="n">
        <f aca="false">IF(NOT(ISNUMBER(B1547)),"",ROUND((INDEX(BP!$D$5:$D$9,MATCH(B1547,BP!$A$5:$A$9,1))-INDEX(BP!$C$5:$C$9,MATCH(B1547,BP!$A$5:$A$9,1)))/(INDEX(BP!$B$5:$B$9,MATCH(B1547,BP!$A$5:$A$9,1))-INDEX(BP!$A$5:$A$9,MATCH(B1547,BP!$A$5:$A$9,1)))*(B1547-INDEX(BP!$A$5:$A$9,MATCH(B1547,BP!$A$5:$A$9,1)))+INDEX(BP!$C$5:$C$9,MATCH(B1547,BP!$A$5:$A$9,1)),0))</f>
        <v>53</v>
      </c>
      <c r="D1547" s="12" t="str">
        <f aca="false">IF(NOT(ISNUMBER(C1547)),"",INDEX(BP!$F$5:$F$9,MATCH(C1547,BP!$E$5:$E$9,1)))</f>
        <v>ปานกลาง</v>
      </c>
      <c r="E1547" s="12" t="n">
        <f aca="false">YEAR(A1547)</f>
        <v>2025</v>
      </c>
      <c r="F1547" s="12" t="n">
        <f aca="false">MONTH(A1547)</f>
        <v>3</v>
      </c>
      <c r="G1547" s="12" t="n">
        <v>12.7</v>
      </c>
      <c r="H1547" s="12" t="n">
        <v>31</v>
      </c>
      <c r="I1547" s="12" t="n">
        <v>95</v>
      </c>
      <c r="J1547" s="12" t="n">
        <v>0.1</v>
      </c>
      <c r="K1547" s="12" t="n">
        <v>16.2</v>
      </c>
      <c r="L1547" s="12" t="s">
        <v>36</v>
      </c>
    </row>
    <row r="1548" customFormat="false" ht="15" hidden="false" customHeight="false" outlineLevel="0" collapsed="false">
      <c r="A1548" s="11" t="n">
        <v>45743</v>
      </c>
      <c r="B1548" s="12" t="n">
        <v>22.8</v>
      </c>
      <c r="C1548" s="12" t="n">
        <f aca="false">IF(NOT(ISNUMBER(B1548)),"",ROUND((INDEX(BP!$D$5:$D$9,MATCH(B1548,BP!$A$5:$A$9,1))-INDEX(BP!$C$5:$C$9,MATCH(B1548,BP!$A$5:$A$9,1)))/(INDEX(BP!$B$5:$B$9,MATCH(B1548,BP!$A$5:$A$9,1))-INDEX(BP!$A$5:$A$9,MATCH(B1548,BP!$A$5:$A$9,1)))*(B1548-INDEX(BP!$A$5:$A$9,MATCH(B1548,BP!$A$5:$A$9,1)))+INDEX(BP!$C$5:$C$9,MATCH(B1548,BP!$A$5:$A$9,1)),0))</f>
        <v>45</v>
      </c>
      <c r="D1548" s="12" t="str">
        <f aca="false">IF(NOT(ISNUMBER(C1548)),"",INDEX(BP!$F$5:$F$9,MATCH(C1548,BP!$E$5:$E$9,1)))</f>
        <v>ดี</v>
      </c>
      <c r="E1548" s="12" t="n">
        <f aca="false">YEAR(A1548)</f>
        <v>2025</v>
      </c>
      <c r="F1548" s="12" t="n">
        <f aca="false">MONTH(A1548)</f>
        <v>3</v>
      </c>
      <c r="G1548" s="12" t="n">
        <v>12</v>
      </c>
      <c r="H1548" s="12" t="n">
        <v>29.9</v>
      </c>
      <c r="I1548" s="12" t="n">
        <v>109</v>
      </c>
      <c r="J1548" s="12" t="n">
        <v>0.3</v>
      </c>
      <c r="K1548" s="12" t="n">
        <v>0.8</v>
      </c>
      <c r="L1548" s="12" t="s">
        <v>36</v>
      </c>
    </row>
    <row r="1549" customFormat="false" ht="15" hidden="false" customHeight="false" outlineLevel="0" collapsed="false">
      <c r="A1549" s="11" t="n">
        <v>45744</v>
      </c>
      <c r="B1549" s="12" t="n">
        <v>21.2</v>
      </c>
      <c r="C1549" s="12" t="n">
        <f aca="false">IF(NOT(ISNUMBER(B1549)),"",ROUND((INDEX(BP!$D$5:$D$9,MATCH(B1549,BP!$A$5:$A$9,1))-INDEX(BP!$C$5:$C$9,MATCH(B1549,BP!$A$5:$A$9,1)))/(INDEX(BP!$B$5:$B$9,MATCH(B1549,BP!$A$5:$A$9,1))-INDEX(BP!$A$5:$A$9,MATCH(B1549,BP!$A$5:$A$9,1)))*(B1549-INDEX(BP!$A$5:$A$9,MATCH(B1549,BP!$A$5:$A$9,1)))+INDEX(BP!$C$5:$C$9,MATCH(B1549,BP!$A$5:$A$9,1)),0))</f>
        <v>41</v>
      </c>
      <c r="D1549" s="12" t="str">
        <f aca="false">IF(NOT(ISNUMBER(C1549)),"",INDEX(BP!$F$5:$F$9,MATCH(C1549,BP!$E$5:$E$9,1)))</f>
        <v>ดี</v>
      </c>
      <c r="E1549" s="12" t="n">
        <f aca="false">YEAR(A1549)</f>
        <v>2025</v>
      </c>
      <c r="F1549" s="12" t="n">
        <f aca="false">MONTH(A1549)</f>
        <v>3</v>
      </c>
      <c r="G1549" s="12" t="n">
        <v>14.9</v>
      </c>
      <c r="H1549" s="12" t="n">
        <v>34.6</v>
      </c>
      <c r="I1549" s="12" t="n">
        <v>275</v>
      </c>
      <c r="J1549" s="12" t="n">
        <v>1.3</v>
      </c>
      <c r="K1549" s="12" t="n">
        <v>3.8</v>
      </c>
      <c r="L1549" s="12" t="s">
        <v>36</v>
      </c>
    </row>
    <row r="1550" customFormat="false" ht="15" hidden="false" customHeight="false" outlineLevel="0" collapsed="false">
      <c r="A1550" s="11" t="n">
        <v>45745</v>
      </c>
      <c r="B1550" s="12" t="n">
        <v>21.3</v>
      </c>
      <c r="C1550" s="12" t="n">
        <f aca="false">IF(NOT(ISNUMBER(B1550)),"",ROUND((INDEX(BP!$D$5:$D$9,MATCH(B1550,BP!$A$5:$A$9,1))-INDEX(BP!$C$5:$C$9,MATCH(B1550,BP!$A$5:$A$9,1)))/(INDEX(BP!$B$5:$B$9,MATCH(B1550,BP!$A$5:$A$9,1))-INDEX(BP!$A$5:$A$9,MATCH(B1550,BP!$A$5:$A$9,1)))*(B1550-INDEX(BP!$A$5:$A$9,MATCH(B1550,BP!$A$5:$A$9,1)))+INDEX(BP!$C$5:$C$9,MATCH(B1550,BP!$A$5:$A$9,1)),0))</f>
        <v>41</v>
      </c>
      <c r="D1550" s="12" t="str">
        <f aca="false">IF(NOT(ISNUMBER(C1550)),"",INDEX(BP!$F$5:$F$9,MATCH(C1550,BP!$E$5:$E$9,1)))</f>
        <v>ดี</v>
      </c>
      <c r="E1550" s="12" t="n">
        <f aca="false">YEAR(A1550)</f>
        <v>2025</v>
      </c>
      <c r="F1550" s="12" t="n">
        <f aca="false">MONTH(A1550)</f>
        <v>3</v>
      </c>
      <c r="G1550" s="12" t="n">
        <v>13.6</v>
      </c>
      <c r="H1550" s="12" t="n">
        <v>33.8</v>
      </c>
      <c r="I1550" s="12" t="n">
        <v>85</v>
      </c>
      <c r="J1550" s="12" t="n">
        <v>0.1</v>
      </c>
      <c r="K1550" s="12" t="n">
        <v>0</v>
      </c>
      <c r="L1550" s="12" t="s">
        <v>35</v>
      </c>
    </row>
    <row r="1551" customFormat="false" ht="15" hidden="false" customHeight="false" outlineLevel="0" collapsed="false">
      <c r="A1551" s="11" t="n">
        <v>45746</v>
      </c>
      <c r="B1551" s="12" t="n">
        <v>18.3</v>
      </c>
      <c r="C1551" s="12" t="n">
        <f aca="false">IF(NOT(ISNUMBER(B1551)),"",ROUND((INDEX(BP!$D$5:$D$9,MATCH(B1551,BP!$A$5:$A$9,1))-INDEX(BP!$C$5:$C$9,MATCH(B1551,BP!$A$5:$A$9,1)))/(INDEX(BP!$B$5:$B$9,MATCH(B1551,BP!$A$5:$A$9,1))-INDEX(BP!$A$5:$A$9,MATCH(B1551,BP!$A$5:$A$9,1)))*(B1551-INDEX(BP!$A$5:$A$9,MATCH(B1551,BP!$A$5:$A$9,1)))+INDEX(BP!$C$5:$C$9,MATCH(B1551,BP!$A$5:$A$9,1)),0))</f>
        <v>34</v>
      </c>
      <c r="D1551" s="12" t="str">
        <f aca="false">IF(NOT(ISNUMBER(C1551)),"",INDEX(BP!$F$5:$F$9,MATCH(C1551,BP!$E$5:$E$9,1)))</f>
        <v>ดี</v>
      </c>
      <c r="E1551" s="12" t="n">
        <f aca="false">YEAR(A1551)</f>
        <v>2025</v>
      </c>
      <c r="F1551" s="12" t="n">
        <f aca="false">MONTH(A1551)</f>
        <v>3</v>
      </c>
      <c r="G1551" s="12" t="n">
        <v>16.3</v>
      </c>
      <c r="H1551" s="12" t="n">
        <v>37.1</v>
      </c>
      <c r="I1551" s="12" t="n">
        <v>79</v>
      </c>
      <c r="J1551" s="12" t="n">
        <v>1.3</v>
      </c>
      <c r="K1551" s="12" t="n">
        <v>0</v>
      </c>
      <c r="L1551" s="12" t="s">
        <v>35</v>
      </c>
    </row>
    <row r="1552" customFormat="false" ht="15" hidden="false" customHeight="false" outlineLevel="0" collapsed="false">
      <c r="A1552" s="11" t="n">
        <v>45747</v>
      </c>
      <c r="B1552" s="12" t="n">
        <v>15.5</v>
      </c>
      <c r="C1552" s="12" t="n">
        <f aca="false">IF(NOT(ISNUMBER(B1552)),"",ROUND((INDEX(BP!$D$5:$D$9,MATCH(B1552,BP!$A$5:$A$9,1))-INDEX(BP!$C$5:$C$9,MATCH(B1552,BP!$A$5:$A$9,1)))/(INDEX(BP!$B$5:$B$9,MATCH(B1552,BP!$A$5:$A$9,1))-INDEX(BP!$A$5:$A$9,MATCH(B1552,BP!$A$5:$A$9,1)))*(B1552-INDEX(BP!$A$5:$A$9,MATCH(B1552,BP!$A$5:$A$9,1)))+INDEX(BP!$C$5:$C$9,MATCH(B1552,BP!$A$5:$A$9,1)),0))</f>
        <v>27</v>
      </c>
      <c r="D1552" s="12" t="str">
        <f aca="false">IF(NOT(ISNUMBER(C1552)),"",INDEX(BP!$F$5:$F$9,MATCH(C1552,BP!$E$5:$E$9,1)))</f>
        <v>ดี</v>
      </c>
      <c r="E1552" s="12" t="n">
        <f aca="false">YEAR(A1552)</f>
        <v>2025</v>
      </c>
      <c r="F1552" s="12" t="n">
        <f aca="false">MONTH(A1552)</f>
        <v>3</v>
      </c>
      <c r="G1552" s="12" t="n">
        <v>18</v>
      </c>
      <c r="H1552" s="12" t="n">
        <v>39.6</v>
      </c>
      <c r="I1552" s="12" t="n">
        <v>82</v>
      </c>
      <c r="J1552" s="12" t="n">
        <v>0</v>
      </c>
      <c r="K1552" s="12" t="n">
        <v>0</v>
      </c>
      <c r="L1552" s="12" t="s">
        <v>36</v>
      </c>
    </row>
    <row r="1553" customFormat="false" ht="15" hidden="false" customHeight="false" outlineLevel="0" collapsed="false">
      <c r="A1553" s="11" t="n">
        <v>45748</v>
      </c>
      <c r="B1553" s="12" t="n">
        <v>12.8</v>
      </c>
      <c r="C1553" s="12" t="n">
        <f aca="false">IF(NOT(ISNUMBER(B1553)),"",ROUND((INDEX(BP!$D$5:$D$9,MATCH(B1553,BP!$A$5:$A$9,1))-INDEX(BP!$C$5:$C$9,MATCH(B1553,BP!$A$5:$A$9,1)))/(INDEX(BP!$B$5:$B$9,MATCH(B1553,BP!$A$5:$A$9,1))-INDEX(BP!$A$5:$A$9,MATCH(B1553,BP!$A$5:$A$9,1)))*(B1553-INDEX(BP!$A$5:$A$9,MATCH(B1553,BP!$A$5:$A$9,1)))+INDEX(BP!$C$5:$C$9,MATCH(B1553,BP!$A$5:$A$9,1)),0))</f>
        <v>21</v>
      </c>
      <c r="D1553" s="12" t="str">
        <f aca="false">IF(NOT(ISNUMBER(C1553)),"",INDEX(BP!$F$5:$F$9,MATCH(C1553,BP!$E$5:$E$9,1)))</f>
        <v>ดีมาก</v>
      </c>
      <c r="E1553" s="12" t="n">
        <f aca="false">YEAR(A1553)</f>
        <v>2025</v>
      </c>
      <c r="F1553" s="12" t="n">
        <f aca="false">MONTH(A1553)</f>
        <v>4</v>
      </c>
      <c r="G1553" s="12" t="n">
        <v>19.6</v>
      </c>
      <c r="H1553" s="12" t="n">
        <v>45.7</v>
      </c>
      <c r="I1553" s="12" t="n">
        <v>88</v>
      </c>
      <c r="J1553" s="12" t="n">
        <v>2.8</v>
      </c>
      <c r="K1553" s="12" t="n">
        <v>0</v>
      </c>
      <c r="L1553" s="12" t="s">
        <v>36</v>
      </c>
    </row>
    <row r="1554" customFormat="false" ht="15" hidden="false" customHeight="false" outlineLevel="0" collapsed="false">
      <c r="A1554" s="11" t="n">
        <v>45749</v>
      </c>
      <c r="B1554" s="12" t="n">
        <v>8.5</v>
      </c>
      <c r="C1554" s="12" t="n">
        <f aca="false">IF(NOT(ISNUMBER(B1554)),"",ROUND((INDEX(BP!$D$5:$D$9,MATCH(B1554,BP!$A$5:$A$9,1))-INDEX(BP!$C$5:$C$9,MATCH(B1554,BP!$A$5:$A$9,1)))/(INDEX(BP!$B$5:$B$9,MATCH(B1554,BP!$A$5:$A$9,1))-INDEX(BP!$A$5:$A$9,MATCH(B1554,BP!$A$5:$A$9,1)))*(B1554-INDEX(BP!$A$5:$A$9,MATCH(B1554,BP!$A$5:$A$9,1)))+INDEX(BP!$C$5:$C$9,MATCH(B1554,BP!$A$5:$A$9,1)),0))</f>
        <v>14</v>
      </c>
      <c r="D1554" s="12" t="str">
        <f aca="false">IF(NOT(ISNUMBER(C1554)),"",INDEX(BP!$F$5:$F$9,MATCH(C1554,BP!$E$5:$E$9,1)))</f>
        <v>ดีมาก</v>
      </c>
      <c r="E1554" s="12" t="n">
        <f aca="false">YEAR(A1554)</f>
        <v>2025</v>
      </c>
      <c r="F1554" s="12" t="n">
        <f aca="false">MONTH(A1554)</f>
        <v>4</v>
      </c>
      <c r="G1554" s="12" t="n">
        <v>17.9</v>
      </c>
      <c r="H1554" s="12" t="n">
        <v>35.6</v>
      </c>
      <c r="I1554" s="12" t="n">
        <v>74</v>
      </c>
      <c r="J1554" s="12" t="n">
        <v>23.2</v>
      </c>
      <c r="K1554" s="12" t="n">
        <v>8</v>
      </c>
      <c r="L1554" s="12" t="s">
        <v>36</v>
      </c>
    </row>
    <row r="1555" customFormat="false" ht="15" hidden="false" customHeight="false" outlineLevel="0" collapsed="false">
      <c r="A1555" s="11" t="n">
        <v>45750</v>
      </c>
      <c r="B1555" s="12" t="n">
        <v>6.9</v>
      </c>
      <c r="C1555" s="12" t="n">
        <f aca="false">IF(NOT(ISNUMBER(B1555)),"",ROUND((INDEX(BP!$D$5:$D$9,MATCH(B1555,BP!$A$5:$A$9,1))-INDEX(BP!$C$5:$C$9,MATCH(B1555,BP!$A$5:$A$9,1)))/(INDEX(BP!$B$5:$B$9,MATCH(B1555,BP!$A$5:$A$9,1))-INDEX(BP!$A$5:$A$9,MATCH(B1555,BP!$A$5:$A$9,1)))*(B1555-INDEX(BP!$A$5:$A$9,MATCH(B1555,BP!$A$5:$A$9,1)))+INDEX(BP!$C$5:$C$9,MATCH(B1555,BP!$A$5:$A$9,1)),0))</f>
        <v>12</v>
      </c>
      <c r="D1555" s="12" t="str">
        <f aca="false">IF(NOT(ISNUMBER(C1555)),"",INDEX(BP!$F$5:$F$9,MATCH(C1555,BP!$E$5:$E$9,1)))</f>
        <v>ดีมาก</v>
      </c>
      <c r="E1555" s="12" t="n">
        <f aca="false">YEAR(A1555)</f>
        <v>2025</v>
      </c>
      <c r="F1555" s="12" t="n">
        <f aca="false">MONTH(A1555)</f>
        <v>4</v>
      </c>
      <c r="G1555" s="12" t="n">
        <v>26.5</v>
      </c>
      <c r="H1555" s="12" t="n">
        <v>53.3</v>
      </c>
      <c r="I1555" s="12" t="n">
        <v>101</v>
      </c>
      <c r="J1555" s="12" t="n">
        <v>3.4</v>
      </c>
      <c r="K1555" s="12" t="n">
        <v>13.4</v>
      </c>
      <c r="L1555" s="12" t="s">
        <v>36</v>
      </c>
    </row>
    <row r="1556" customFormat="false" ht="15" hidden="false" customHeight="false" outlineLevel="0" collapsed="false">
      <c r="A1556" s="11" t="n">
        <v>45751</v>
      </c>
      <c r="B1556" s="12" t="n">
        <v>7.6</v>
      </c>
      <c r="C1556" s="12" t="n">
        <f aca="false">IF(NOT(ISNUMBER(B1556)),"",ROUND((INDEX(BP!$D$5:$D$9,MATCH(B1556,BP!$A$5:$A$9,1))-INDEX(BP!$C$5:$C$9,MATCH(B1556,BP!$A$5:$A$9,1)))/(INDEX(BP!$B$5:$B$9,MATCH(B1556,BP!$A$5:$A$9,1))-INDEX(BP!$A$5:$A$9,MATCH(B1556,BP!$A$5:$A$9,1)))*(B1556-INDEX(BP!$A$5:$A$9,MATCH(B1556,BP!$A$5:$A$9,1)))+INDEX(BP!$C$5:$C$9,MATCH(B1556,BP!$A$5:$A$9,1)),0))</f>
        <v>13</v>
      </c>
      <c r="D1556" s="12" t="str">
        <f aca="false">IF(NOT(ISNUMBER(C1556)),"",INDEX(BP!$F$5:$F$9,MATCH(C1556,BP!$E$5:$E$9,1)))</f>
        <v>ดีมาก</v>
      </c>
      <c r="E1556" s="12" t="n">
        <f aca="false">YEAR(A1556)</f>
        <v>2025</v>
      </c>
      <c r="F1556" s="12" t="n">
        <f aca="false">MONTH(A1556)</f>
        <v>4</v>
      </c>
      <c r="G1556" s="12" t="n">
        <v>19</v>
      </c>
      <c r="H1556" s="12" t="n">
        <v>38.5</v>
      </c>
      <c r="I1556" s="12" t="n">
        <v>112</v>
      </c>
      <c r="J1556" s="12" t="n">
        <v>2.6</v>
      </c>
      <c r="K1556" s="12" t="n">
        <v>1</v>
      </c>
      <c r="L1556" s="12" t="s">
        <v>36</v>
      </c>
    </row>
    <row r="1557" customFormat="false" ht="15" hidden="false" customHeight="false" outlineLevel="0" collapsed="false">
      <c r="A1557" s="11" t="n">
        <v>45752</v>
      </c>
      <c r="B1557" s="12" t="n">
        <v>8.7</v>
      </c>
      <c r="C1557" s="12" t="n">
        <f aca="false">IF(NOT(ISNUMBER(B1557)),"",ROUND((INDEX(BP!$D$5:$D$9,MATCH(B1557,BP!$A$5:$A$9,1))-INDEX(BP!$C$5:$C$9,MATCH(B1557,BP!$A$5:$A$9,1)))/(INDEX(BP!$B$5:$B$9,MATCH(B1557,BP!$A$5:$A$9,1))-INDEX(BP!$A$5:$A$9,MATCH(B1557,BP!$A$5:$A$9,1)))*(B1557-INDEX(BP!$A$5:$A$9,MATCH(B1557,BP!$A$5:$A$9,1)))+INDEX(BP!$C$5:$C$9,MATCH(B1557,BP!$A$5:$A$9,1)),0))</f>
        <v>15</v>
      </c>
      <c r="D1557" s="12" t="str">
        <f aca="false">IF(NOT(ISNUMBER(C1557)),"",INDEX(BP!$F$5:$F$9,MATCH(C1557,BP!$E$5:$E$9,1)))</f>
        <v>ดีมาก</v>
      </c>
      <c r="E1557" s="12" t="n">
        <f aca="false">YEAR(A1557)</f>
        <v>2025</v>
      </c>
      <c r="F1557" s="12" t="n">
        <f aca="false">MONTH(A1557)</f>
        <v>4</v>
      </c>
      <c r="G1557" s="12" t="n">
        <v>16.6</v>
      </c>
      <c r="H1557" s="12" t="n">
        <v>37.1</v>
      </c>
      <c r="I1557" s="12" t="n">
        <v>104</v>
      </c>
      <c r="J1557" s="12" t="n">
        <v>0.6</v>
      </c>
      <c r="K1557" s="12" t="n">
        <v>0</v>
      </c>
      <c r="L1557" s="12" t="s">
        <v>35</v>
      </c>
    </row>
    <row r="1558" customFormat="false" ht="15" hidden="false" customHeight="false" outlineLevel="0" collapsed="false">
      <c r="A1558" s="11" t="n">
        <v>45753</v>
      </c>
      <c r="B1558" s="12" t="n">
        <v>9.1</v>
      </c>
      <c r="C1558" s="12" t="n">
        <f aca="false">IF(NOT(ISNUMBER(B1558)),"",ROUND((INDEX(BP!$D$5:$D$9,MATCH(B1558,BP!$A$5:$A$9,1))-INDEX(BP!$C$5:$C$9,MATCH(B1558,BP!$A$5:$A$9,1)))/(INDEX(BP!$B$5:$B$9,MATCH(B1558,BP!$A$5:$A$9,1))-INDEX(BP!$A$5:$A$9,MATCH(B1558,BP!$A$5:$A$9,1)))*(B1558-INDEX(BP!$A$5:$A$9,MATCH(B1558,BP!$A$5:$A$9,1)))+INDEX(BP!$C$5:$C$9,MATCH(B1558,BP!$A$5:$A$9,1)),0))</f>
        <v>15</v>
      </c>
      <c r="D1558" s="12" t="str">
        <f aca="false">IF(NOT(ISNUMBER(C1558)),"",INDEX(BP!$F$5:$F$9,MATCH(C1558,BP!$E$5:$E$9,1)))</f>
        <v>ดีมาก</v>
      </c>
      <c r="E1558" s="12" t="n">
        <f aca="false">YEAR(A1558)</f>
        <v>2025</v>
      </c>
      <c r="F1558" s="12" t="n">
        <f aca="false">MONTH(A1558)</f>
        <v>4</v>
      </c>
      <c r="G1558" s="12" t="n">
        <v>19.6</v>
      </c>
      <c r="H1558" s="12" t="n">
        <v>42.5</v>
      </c>
      <c r="I1558" s="12" t="n">
        <v>92</v>
      </c>
      <c r="J1558" s="12" t="n">
        <v>1.3</v>
      </c>
      <c r="K1558" s="12" t="n">
        <v>0</v>
      </c>
      <c r="L1558" s="12" t="s">
        <v>34</v>
      </c>
    </row>
    <row r="1559" customFormat="false" ht="15" hidden="false" customHeight="false" outlineLevel="0" collapsed="false">
      <c r="A1559" s="11" t="n">
        <v>45754</v>
      </c>
      <c r="B1559" s="12" t="n">
        <v>9.7</v>
      </c>
      <c r="C1559" s="12" t="n">
        <f aca="false">IF(NOT(ISNUMBER(B1559)),"",ROUND((INDEX(BP!$D$5:$D$9,MATCH(B1559,BP!$A$5:$A$9,1))-INDEX(BP!$C$5:$C$9,MATCH(B1559,BP!$A$5:$A$9,1)))/(INDEX(BP!$B$5:$B$9,MATCH(B1559,BP!$A$5:$A$9,1))-INDEX(BP!$A$5:$A$9,MATCH(B1559,BP!$A$5:$A$9,1)))*(B1559-INDEX(BP!$A$5:$A$9,MATCH(B1559,BP!$A$5:$A$9,1)))+INDEX(BP!$C$5:$C$9,MATCH(B1559,BP!$A$5:$A$9,1)),0))</f>
        <v>16</v>
      </c>
      <c r="D1559" s="12" t="str">
        <f aca="false">IF(NOT(ISNUMBER(C1559)),"",INDEX(BP!$F$5:$F$9,MATCH(C1559,BP!$E$5:$E$9,1)))</f>
        <v>ดีมาก</v>
      </c>
      <c r="E1559" s="12" t="n">
        <f aca="false">YEAR(A1559)</f>
        <v>2025</v>
      </c>
      <c r="F1559" s="12" t="n">
        <f aca="false">MONTH(A1559)</f>
        <v>4</v>
      </c>
      <c r="G1559" s="12" t="n">
        <v>21.1</v>
      </c>
      <c r="H1559" s="12" t="n">
        <v>45</v>
      </c>
      <c r="I1559" s="12" t="n">
        <v>93</v>
      </c>
      <c r="J1559" s="12" t="n">
        <v>0.1</v>
      </c>
      <c r="K1559" s="12" t="n">
        <v>0</v>
      </c>
      <c r="L1559" s="12" t="s">
        <v>34</v>
      </c>
    </row>
    <row r="1560" customFormat="false" ht="15" hidden="false" customHeight="false" outlineLevel="0" collapsed="false">
      <c r="A1560" s="11" t="n">
        <v>45755</v>
      </c>
      <c r="B1560" s="12" t="n">
        <v>11.3</v>
      </c>
      <c r="C1560" s="12" t="n">
        <f aca="false">IF(NOT(ISNUMBER(B1560)),"",ROUND((INDEX(BP!$D$5:$D$9,MATCH(B1560,BP!$A$5:$A$9,1))-INDEX(BP!$C$5:$C$9,MATCH(B1560,BP!$A$5:$A$9,1)))/(INDEX(BP!$B$5:$B$9,MATCH(B1560,BP!$A$5:$A$9,1))-INDEX(BP!$A$5:$A$9,MATCH(B1560,BP!$A$5:$A$9,1)))*(B1560-INDEX(BP!$A$5:$A$9,MATCH(B1560,BP!$A$5:$A$9,1)))+INDEX(BP!$C$5:$C$9,MATCH(B1560,BP!$A$5:$A$9,1)),0))</f>
        <v>19</v>
      </c>
      <c r="D1560" s="12" t="str">
        <f aca="false">IF(NOT(ISNUMBER(C1560)),"",INDEX(BP!$F$5:$F$9,MATCH(C1560,BP!$E$5:$E$9,1)))</f>
        <v>ดีมาก</v>
      </c>
      <c r="E1560" s="12" t="n">
        <f aca="false">YEAR(A1560)</f>
        <v>2025</v>
      </c>
      <c r="F1560" s="12" t="n">
        <f aca="false">MONTH(A1560)</f>
        <v>4</v>
      </c>
      <c r="G1560" s="12" t="n">
        <v>19.8</v>
      </c>
      <c r="H1560" s="12" t="n">
        <v>42.8</v>
      </c>
      <c r="I1560" s="12" t="n">
        <v>96</v>
      </c>
      <c r="J1560" s="12" t="n">
        <v>1</v>
      </c>
      <c r="K1560" s="12" t="n">
        <v>8.2</v>
      </c>
      <c r="L1560" s="12" t="s">
        <v>36</v>
      </c>
    </row>
    <row r="1561" customFormat="false" ht="15" hidden="false" customHeight="false" outlineLevel="0" collapsed="false">
      <c r="A1561" s="11" t="n">
        <v>45756</v>
      </c>
      <c r="B1561" s="12" t="n">
        <v>12.1</v>
      </c>
      <c r="C1561" s="12" t="n">
        <f aca="false">IF(NOT(ISNUMBER(B1561)),"",ROUND((INDEX(BP!$D$5:$D$9,MATCH(B1561,BP!$A$5:$A$9,1))-INDEX(BP!$C$5:$C$9,MATCH(B1561,BP!$A$5:$A$9,1)))/(INDEX(BP!$B$5:$B$9,MATCH(B1561,BP!$A$5:$A$9,1))-INDEX(BP!$A$5:$A$9,MATCH(B1561,BP!$A$5:$A$9,1)))*(B1561-INDEX(BP!$A$5:$A$9,MATCH(B1561,BP!$A$5:$A$9,1)))+INDEX(BP!$C$5:$C$9,MATCH(B1561,BP!$A$5:$A$9,1)),0))</f>
        <v>20</v>
      </c>
      <c r="D1561" s="12" t="str">
        <f aca="false">IF(NOT(ISNUMBER(C1561)),"",INDEX(BP!$F$5:$F$9,MATCH(C1561,BP!$E$5:$E$9,1)))</f>
        <v>ดีมาก</v>
      </c>
      <c r="E1561" s="12" t="n">
        <f aca="false">YEAR(A1561)</f>
        <v>2025</v>
      </c>
      <c r="F1561" s="12" t="n">
        <f aca="false">MONTH(A1561)</f>
        <v>4</v>
      </c>
      <c r="G1561" s="12" t="n">
        <v>13.7</v>
      </c>
      <c r="H1561" s="12" t="n">
        <v>32.8</v>
      </c>
      <c r="I1561" s="12" t="n">
        <v>106</v>
      </c>
      <c r="J1561" s="12" t="n">
        <v>12.3</v>
      </c>
      <c r="K1561" s="12" t="n">
        <v>7</v>
      </c>
      <c r="L1561" s="12" t="s">
        <v>36</v>
      </c>
    </row>
    <row r="1562" customFormat="false" ht="15" hidden="false" customHeight="false" outlineLevel="0" collapsed="false">
      <c r="A1562" s="11" t="n">
        <v>45757</v>
      </c>
      <c r="B1562" s="12" t="n">
        <v>10.4</v>
      </c>
      <c r="C1562" s="12" t="n">
        <f aca="false">IF(NOT(ISNUMBER(B1562)),"",ROUND((INDEX(BP!$D$5:$D$9,MATCH(B1562,BP!$A$5:$A$9,1))-INDEX(BP!$C$5:$C$9,MATCH(B1562,BP!$A$5:$A$9,1)))/(INDEX(BP!$B$5:$B$9,MATCH(B1562,BP!$A$5:$A$9,1))-INDEX(BP!$A$5:$A$9,MATCH(B1562,BP!$A$5:$A$9,1)))*(B1562-INDEX(BP!$A$5:$A$9,MATCH(B1562,BP!$A$5:$A$9,1)))+INDEX(BP!$C$5:$C$9,MATCH(B1562,BP!$A$5:$A$9,1)),0))</f>
        <v>17</v>
      </c>
      <c r="D1562" s="12" t="str">
        <f aca="false">IF(NOT(ISNUMBER(C1562)),"",INDEX(BP!$F$5:$F$9,MATCH(C1562,BP!$E$5:$E$9,1)))</f>
        <v>ดีมาก</v>
      </c>
      <c r="E1562" s="12" t="n">
        <f aca="false">YEAR(A1562)</f>
        <v>2025</v>
      </c>
      <c r="F1562" s="12" t="n">
        <f aca="false">MONTH(A1562)</f>
        <v>4</v>
      </c>
      <c r="G1562" s="12" t="n">
        <v>10.3</v>
      </c>
      <c r="H1562" s="12" t="n">
        <v>28.4</v>
      </c>
      <c r="I1562" s="12" t="n">
        <v>261</v>
      </c>
      <c r="J1562" s="12" t="n">
        <v>14.1</v>
      </c>
      <c r="K1562" s="12" t="n">
        <v>8.6</v>
      </c>
      <c r="L1562" s="12" t="s">
        <v>36</v>
      </c>
    </row>
    <row r="1563" customFormat="false" ht="15" hidden="false" customHeight="false" outlineLevel="0" collapsed="false">
      <c r="A1563" s="11" t="n">
        <v>45758</v>
      </c>
      <c r="B1563" s="12" t="n">
        <v>8.9</v>
      </c>
      <c r="C1563" s="12" t="n">
        <f aca="false">IF(NOT(ISNUMBER(B1563)),"",ROUND((INDEX(BP!$D$5:$D$9,MATCH(B1563,BP!$A$5:$A$9,1))-INDEX(BP!$C$5:$C$9,MATCH(B1563,BP!$A$5:$A$9,1)))/(INDEX(BP!$B$5:$B$9,MATCH(B1563,BP!$A$5:$A$9,1))-INDEX(BP!$A$5:$A$9,MATCH(B1563,BP!$A$5:$A$9,1)))*(B1563-INDEX(BP!$A$5:$A$9,MATCH(B1563,BP!$A$5:$A$9,1)))+INDEX(BP!$C$5:$C$9,MATCH(B1563,BP!$A$5:$A$9,1)),0))</f>
        <v>15</v>
      </c>
      <c r="D1563" s="12" t="str">
        <f aca="false">IF(NOT(ISNUMBER(C1563)),"",INDEX(BP!$F$5:$F$9,MATCH(C1563,BP!$E$5:$E$9,1)))</f>
        <v>ดีมาก</v>
      </c>
      <c r="E1563" s="12" t="n">
        <f aca="false">YEAR(A1563)</f>
        <v>2025</v>
      </c>
      <c r="F1563" s="12" t="n">
        <f aca="false">MONTH(A1563)</f>
        <v>4</v>
      </c>
      <c r="G1563" s="12" t="n">
        <v>11.1</v>
      </c>
      <c r="H1563" s="12" t="n">
        <v>32</v>
      </c>
      <c r="I1563" s="12" t="n">
        <v>243</v>
      </c>
      <c r="J1563" s="12" t="n">
        <v>4.5</v>
      </c>
      <c r="K1563" s="12" t="n">
        <v>5.8</v>
      </c>
      <c r="L1563" s="12" t="s">
        <v>36</v>
      </c>
    </row>
    <row r="1564" customFormat="false" ht="15" hidden="false" customHeight="false" outlineLevel="0" collapsed="false">
      <c r="A1564" s="11" t="n">
        <v>45759</v>
      </c>
      <c r="B1564" s="12" t="n">
        <v>5.8</v>
      </c>
      <c r="C1564" s="12" t="n">
        <f aca="false">IF(NOT(ISNUMBER(B1564)),"",ROUND((INDEX(BP!$D$5:$D$9,MATCH(B1564,BP!$A$5:$A$9,1))-INDEX(BP!$C$5:$C$9,MATCH(B1564,BP!$A$5:$A$9,1)))/(INDEX(BP!$B$5:$B$9,MATCH(B1564,BP!$A$5:$A$9,1))-INDEX(BP!$A$5:$A$9,MATCH(B1564,BP!$A$5:$A$9,1)))*(B1564-INDEX(BP!$A$5:$A$9,MATCH(B1564,BP!$A$5:$A$9,1)))+INDEX(BP!$C$5:$C$9,MATCH(B1564,BP!$A$5:$A$9,1)),0))</f>
        <v>10</v>
      </c>
      <c r="D1564" s="12" t="str">
        <f aca="false">IF(NOT(ISNUMBER(C1564)),"",INDEX(BP!$F$5:$F$9,MATCH(C1564,BP!$E$5:$E$9,1)))</f>
        <v>ดีมาก</v>
      </c>
      <c r="E1564" s="12" t="n">
        <f aca="false">YEAR(A1564)</f>
        <v>2025</v>
      </c>
      <c r="F1564" s="12" t="n">
        <f aca="false">MONTH(A1564)</f>
        <v>4</v>
      </c>
      <c r="G1564" s="12" t="n">
        <v>9.7</v>
      </c>
      <c r="H1564" s="12" t="n">
        <v>24.5</v>
      </c>
      <c r="I1564" s="12" t="n">
        <v>266</v>
      </c>
      <c r="J1564" s="12" t="n">
        <v>3.1</v>
      </c>
      <c r="K1564" s="12" t="n">
        <v>2.2</v>
      </c>
      <c r="L1564" s="12" t="s">
        <v>35</v>
      </c>
    </row>
    <row r="1565" customFormat="false" ht="15" hidden="false" customHeight="false" outlineLevel="0" collapsed="false">
      <c r="A1565" s="11" t="n">
        <v>45760</v>
      </c>
      <c r="B1565" s="12" t="n">
        <v>6.1</v>
      </c>
      <c r="C1565" s="12" t="n">
        <f aca="false">IF(NOT(ISNUMBER(B1565)),"",ROUND((INDEX(BP!$D$5:$D$9,MATCH(B1565,BP!$A$5:$A$9,1))-INDEX(BP!$C$5:$C$9,MATCH(B1565,BP!$A$5:$A$9,1)))/(INDEX(BP!$B$5:$B$9,MATCH(B1565,BP!$A$5:$A$9,1))-INDEX(BP!$A$5:$A$9,MATCH(B1565,BP!$A$5:$A$9,1)))*(B1565-INDEX(BP!$A$5:$A$9,MATCH(B1565,BP!$A$5:$A$9,1)))+INDEX(BP!$C$5:$C$9,MATCH(B1565,BP!$A$5:$A$9,1)),0))</f>
        <v>10</v>
      </c>
      <c r="D1565" s="12" t="str">
        <f aca="false">IF(NOT(ISNUMBER(C1565)),"",INDEX(BP!$F$5:$F$9,MATCH(C1565,BP!$E$5:$E$9,1)))</f>
        <v>ดีมาก</v>
      </c>
      <c r="E1565" s="12" t="n">
        <f aca="false">YEAR(A1565)</f>
        <v>2025</v>
      </c>
      <c r="F1565" s="12" t="n">
        <f aca="false">MONTH(A1565)</f>
        <v>4</v>
      </c>
      <c r="G1565" s="12" t="n">
        <v>10.8</v>
      </c>
      <c r="H1565" s="12" t="n">
        <v>25.6</v>
      </c>
      <c r="I1565" s="12" t="n">
        <v>99</v>
      </c>
      <c r="J1565" s="12" t="n">
        <v>10.1</v>
      </c>
      <c r="K1565" s="12" t="n">
        <v>0</v>
      </c>
      <c r="L1565" s="12" t="s">
        <v>34</v>
      </c>
    </row>
    <row r="1566" customFormat="false" ht="15" hidden="false" customHeight="false" outlineLevel="0" collapsed="false">
      <c r="A1566" s="11" t="n">
        <v>45761</v>
      </c>
      <c r="B1566" s="12" t="n">
        <v>6</v>
      </c>
      <c r="C1566" s="12" t="n">
        <f aca="false">IF(NOT(ISNUMBER(B1566)),"",ROUND((INDEX(BP!$D$5:$D$9,MATCH(B1566,BP!$A$5:$A$9,1))-INDEX(BP!$C$5:$C$9,MATCH(B1566,BP!$A$5:$A$9,1)))/(INDEX(BP!$B$5:$B$9,MATCH(B1566,BP!$A$5:$A$9,1))-INDEX(BP!$A$5:$A$9,MATCH(B1566,BP!$A$5:$A$9,1)))*(B1566-INDEX(BP!$A$5:$A$9,MATCH(B1566,BP!$A$5:$A$9,1)))+INDEX(BP!$C$5:$C$9,MATCH(B1566,BP!$A$5:$A$9,1)),0))</f>
        <v>10</v>
      </c>
      <c r="D1566" s="12" t="str">
        <f aca="false">IF(NOT(ISNUMBER(C1566)),"",INDEX(BP!$F$5:$F$9,MATCH(C1566,BP!$E$5:$E$9,1)))</f>
        <v>ดีมาก</v>
      </c>
      <c r="E1566" s="12" t="n">
        <f aca="false">YEAR(A1566)</f>
        <v>2025</v>
      </c>
      <c r="F1566" s="12" t="n">
        <f aca="false">MONTH(A1566)</f>
        <v>4</v>
      </c>
      <c r="G1566" s="12" t="n">
        <v>17.9</v>
      </c>
      <c r="H1566" s="12" t="n">
        <v>32.8</v>
      </c>
      <c r="I1566" s="12" t="n">
        <v>90</v>
      </c>
      <c r="J1566" s="12" t="n">
        <v>0</v>
      </c>
      <c r="K1566" s="12" t="n">
        <v>0</v>
      </c>
      <c r="L1566" s="12" t="s">
        <v>34</v>
      </c>
    </row>
    <row r="1567" customFormat="false" ht="15" hidden="false" customHeight="false" outlineLevel="0" collapsed="false">
      <c r="A1567" s="11" t="n">
        <v>45762</v>
      </c>
      <c r="B1567" s="12" t="n">
        <v>6</v>
      </c>
      <c r="C1567" s="12" t="n">
        <f aca="false">IF(NOT(ISNUMBER(B1567)),"",ROUND((INDEX(BP!$D$5:$D$9,MATCH(B1567,BP!$A$5:$A$9,1))-INDEX(BP!$C$5:$C$9,MATCH(B1567,BP!$A$5:$A$9,1)))/(INDEX(BP!$B$5:$B$9,MATCH(B1567,BP!$A$5:$A$9,1))-INDEX(BP!$A$5:$A$9,MATCH(B1567,BP!$A$5:$A$9,1)))*(B1567-INDEX(BP!$A$5:$A$9,MATCH(B1567,BP!$A$5:$A$9,1)))+INDEX(BP!$C$5:$C$9,MATCH(B1567,BP!$A$5:$A$9,1)),0))</f>
        <v>10</v>
      </c>
      <c r="D1567" s="12" t="str">
        <f aca="false">IF(NOT(ISNUMBER(C1567)),"",INDEX(BP!$F$5:$F$9,MATCH(C1567,BP!$E$5:$E$9,1)))</f>
        <v>ดีมาก</v>
      </c>
      <c r="E1567" s="12" t="n">
        <f aca="false">YEAR(A1567)</f>
        <v>2025</v>
      </c>
      <c r="F1567" s="12" t="n">
        <f aca="false">MONTH(A1567)</f>
        <v>4</v>
      </c>
      <c r="G1567" s="12" t="n">
        <v>17.9</v>
      </c>
      <c r="H1567" s="12" t="n">
        <v>36.7</v>
      </c>
      <c r="I1567" s="12" t="n">
        <v>107</v>
      </c>
      <c r="J1567" s="12" t="n">
        <v>16.1</v>
      </c>
      <c r="K1567" s="12" t="n">
        <v>5</v>
      </c>
      <c r="L1567" s="12" t="s">
        <v>34</v>
      </c>
    </row>
    <row r="1568" customFormat="false" ht="15" hidden="false" customHeight="false" outlineLevel="0" collapsed="false">
      <c r="A1568" s="11" t="n">
        <v>45763</v>
      </c>
      <c r="B1568" s="12" t="n">
        <v>5.7</v>
      </c>
      <c r="C1568" s="12" t="n">
        <f aca="false">IF(NOT(ISNUMBER(B1568)),"",ROUND((INDEX(BP!$D$5:$D$9,MATCH(B1568,BP!$A$5:$A$9,1))-INDEX(BP!$C$5:$C$9,MATCH(B1568,BP!$A$5:$A$9,1)))/(INDEX(BP!$B$5:$B$9,MATCH(B1568,BP!$A$5:$A$9,1))-INDEX(BP!$A$5:$A$9,MATCH(B1568,BP!$A$5:$A$9,1)))*(B1568-INDEX(BP!$A$5:$A$9,MATCH(B1568,BP!$A$5:$A$9,1)))+INDEX(BP!$C$5:$C$9,MATCH(B1568,BP!$A$5:$A$9,1)),0))</f>
        <v>10</v>
      </c>
      <c r="D1568" s="12" t="str">
        <f aca="false">IF(NOT(ISNUMBER(C1568)),"",INDEX(BP!$F$5:$F$9,MATCH(C1568,BP!$E$5:$E$9,1)))</f>
        <v>ดีมาก</v>
      </c>
      <c r="E1568" s="12" t="n">
        <f aca="false">YEAR(A1568)</f>
        <v>2025</v>
      </c>
      <c r="F1568" s="12" t="n">
        <f aca="false">MONTH(A1568)</f>
        <v>4</v>
      </c>
      <c r="G1568" s="12" t="n">
        <v>11.1</v>
      </c>
      <c r="H1568" s="12" t="n">
        <v>23.8</v>
      </c>
      <c r="I1568" s="12" t="n">
        <v>64</v>
      </c>
      <c r="J1568" s="12" t="n">
        <v>18.3</v>
      </c>
      <c r="K1568" s="12" t="n">
        <v>1.2</v>
      </c>
      <c r="L1568" s="12" t="s">
        <v>34</v>
      </c>
    </row>
    <row r="1569" customFormat="false" ht="15" hidden="false" customHeight="false" outlineLevel="0" collapsed="false">
      <c r="A1569" s="11" t="n">
        <v>45764</v>
      </c>
      <c r="B1569" s="12" t="n">
        <v>5.7</v>
      </c>
      <c r="C1569" s="12" t="n">
        <f aca="false">IF(NOT(ISNUMBER(B1569)),"",ROUND((INDEX(BP!$D$5:$D$9,MATCH(B1569,BP!$A$5:$A$9,1))-INDEX(BP!$C$5:$C$9,MATCH(B1569,BP!$A$5:$A$9,1)))/(INDEX(BP!$B$5:$B$9,MATCH(B1569,BP!$A$5:$A$9,1))-INDEX(BP!$A$5:$A$9,MATCH(B1569,BP!$A$5:$A$9,1)))*(B1569-INDEX(BP!$A$5:$A$9,MATCH(B1569,BP!$A$5:$A$9,1)))+INDEX(BP!$C$5:$C$9,MATCH(B1569,BP!$A$5:$A$9,1)),0))</f>
        <v>10</v>
      </c>
      <c r="D1569" s="12" t="str">
        <f aca="false">IF(NOT(ISNUMBER(C1569)),"",INDEX(BP!$F$5:$F$9,MATCH(C1569,BP!$E$5:$E$9,1)))</f>
        <v>ดีมาก</v>
      </c>
      <c r="E1569" s="12" t="n">
        <f aca="false">YEAR(A1569)</f>
        <v>2025</v>
      </c>
      <c r="F1569" s="12" t="n">
        <f aca="false">MONTH(A1569)</f>
        <v>4</v>
      </c>
      <c r="G1569" s="12" t="n">
        <v>11</v>
      </c>
      <c r="H1569" s="12" t="n">
        <v>32.4</v>
      </c>
      <c r="I1569" s="12" t="n">
        <v>270</v>
      </c>
      <c r="J1569" s="12" t="n">
        <v>9.2</v>
      </c>
      <c r="K1569" s="12" t="n">
        <v>0.4</v>
      </c>
      <c r="L1569" s="12" t="s">
        <v>36</v>
      </c>
    </row>
    <row r="1570" customFormat="false" ht="15" hidden="false" customHeight="false" outlineLevel="0" collapsed="false">
      <c r="A1570" s="11" t="n">
        <v>45765</v>
      </c>
      <c r="B1570" s="12" t="n">
        <v>6.2</v>
      </c>
      <c r="C1570" s="12" t="n">
        <f aca="false">IF(NOT(ISNUMBER(B1570)),"",ROUND((INDEX(BP!$D$5:$D$9,MATCH(B1570,BP!$A$5:$A$9,1))-INDEX(BP!$C$5:$C$9,MATCH(B1570,BP!$A$5:$A$9,1)))/(INDEX(BP!$B$5:$B$9,MATCH(B1570,BP!$A$5:$A$9,1))-INDEX(BP!$A$5:$A$9,MATCH(B1570,BP!$A$5:$A$9,1)))*(B1570-INDEX(BP!$A$5:$A$9,MATCH(B1570,BP!$A$5:$A$9,1)))+INDEX(BP!$C$5:$C$9,MATCH(B1570,BP!$A$5:$A$9,1)),0))</f>
        <v>10</v>
      </c>
      <c r="D1570" s="12" t="str">
        <f aca="false">IF(NOT(ISNUMBER(C1570)),"",INDEX(BP!$F$5:$F$9,MATCH(C1570,BP!$E$5:$E$9,1)))</f>
        <v>ดีมาก</v>
      </c>
      <c r="E1570" s="12" t="n">
        <f aca="false">YEAR(A1570)</f>
        <v>2025</v>
      </c>
      <c r="F1570" s="12" t="n">
        <f aca="false">MONTH(A1570)</f>
        <v>4</v>
      </c>
      <c r="G1570" s="12" t="n">
        <v>12.6</v>
      </c>
      <c r="H1570" s="12" t="n">
        <v>23.8</v>
      </c>
      <c r="I1570" s="12" t="n">
        <v>285</v>
      </c>
      <c r="J1570" s="12" t="n">
        <v>13.2</v>
      </c>
      <c r="K1570" s="12" t="n">
        <v>5.4</v>
      </c>
      <c r="L1570" s="12" t="s">
        <v>36</v>
      </c>
    </row>
    <row r="1571" customFormat="false" ht="15" hidden="false" customHeight="false" outlineLevel="0" collapsed="false">
      <c r="A1571" s="11" t="n">
        <v>45766</v>
      </c>
      <c r="B1571" s="12" t="n">
        <v>5.8</v>
      </c>
      <c r="C1571" s="12" t="n">
        <f aca="false">IF(NOT(ISNUMBER(B1571)),"",ROUND((INDEX(BP!$D$5:$D$9,MATCH(B1571,BP!$A$5:$A$9,1))-INDEX(BP!$C$5:$C$9,MATCH(B1571,BP!$A$5:$A$9,1)))/(INDEX(BP!$B$5:$B$9,MATCH(B1571,BP!$A$5:$A$9,1))-INDEX(BP!$A$5:$A$9,MATCH(B1571,BP!$A$5:$A$9,1)))*(B1571-INDEX(BP!$A$5:$A$9,MATCH(B1571,BP!$A$5:$A$9,1)))+INDEX(BP!$C$5:$C$9,MATCH(B1571,BP!$A$5:$A$9,1)),0))</f>
        <v>10</v>
      </c>
      <c r="D1571" s="12" t="str">
        <f aca="false">IF(NOT(ISNUMBER(C1571)),"",INDEX(BP!$F$5:$F$9,MATCH(C1571,BP!$E$5:$E$9,1)))</f>
        <v>ดีมาก</v>
      </c>
      <c r="E1571" s="12" t="n">
        <f aca="false">YEAR(A1571)</f>
        <v>2025</v>
      </c>
      <c r="F1571" s="12" t="n">
        <f aca="false">MONTH(A1571)</f>
        <v>4</v>
      </c>
      <c r="G1571" s="12" t="n">
        <v>13.4</v>
      </c>
      <c r="H1571" s="12" t="n">
        <v>32</v>
      </c>
      <c r="I1571" s="12" t="n">
        <v>293</v>
      </c>
      <c r="J1571" s="12" t="n">
        <v>3.5</v>
      </c>
      <c r="K1571" s="12" t="n">
        <v>51.4</v>
      </c>
      <c r="L1571" s="12" t="s">
        <v>35</v>
      </c>
    </row>
    <row r="1572" customFormat="false" ht="15" hidden="false" customHeight="false" outlineLevel="0" collapsed="false">
      <c r="A1572" s="11" t="n">
        <v>45767</v>
      </c>
      <c r="B1572" s="12" t="n">
        <v>6.2</v>
      </c>
      <c r="C1572" s="12" t="n">
        <f aca="false">IF(NOT(ISNUMBER(B1572)),"",ROUND((INDEX(BP!$D$5:$D$9,MATCH(B1572,BP!$A$5:$A$9,1))-INDEX(BP!$C$5:$C$9,MATCH(B1572,BP!$A$5:$A$9,1)))/(INDEX(BP!$B$5:$B$9,MATCH(B1572,BP!$A$5:$A$9,1))-INDEX(BP!$A$5:$A$9,MATCH(B1572,BP!$A$5:$A$9,1)))*(B1572-INDEX(BP!$A$5:$A$9,MATCH(B1572,BP!$A$5:$A$9,1)))+INDEX(BP!$C$5:$C$9,MATCH(B1572,BP!$A$5:$A$9,1)),0))</f>
        <v>10</v>
      </c>
      <c r="D1572" s="12" t="str">
        <f aca="false">IF(NOT(ISNUMBER(C1572)),"",INDEX(BP!$F$5:$F$9,MATCH(C1572,BP!$E$5:$E$9,1)))</f>
        <v>ดีมาก</v>
      </c>
      <c r="E1572" s="12" t="n">
        <f aca="false">YEAR(A1572)</f>
        <v>2025</v>
      </c>
      <c r="F1572" s="12" t="n">
        <f aca="false">MONTH(A1572)</f>
        <v>4</v>
      </c>
      <c r="G1572" s="12" t="n">
        <v>12</v>
      </c>
      <c r="H1572" s="12" t="n">
        <v>32</v>
      </c>
      <c r="I1572" s="12" t="n">
        <v>205</v>
      </c>
      <c r="J1572" s="12" t="n">
        <v>1.9</v>
      </c>
      <c r="K1572" s="12" t="n">
        <v>1</v>
      </c>
      <c r="L1572" s="12" t="s">
        <v>35</v>
      </c>
    </row>
    <row r="1573" customFormat="false" ht="15" hidden="false" customHeight="false" outlineLevel="0" collapsed="false">
      <c r="A1573" s="11" t="n">
        <v>45768</v>
      </c>
      <c r="B1573" s="12" t="n">
        <v>6.3</v>
      </c>
      <c r="C1573" s="12" t="n">
        <f aca="false">IF(NOT(ISNUMBER(B1573)),"",ROUND((INDEX(BP!$D$5:$D$9,MATCH(B1573,BP!$A$5:$A$9,1))-INDEX(BP!$C$5:$C$9,MATCH(B1573,BP!$A$5:$A$9,1)))/(INDEX(BP!$B$5:$B$9,MATCH(B1573,BP!$A$5:$A$9,1))-INDEX(BP!$A$5:$A$9,MATCH(B1573,BP!$A$5:$A$9,1)))*(B1573-INDEX(BP!$A$5:$A$9,MATCH(B1573,BP!$A$5:$A$9,1)))+INDEX(BP!$C$5:$C$9,MATCH(B1573,BP!$A$5:$A$9,1)),0))</f>
        <v>11</v>
      </c>
      <c r="D1573" s="12" t="str">
        <f aca="false">IF(NOT(ISNUMBER(C1573)),"",INDEX(BP!$F$5:$F$9,MATCH(C1573,BP!$E$5:$E$9,1)))</f>
        <v>ดีมาก</v>
      </c>
      <c r="E1573" s="12" t="n">
        <f aca="false">YEAR(A1573)</f>
        <v>2025</v>
      </c>
      <c r="F1573" s="12" t="n">
        <f aca="false">MONTH(A1573)</f>
        <v>4</v>
      </c>
      <c r="G1573" s="12" t="n">
        <v>14.4</v>
      </c>
      <c r="H1573" s="12" t="n">
        <v>32.8</v>
      </c>
      <c r="I1573" s="12" t="n">
        <v>114</v>
      </c>
      <c r="J1573" s="12" t="n">
        <v>0.1</v>
      </c>
      <c r="K1573" s="12" t="n">
        <v>0</v>
      </c>
      <c r="L1573" s="12" t="s">
        <v>36</v>
      </c>
    </row>
    <row r="1574" customFormat="false" ht="15" hidden="false" customHeight="false" outlineLevel="0" collapsed="false">
      <c r="A1574" s="11" t="n">
        <v>45769</v>
      </c>
      <c r="B1574" s="12" t="n">
        <v>7.9</v>
      </c>
      <c r="C1574" s="12" t="n">
        <f aca="false">IF(NOT(ISNUMBER(B1574)),"",ROUND((INDEX(BP!$D$5:$D$9,MATCH(B1574,BP!$A$5:$A$9,1))-INDEX(BP!$C$5:$C$9,MATCH(B1574,BP!$A$5:$A$9,1)))/(INDEX(BP!$B$5:$B$9,MATCH(B1574,BP!$A$5:$A$9,1))-INDEX(BP!$A$5:$A$9,MATCH(B1574,BP!$A$5:$A$9,1)))*(B1574-INDEX(BP!$A$5:$A$9,MATCH(B1574,BP!$A$5:$A$9,1)))+INDEX(BP!$C$5:$C$9,MATCH(B1574,BP!$A$5:$A$9,1)),0))</f>
        <v>13</v>
      </c>
      <c r="D1574" s="12" t="str">
        <f aca="false">IF(NOT(ISNUMBER(C1574)),"",INDEX(BP!$F$5:$F$9,MATCH(C1574,BP!$E$5:$E$9,1)))</f>
        <v>ดีมาก</v>
      </c>
      <c r="E1574" s="12" t="n">
        <f aca="false">YEAR(A1574)</f>
        <v>2025</v>
      </c>
      <c r="F1574" s="12" t="n">
        <f aca="false">MONTH(A1574)</f>
        <v>4</v>
      </c>
      <c r="G1574" s="12" t="n">
        <v>17.1</v>
      </c>
      <c r="H1574" s="12" t="n">
        <v>36</v>
      </c>
      <c r="I1574" s="12" t="n">
        <v>133</v>
      </c>
      <c r="J1574" s="12" t="n">
        <v>8.6</v>
      </c>
      <c r="K1574" s="12" t="n">
        <v>0.2</v>
      </c>
      <c r="L1574" s="12" t="s">
        <v>36</v>
      </c>
    </row>
    <row r="1575" customFormat="false" ht="15" hidden="false" customHeight="false" outlineLevel="0" collapsed="false">
      <c r="A1575" s="11" t="n">
        <v>45770</v>
      </c>
      <c r="B1575" s="12" t="n">
        <v>8.8</v>
      </c>
      <c r="C1575" s="12" t="n">
        <f aca="false">IF(NOT(ISNUMBER(B1575)),"",ROUND((INDEX(BP!$D$5:$D$9,MATCH(B1575,BP!$A$5:$A$9,1))-INDEX(BP!$C$5:$C$9,MATCH(B1575,BP!$A$5:$A$9,1)))/(INDEX(BP!$B$5:$B$9,MATCH(B1575,BP!$A$5:$A$9,1))-INDEX(BP!$A$5:$A$9,MATCH(B1575,BP!$A$5:$A$9,1)))*(B1575-INDEX(BP!$A$5:$A$9,MATCH(B1575,BP!$A$5:$A$9,1)))+INDEX(BP!$C$5:$C$9,MATCH(B1575,BP!$A$5:$A$9,1)),0))</f>
        <v>15</v>
      </c>
      <c r="D1575" s="12" t="str">
        <f aca="false">IF(NOT(ISNUMBER(C1575)),"",INDEX(BP!$F$5:$F$9,MATCH(C1575,BP!$E$5:$E$9,1)))</f>
        <v>ดีมาก</v>
      </c>
      <c r="E1575" s="12" t="n">
        <f aca="false">YEAR(A1575)</f>
        <v>2025</v>
      </c>
      <c r="F1575" s="12" t="n">
        <f aca="false">MONTH(A1575)</f>
        <v>4</v>
      </c>
      <c r="G1575" s="12" t="n">
        <v>10</v>
      </c>
      <c r="H1575" s="12" t="n">
        <v>22.3</v>
      </c>
      <c r="I1575" s="12" t="n">
        <v>229</v>
      </c>
      <c r="J1575" s="12" t="n">
        <v>7.8</v>
      </c>
      <c r="K1575" s="12" t="n">
        <v>17.2</v>
      </c>
      <c r="L1575" s="12" t="s">
        <v>36</v>
      </c>
    </row>
    <row r="1576" customFormat="false" ht="15" hidden="false" customHeight="false" outlineLevel="0" collapsed="false">
      <c r="A1576" s="11" t="n">
        <v>45771</v>
      </c>
      <c r="B1576" s="12" t="n">
        <v>6.9</v>
      </c>
      <c r="C1576" s="12" t="n">
        <f aca="false">IF(NOT(ISNUMBER(B1576)),"",ROUND((INDEX(BP!$D$5:$D$9,MATCH(B1576,BP!$A$5:$A$9,1))-INDEX(BP!$C$5:$C$9,MATCH(B1576,BP!$A$5:$A$9,1)))/(INDEX(BP!$B$5:$B$9,MATCH(B1576,BP!$A$5:$A$9,1))-INDEX(BP!$A$5:$A$9,MATCH(B1576,BP!$A$5:$A$9,1)))*(B1576-INDEX(BP!$A$5:$A$9,MATCH(B1576,BP!$A$5:$A$9,1)))+INDEX(BP!$C$5:$C$9,MATCH(B1576,BP!$A$5:$A$9,1)),0))</f>
        <v>12</v>
      </c>
      <c r="D1576" s="12" t="str">
        <f aca="false">IF(NOT(ISNUMBER(C1576)),"",INDEX(BP!$F$5:$F$9,MATCH(C1576,BP!$E$5:$E$9,1)))</f>
        <v>ดีมาก</v>
      </c>
      <c r="E1576" s="12" t="n">
        <f aca="false">YEAR(A1576)</f>
        <v>2025</v>
      </c>
      <c r="F1576" s="12" t="n">
        <f aca="false">MONTH(A1576)</f>
        <v>4</v>
      </c>
      <c r="G1576" s="12" t="n">
        <v>13.5</v>
      </c>
      <c r="H1576" s="12" t="n">
        <v>27.4</v>
      </c>
      <c r="I1576" s="12" t="n">
        <v>226</v>
      </c>
      <c r="J1576" s="12" t="n">
        <v>28.5</v>
      </c>
      <c r="K1576" s="12" t="n">
        <v>4.8</v>
      </c>
      <c r="L1576" s="12" t="s">
        <v>36</v>
      </c>
    </row>
    <row r="1577" customFormat="false" ht="15" hidden="false" customHeight="false" outlineLevel="0" collapsed="false">
      <c r="A1577" s="11" t="n">
        <v>45772</v>
      </c>
      <c r="B1577" s="12" t="n">
        <v>6.9</v>
      </c>
      <c r="C1577" s="12" t="n">
        <f aca="false">IF(NOT(ISNUMBER(B1577)),"",ROUND((INDEX(BP!$D$5:$D$9,MATCH(B1577,BP!$A$5:$A$9,1))-INDEX(BP!$C$5:$C$9,MATCH(B1577,BP!$A$5:$A$9,1)))/(INDEX(BP!$B$5:$B$9,MATCH(B1577,BP!$A$5:$A$9,1))-INDEX(BP!$A$5:$A$9,MATCH(B1577,BP!$A$5:$A$9,1)))*(B1577-INDEX(BP!$A$5:$A$9,MATCH(B1577,BP!$A$5:$A$9,1)))+INDEX(BP!$C$5:$C$9,MATCH(B1577,BP!$A$5:$A$9,1)),0))</f>
        <v>12</v>
      </c>
      <c r="D1577" s="12" t="str">
        <f aca="false">IF(NOT(ISNUMBER(C1577)),"",INDEX(BP!$F$5:$F$9,MATCH(C1577,BP!$E$5:$E$9,1)))</f>
        <v>ดีมาก</v>
      </c>
      <c r="E1577" s="12" t="n">
        <f aca="false">YEAR(A1577)</f>
        <v>2025</v>
      </c>
      <c r="F1577" s="12" t="n">
        <f aca="false">MONTH(A1577)</f>
        <v>4</v>
      </c>
      <c r="G1577" s="12" t="n">
        <v>11.2</v>
      </c>
      <c r="H1577" s="12" t="n">
        <v>27.7</v>
      </c>
      <c r="I1577" s="12" t="n">
        <v>120</v>
      </c>
      <c r="J1577" s="12" t="n">
        <v>2.4</v>
      </c>
      <c r="K1577" s="12" t="n">
        <v>2.8</v>
      </c>
      <c r="L1577" s="12" t="s">
        <v>36</v>
      </c>
    </row>
    <row r="1578" customFormat="false" ht="15" hidden="false" customHeight="false" outlineLevel="0" collapsed="false">
      <c r="A1578" s="11" t="n">
        <v>45773</v>
      </c>
      <c r="B1578" s="12" t="n">
        <v>7</v>
      </c>
      <c r="C1578" s="12" t="n">
        <f aca="false">IF(NOT(ISNUMBER(B1578)),"",ROUND((INDEX(BP!$D$5:$D$9,MATCH(B1578,BP!$A$5:$A$9,1))-INDEX(BP!$C$5:$C$9,MATCH(B1578,BP!$A$5:$A$9,1)))/(INDEX(BP!$B$5:$B$9,MATCH(B1578,BP!$A$5:$A$9,1))-INDEX(BP!$A$5:$A$9,MATCH(B1578,BP!$A$5:$A$9,1)))*(B1578-INDEX(BP!$A$5:$A$9,MATCH(B1578,BP!$A$5:$A$9,1)))+INDEX(BP!$C$5:$C$9,MATCH(B1578,BP!$A$5:$A$9,1)),0))</f>
        <v>12</v>
      </c>
      <c r="D1578" s="12" t="str">
        <f aca="false">IF(NOT(ISNUMBER(C1578)),"",INDEX(BP!$F$5:$F$9,MATCH(C1578,BP!$E$5:$E$9,1)))</f>
        <v>ดีมาก</v>
      </c>
      <c r="E1578" s="12" t="n">
        <f aca="false">YEAR(A1578)</f>
        <v>2025</v>
      </c>
      <c r="F1578" s="12" t="n">
        <f aca="false">MONTH(A1578)</f>
        <v>4</v>
      </c>
      <c r="G1578" s="12" t="n">
        <v>11.7</v>
      </c>
      <c r="H1578" s="12" t="n">
        <v>25.6</v>
      </c>
      <c r="I1578" s="12" t="n">
        <v>201</v>
      </c>
      <c r="J1578" s="12" t="n">
        <v>9.9</v>
      </c>
      <c r="K1578" s="12" t="n">
        <v>55.6</v>
      </c>
      <c r="L1578" s="12" t="s">
        <v>35</v>
      </c>
    </row>
    <row r="1579" customFormat="false" ht="15" hidden="false" customHeight="false" outlineLevel="0" collapsed="false">
      <c r="A1579" s="11" t="n">
        <v>45774</v>
      </c>
      <c r="B1579" s="12" t="n">
        <v>7</v>
      </c>
      <c r="C1579" s="12" t="n">
        <f aca="false">IF(NOT(ISNUMBER(B1579)),"",ROUND((INDEX(BP!$D$5:$D$9,MATCH(B1579,BP!$A$5:$A$9,1))-INDEX(BP!$C$5:$C$9,MATCH(B1579,BP!$A$5:$A$9,1)))/(INDEX(BP!$B$5:$B$9,MATCH(B1579,BP!$A$5:$A$9,1))-INDEX(BP!$A$5:$A$9,MATCH(B1579,BP!$A$5:$A$9,1)))*(B1579-INDEX(BP!$A$5:$A$9,MATCH(B1579,BP!$A$5:$A$9,1)))+INDEX(BP!$C$5:$C$9,MATCH(B1579,BP!$A$5:$A$9,1)),0))</f>
        <v>12</v>
      </c>
      <c r="D1579" s="12" t="str">
        <f aca="false">IF(NOT(ISNUMBER(C1579)),"",INDEX(BP!$F$5:$F$9,MATCH(C1579,BP!$E$5:$E$9,1)))</f>
        <v>ดีมาก</v>
      </c>
      <c r="E1579" s="12" t="n">
        <f aca="false">YEAR(A1579)</f>
        <v>2025</v>
      </c>
      <c r="F1579" s="12" t="n">
        <f aca="false">MONTH(A1579)</f>
        <v>4</v>
      </c>
      <c r="G1579" s="12" t="n">
        <v>12.4</v>
      </c>
      <c r="H1579" s="12" t="n">
        <v>29.9</v>
      </c>
      <c r="I1579" s="12" t="n">
        <v>103</v>
      </c>
      <c r="J1579" s="12" t="n">
        <v>0.7</v>
      </c>
      <c r="K1579" s="12" t="n">
        <v>0</v>
      </c>
      <c r="L1579" s="12" t="s">
        <v>35</v>
      </c>
    </row>
    <row r="1580" customFormat="false" ht="15" hidden="false" customHeight="false" outlineLevel="0" collapsed="false">
      <c r="A1580" s="11" t="n">
        <v>45775</v>
      </c>
      <c r="B1580" s="12" t="n">
        <v>7.3</v>
      </c>
      <c r="C1580" s="12" t="n">
        <f aca="false">IF(NOT(ISNUMBER(B1580)),"",ROUND((INDEX(BP!$D$5:$D$9,MATCH(B1580,BP!$A$5:$A$9,1))-INDEX(BP!$C$5:$C$9,MATCH(B1580,BP!$A$5:$A$9,1)))/(INDEX(BP!$B$5:$B$9,MATCH(B1580,BP!$A$5:$A$9,1))-INDEX(BP!$A$5:$A$9,MATCH(B1580,BP!$A$5:$A$9,1)))*(B1580-INDEX(BP!$A$5:$A$9,MATCH(B1580,BP!$A$5:$A$9,1)))+INDEX(BP!$C$5:$C$9,MATCH(B1580,BP!$A$5:$A$9,1)),0))</f>
        <v>12</v>
      </c>
      <c r="D1580" s="12" t="str">
        <f aca="false">IF(NOT(ISNUMBER(C1580)),"",INDEX(BP!$F$5:$F$9,MATCH(C1580,BP!$E$5:$E$9,1)))</f>
        <v>ดีมาก</v>
      </c>
      <c r="E1580" s="12" t="n">
        <f aca="false">YEAR(A1580)</f>
        <v>2025</v>
      </c>
      <c r="F1580" s="12" t="n">
        <f aca="false">MONTH(A1580)</f>
        <v>4</v>
      </c>
      <c r="G1580" s="12" t="n">
        <v>12.4</v>
      </c>
      <c r="H1580" s="12" t="n">
        <v>30.6</v>
      </c>
      <c r="I1580" s="12" t="n">
        <v>102</v>
      </c>
      <c r="J1580" s="12" t="n">
        <v>3.1</v>
      </c>
      <c r="K1580" s="12" t="n">
        <v>0</v>
      </c>
      <c r="L1580" s="12" t="s">
        <v>36</v>
      </c>
    </row>
    <row r="1581" customFormat="false" ht="15" hidden="false" customHeight="false" outlineLevel="0" collapsed="false">
      <c r="A1581" s="11" t="n">
        <v>45776</v>
      </c>
      <c r="B1581" s="12" t="n">
        <v>8.1</v>
      </c>
      <c r="C1581" s="12" t="n">
        <f aca="false">IF(NOT(ISNUMBER(B1581)),"",ROUND((INDEX(BP!$D$5:$D$9,MATCH(B1581,BP!$A$5:$A$9,1))-INDEX(BP!$C$5:$C$9,MATCH(B1581,BP!$A$5:$A$9,1)))/(INDEX(BP!$B$5:$B$9,MATCH(B1581,BP!$A$5:$A$9,1))-INDEX(BP!$A$5:$A$9,MATCH(B1581,BP!$A$5:$A$9,1)))*(B1581-INDEX(BP!$A$5:$A$9,MATCH(B1581,BP!$A$5:$A$9,1)))+INDEX(BP!$C$5:$C$9,MATCH(B1581,BP!$A$5:$A$9,1)),0))</f>
        <v>14</v>
      </c>
      <c r="D1581" s="12" t="str">
        <f aca="false">IF(NOT(ISNUMBER(C1581)),"",INDEX(BP!$F$5:$F$9,MATCH(C1581,BP!$E$5:$E$9,1)))</f>
        <v>ดีมาก</v>
      </c>
      <c r="E1581" s="12" t="n">
        <f aca="false">YEAR(A1581)</f>
        <v>2025</v>
      </c>
      <c r="F1581" s="12" t="n">
        <f aca="false">MONTH(A1581)</f>
        <v>4</v>
      </c>
      <c r="G1581" s="12" t="n">
        <v>13.5</v>
      </c>
      <c r="H1581" s="12" t="n">
        <v>31.7</v>
      </c>
      <c r="I1581" s="12" t="n">
        <v>96</v>
      </c>
      <c r="J1581" s="12" t="n">
        <v>0.1</v>
      </c>
      <c r="K1581" s="12" t="n">
        <v>0</v>
      </c>
      <c r="L1581" s="12" t="s">
        <v>36</v>
      </c>
    </row>
    <row r="1582" customFormat="false" ht="15" hidden="false" customHeight="false" outlineLevel="0" collapsed="false">
      <c r="A1582" s="11" t="n">
        <v>45777</v>
      </c>
      <c r="B1582" s="12" t="n">
        <v>8.6</v>
      </c>
      <c r="C1582" s="12" t="n">
        <f aca="false">IF(NOT(ISNUMBER(B1582)),"",ROUND((INDEX(BP!$D$5:$D$9,MATCH(B1582,BP!$A$5:$A$9,1))-INDEX(BP!$C$5:$C$9,MATCH(B1582,BP!$A$5:$A$9,1)))/(INDEX(BP!$B$5:$B$9,MATCH(B1582,BP!$A$5:$A$9,1))-INDEX(BP!$A$5:$A$9,MATCH(B1582,BP!$A$5:$A$9,1)))*(B1582-INDEX(BP!$A$5:$A$9,MATCH(B1582,BP!$A$5:$A$9,1)))+INDEX(BP!$C$5:$C$9,MATCH(B1582,BP!$A$5:$A$9,1)),0))</f>
        <v>14</v>
      </c>
      <c r="D1582" s="12" t="str">
        <f aca="false">IF(NOT(ISNUMBER(C1582)),"",INDEX(BP!$F$5:$F$9,MATCH(C1582,BP!$E$5:$E$9,1)))</f>
        <v>ดีมาก</v>
      </c>
      <c r="E1582" s="12" t="n">
        <f aca="false">YEAR(A1582)</f>
        <v>2025</v>
      </c>
      <c r="F1582" s="12" t="n">
        <f aca="false">MONTH(A1582)</f>
        <v>4</v>
      </c>
      <c r="G1582" s="12" t="n">
        <v>17.3</v>
      </c>
      <c r="H1582" s="12" t="n">
        <v>39.2</v>
      </c>
      <c r="I1582" s="12" t="n">
        <v>80</v>
      </c>
      <c r="J1582" s="12" t="n">
        <v>0.1</v>
      </c>
      <c r="K1582" s="12" t="n">
        <v>0</v>
      </c>
      <c r="L1582" s="12" t="s">
        <v>36</v>
      </c>
    </row>
    <row r="1583" customFormat="false" ht="15" hidden="false" customHeight="false" outlineLevel="0" collapsed="false">
      <c r="A1583" s="11" t="n">
        <v>45778</v>
      </c>
      <c r="B1583" s="12" t="n">
        <v>9.8</v>
      </c>
      <c r="C1583" s="12" t="n">
        <f aca="false">IF(NOT(ISNUMBER(B1583)),"",ROUND((INDEX(BP!$D$5:$D$9,MATCH(B1583,BP!$A$5:$A$9,1))-INDEX(BP!$C$5:$C$9,MATCH(B1583,BP!$A$5:$A$9,1)))/(INDEX(BP!$B$5:$B$9,MATCH(B1583,BP!$A$5:$A$9,1))-INDEX(BP!$A$5:$A$9,MATCH(B1583,BP!$A$5:$A$9,1)))*(B1583-INDEX(BP!$A$5:$A$9,MATCH(B1583,BP!$A$5:$A$9,1)))+INDEX(BP!$C$5:$C$9,MATCH(B1583,BP!$A$5:$A$9,1)),0))</f>
        <v>16</v>
      </c>
      <c r="D1583" s="12" t="str">
        <f aca="false">IF(NOT(ISNUMBER(C1583)),"",INDEX(BP!$F$5:$F$9,MATCH(C1583,BP!$E$5:$E$9,1)))</f>
        <v>ดีมาก</v>
      </c>
      <c r="E1583" s="12" t="n">
        <f aca="false">YEAR(A1583)</f>
        <v>2025</v>
      </c>
      <c r="F1583" s="12" t="n">
        <f aca="false">MONTH(A1583)</f>
        <v>5</v>
      </c>
      <c r="G1583" s="12" t="n">
        <v>15</v>
      </c>
      <c r="H1583" s="12" t="n">
        <v>33.8</v>
      </c>
      <c r="I1583" s="12" t="n">
        <v>62</v>
      </c>
      <c r="J1583" s="12" t="n">
        <v>1</v>
      </c>
      <c r="K1583" s="12" t="n">
        <v>0</v>
      </c>
      <c r="L1583" s="12" t="s">
        <v>34</v>
      </c>
    </row>
    <row r="1584" customFormat="false" ht="15" hidden="false" customHeight="false" outlineLevel="0" collapsed="false">
      <c r="A1584" s="11" t="n">
        <v>45779</v>
      </c>
      <c r="B1584" s="12" t="n">
        <v>8.5</v>
      </c>
      <c r="C1584" s="12" t="n">
        <f aca="false">IF(NOT(ISNUMBER(B1584)),"",ROUND((INDEX(BP!$D$5:$D$9,MATCH(B1584,BP!$A$5:$A$9,1))-INDEX(BP!$C$5:$C$9,MATCH(B1584,BP!$A$5:$A$9,1)))/(INDEX(BP!$B$5:$B$9,MATCH(B1584,BP!$A$5:$A$9,1))-INDEX(BP!$A$5:$A$9,MATCH(B1584,BP!$A$5:$A$9,1)))*(B1584-INDEX(BP!$A$5:$A$9,MATCH(B1584,BP!$A$5:$A$9,1)))+INDEX(BP!$C$5:$C$9,MATCH(B1584,BP!$A$5:$A$9,1)),0))</f>
        <v>14</v>
      </c>
      <c r="D1584" s="12" t="str">
        <f aca="false">IF(NOT(ISNUMBER(C1584)),"",INDEX(BP!$F$5:$F$9,MATCH(C1584,BP!$E$5:$E$9,1)))</f>
        <v>ดีมาก</v>
      </c>
      <c r="E1584" s="12" t="n">
        <f aca="false">YEAR(A1584)</f>
        <v>2025</v>
      </c>
      <c r="F1584" s="12" t="n">
        <f aca="false">MONTH(A1584)</f>
        <v>5</v>
      </c>
      <c r="G1584" s="12" t="n">
        <v>14.3</v>
      </c>
      <c r="H1584" s="12" t="n">
        <v>34.9</v>
      </c>
      <c r="I1584" s="12" t="n">
        <v>58</v>
      </c>
      <c r="J1584" s="12" t="n">
        <v>9.5</v>
      </c>
      <c r="K1584" s="12" t="n">
        <v>6.8</v>
      </c>
      <c r="L1584" s="12" t="s">
        <v>36</v>
      </c>
    </row>
    <row r="1585" customFormat="false" ht="15" hidden="false" customHeight="false" outlineLevel="0" collapsed="false">
      <c r="A1585" s="11" t="n">
        <v>45780</v>
      </c>
      <c r="B1585" s="12" t="n">
        <v>7.3</v>
      </c>
      <c r="C1585" s="12" t="n">
        <f aca="false">IF(NOT(ISNUMBER(B1585)),"",ROUND((INDEX(BP!$D$5:$D$9,MATCH(B1585,BP!$A$5:$A$9,1))-INDEX(BP!$C$5:$C$9,MATCH(B1585,BP!$A$5:$A$9,1)))/(INDEX(BP!$B$5:$B$9,MATCH(B1585,BP!$A$5:$A$9,1))-INDEX(BP!$A$5:$A$9,MATCH(B1585,BP!$A$5:$A$9,1)))*(B1585-INDEX(BP!$A$5:$A$9,MATCH(B1585,BP!$A$5:$A$9,1)))+INDEX(BP!$C$5:$C$9,MATCH(B1585,BP!$A$5:$A$9,1)),0))</f>
        <v>12</v>
      </c>
      <c r="D1585" s="12" t="str">
        <f aca="false">IF(NOT(ISNUMBER(C1585)),"",INDEX(BP!$F$5:$F$9,MATCH(C1585,BP!$E$5:$E$9,1)))</f>
        <v>ดีมาก</v>
      </c>
      <c r="E1585" s="12" t="n">
        <f aca="false">YEAR(A1585)</f>
        <v>2025</v>
      </c>
      <c r="F1585" s="12" t="n">
        <f aca="false">MONTH(A1585)</f>
        <v>5</v>
      </c>
      <c r="G1585" s="12" t="n">
        <v>11.8</v>
      </c>
      <c r="H1585" s="12" t="n">
        <v>28.1</v>
      </c>
      <c r="I1585" s="12" t="n">
        <v>19</v>
      </c>
      <c r="J1585" s="12" t="n">
        <v>13.8</v>
      </c>
      <c r="K1585" s="12" t="n">
        <v>1.2</v>
      </c>
      <c r="L1585" s="12" t="s">
        <v>35</v>
      </c>
    </row>
    <row r="1586" customFormat="false" ht="15" hidden="false" customHeight="false" outlineLevel="0" collapsed="false">
      <c r="A1586" s="11" t="n">
        <v>45781</v>
      </c>
      <c r="B1586" s="12" t="n">
        <v>7.4</v>
      </c>
      <c r="C1586" s="12" t="n">
        <f aca="false">IF(NOT(ISNUMBER(B1586)),"",ROUND((INDEX(BP!$D$5:$D$9,MATCH(B1586,BP!$A$5:$A$9,1))-INDEX(BP!$C$5:$C$9,MATCH(B1586,BP!$A$5:$A$9,1)))/(INDEX(BP!$B$5:$B$9,MATCH(B1586,BP!$A$5:$A$9,1))-INDEX(BP!$A$5:$A$9,MATCH(B1586,BP!$A$5:$A$9,1)))*(B1586-INDEX(BP!$A$5:$A$9,MATCH(B1586,BP!$A$5:$A$9,1)))+INDEX(BP!$C$5:$C$9,MATCH(B1586,BP!$A$5:$A$9,1)),0))</f>
        <v>12</v>
      </c>
      <c r="D1586" s="12" t="str">
        <f aca="false">IF(NOT(ISNUMBER(C1586)),"",INDEX(BP!$F$5:$F$9,MATCH(C1586,BP!$E$5:$E$9,1)))</f>
        <v>ดีมาก</v>
      </c>
      <c r="E1586" s="12" t="n">
        <f aca="false">YEAR(A1586)</f>
        <v>2025</v>
      </c>
      <c r="F1586" s="12" t="n">
        <f aca="false">MONTH(A1586)</f>
        <v>5</v>
      </c>
      <c r="G1586" s="12" t="n">
        <v>11.3</v>
      </c>
      <c r="H1586" s="12" t="n">
        <v>29.5</v>
      </c>
      <c r="I1586" s="12" t="n">
        <v>266</v>
      </c>
      <c r="J1586" s="12" t="n">
        <v>12.8</v>
      </c>
      <c r="K1586" s="12" t="n">
        <v>31.8</v>
      </c>
      <c r="L1586" s="12" t="s">
        <v>34</v>
      </c>
    </row>
    <row r="1587" customFormat="false" ht="15" hidden="false" customHeight="false" outlineLevel="0" collapsed="false">
      <c r="A1587" s="11" t="n">
        <v>45782</v>
      </c>
      <c r="B1587" s="12" t="n">
        <v>6.7</v>
      </c>
      <c r="C1587" s="12" t="n">
        <f aca="false">IF(NOT(ISNUMBER(B1587)),"",ROUND((INDEX(BP!$D$5:$D$9,MATCH(B1587,BP!$A$5:$A$9,1))-INDEX(BP!$C$5:$C$9,MATCH(B1587,BP!$A$5:$A$9,1)))/(INDEX(BP!$B$5:$B$9,MATCH(B1587,BP!$A$5:$A$9,1))-INDEX(BP!$A$5:$A$9,MATCH(B1587,BP!$A$5:$A$9,1)))*(B1587-INDEX(BP!$A$5:$A$9,MATCH(B1587,BP!$A$5:$A$9,1)))+INDEX(BP!$C$5:$C$9,MATCH(B1587,BP!$A$5:$A$9,1)),0))</f>
        <v>11</v>
      </c>
      <c r="D1587" s="12" t="str">
        <f aca="false">IF(NOT(ISNUMBER(C1587)),"",INDEX(BP!$F$5:$F$9,MATCH(C1587,BP!$E$5:$E$9,1)))</f>
        <v>ดีมาก</v>
      </c>
      <c r="E1587" s="12" t="n">
        <f aca="false">YEAR(A1587)</f>
        <v>2025</v>
      </c>
      <c r="F1587" s="12" t="n">
        <f aca="false">MONTH(A1587)</f>
        <v>5</v>
      </c>
      <c r="G1587" s="12" t="n">
        <v>14</v>
      </c>
      <c r="H1587" s="12" t="n">
        <v>26.3</v>
      </c>
      <c r="I1587" s="12" t="n">
        <v>220</v>
      </c>
      <c r="J1587" s="12" t="n">
        <v>9.6</v>
      </c>
      <c r="K1587" s="12" t="n">
        <v>1.2</v>
      </c>
      <c r="L1587" s="12" t="s">
        <v>34</v>
      </c>
    </row>
    <row r="1588" customFormat="false" ht="15" hidden="false" customHeight="false" outlineLevel="0" collapsed="false">
      <c r="A1588" s="11" t="n">
        <v>45783</v>
      </c>
      <c r="B1588" s="12" t="n">
        <v>6.2</v>
      </c>
      <c r="C1588" s="12" t="n">
        <f aca="false">IF(NOT(ISNUMBER(B1588)),"",ROUND((INDEX(BP!$D$5:$D$9,MATCH(B1588,BP!$A$5:$A$9,1))-INDEX(BP!$C$5:$C$9,MATCH(B1588,BP!$A$5:$A$9,1)))/(INDEX(BP!$B$5:$B$9,MATCH(B1588,BP!$A$5:$A$9,1))-INDEX(BP!$A$5:$A$9,MATCH(B1588,BP!$A$5:$A$9,1)))*(B1588-INDEX(BP!$A$5:$A$9,MATCH(B1588,BP!$A$5:$A$9,1)))+INDEX(BP!$C$5:$C$9,MATCH(B1588,BP!$A$5:$A$9,1)),0))</f>
        <v>10</v>
      </c>
      <c r="D1588" s="12" t="str">
        <f aca="false">IF(NOT(ISNUMBER(C1588)),"",INDEX(BP!$F$5:$F$9,MATCH(C1588,BP!$E$5:$E$9,1)))</f>
        <v>ดีมาก</v>
      </c>
      <c r="E1588" s="12" t="n">
        <f aca="false">YEAR(A1588)</f>
        <v>2025</v>
      </c>
      <c r="F1588" s="12" t="n">
        <f aca="false">MONTH(A1588)</f>
        <v>5</v>
      </c>
      <c r="G1588" s="12" t="n">
        <v>12.9</v>
      </c>
      <c r="H1588" s="12" t="n">
        <v>27</v>
      </c>
      <c r="I1588" s="12" t="n">
        <v>238</v>
      </c>
      <c r="J1588" s="12" t="n">
        <v>1</v>
      </c>
      <c r="K1588" s="12" t="n">
        <v>0</v>
      </c>
      <c r="L1588" s="12" t="s">
        <v>36</v>
      </c>
    </row>
    <row r="1589" customFormat="false" ht="15" hidden="false" customHeight="false" outlineLevel="0" collapsed="false">
      <c r="A1589" s="11" t="n">
        <v>45784</v>
      </c>
      <c r="B1589" s="12" t="n">
        <v>6</v>
      </c>
      <c r="C1589" s="12" t="n">
        <f aca="false">IF(NOT(ISNUMBER(B1589)),"",ROUND((INDEX(BP!$D$5:$D$9,MATCH(B1589,BP!$A$5:$A$9,1))-INDEX(BP!$C$5:$C$9,MATCH(B1589,BP!$A$5:$A$9,1)))/(INDEX(BP!$B$5:$B$9,MATCH(B1589,BP!$A$5:$A$9,1))-INDEX(BP!$A$5:$A$9,MATCH(B1589,BP!$A$5:$A$9,1)))*(B1589-INDEX(BP!$A$5:$A$9,MATCH(B1589,BP!$A$5:$A$9,1)))+INDEX(BP!$C$5:$C$9,MATCH(B1589,BP!$A$5:$A$9,1)),0))</f>
        <v>10</v>
      </c>
      <c r="D1589" s="12" t="str">
        <f aca="false">IF(NOT(ISNUMBER(C1589)),"",INDEX(BP!$F$5:$F$9,MATCH(C1589,BP!$E$5:$E$9,1)))</f>
        <v>ดีมาก</v>
      </c>
      <c r="E1589" s="12" t="n">
        <f aca="false">YEAR(A1589)</f>
        <v>2025</v>
      </c>
      <c r="F1589" s="12" t="n">
        <f aca="false">MONTH(A1589)</f>
        <v>5</v>
      </c>
      <c r="G1589" s="12" t="n">
        <v>13.6</v>
      </c>
      <c r="H1589" s="12" t="n">
        <v>32</v>
      </c>
      <c r="I1589" s="12" t="n">
        <v>237</v>
      </c>
      <c r="J1589" s="12" t="n">
        <v>2.6</v>
      </c>
      <c r="K1589" s="12" t="n">
        <v>0</v>
      </c>
      <c r="L1589" s="12" t="s">
        <v>36</v>
      </c>
    </row>
    <row r="1590" customFormat="false" ht="15" hidden="false" customHeight="false" outlineLevel="0" collapsed="false">
      <c r="A1590" s="11" t="n">
        <v>45785</v>
      </c>
      <c r="B1590" s="12" t="n">
        <v>6</v>
      </c>
      <c r="C1590" s="12" t="n">
        <f aca="false">IF(NOT(ISNUMBER(B1590)),"",ROUND((INDEX(BP!$D$5:$D$9,MATCH(B1590,BP!$A$5:$A$9,1))-INDEX(BP!$C$5:$C$9,MATCH(B1590,BP!$A$5:$A$9,1)))/(INDEX(BP!$B$5:$B$9,MATCH(B1590,BP!$A$5:$A$9,1))-INDEX(BP!$A$5:$A$9,MATCH(B1590,BP!$A$5:$A$9,1)))*(B1590-INDEX(BP!$A$5:$A$9,MATCH(B1590,BP!$A$5:$A$9,1)))+INDEX(BP!$C$5:$C$9,MATCH(B1590,BP!$A$5:$A$9,1)),0))</f>
        <v>10</v>
      </c>
      <c r="D1590" s="12" t="str">
        <f aca="false">IF(NOT(ISNUMBER(C1590)),"",INDEX(BP!$F$5:$F$9,MATCH(C1590,BP!$E$5:$E$9,1)))</f>
        <v>ดีมาก</v>
      </c>
      <c r="E1590" s="12" t="n">
        <f aca="false">YEAR(A1590)</f>
        <v>2025</v>
      </c>
      <c r="F1590" s="12" t="n">
        <f aca="false">MONTH(A1590)</f>
        <v>5</v>
      </c>
      <c r="G1590" s="12" t="n">
        <v>10.8</v>
      </c>
      <c r="H1590" s="12" t="n">
        <v>31</v>
      </c>
      <c r="I1590" s="12" t="n">
        <v>233</v>
      </c>
      <c r="J1590" s="12" t="n">
        <v>11.9</v>
      </c>
      <c r="K1590" s="12" t="n">
        <v>0</v>
      </c>
      <c r="L1590" s="12" t="s">
        <v>36</v>
      </c>
    </row>
    <row r="1591" customFormat="false" ht="15" hidden="false" customHeight="false" outlineLevel="0" collapsed="false">
      <c r="A1591" s="11" t="n">
        <v>45786</v>
      </c>
      <c r="B1591" s="12" t="n">
        <v>6.1</v>
      </c>
      <c r="C1591" s="12" t="n">
        <f aca="false">IF(NOT(ISNUMBER(B1591)),"",ROUND((INDEX(BP!$D$5:$D$9,MATCH(B1591,BP!$A$5:$A$9,1))-INDEX(BP!$C$5:$C$9,MATCH(B1591,BP!$A$5:$A$9,1)))/(INDEX(BP!$B$5:$B$9,MATCH(B1591,BP!$A$5:$A$9,1))-INDEX(BP!$A$5:$A$9,MATCH(B1591,BP!$A$5:$A$9,1)))*(B1591-INDEX(BP!$A$5:$A$9,MATCH(B1591,BP!$A$5:$A$9,1)))+INDEX(BP!$C$5:$C$9,MATCH(B1591,BP!$A$5:$A$9,1)),0))</f>
        <v>10</v>
      </c>
      <c r="D1591" s="12" t="str">
        <f aca="false">IF(NOT(ISNUMBER(C1591)),"",INDEX(BP!$F$5:$F$9,MATCH(C1591,BP!$E$5:$E$9,1)))</f>
        <v>ดีมาก</v>
      </c>
      <c r="E1591" s="12" t="n">
        <f aca="false">YEAR(A1591)</f>
        <v>2025</v>
      </c>
      <c r="F1591" s="12" t="n">
        <f aca="false">MONTH(A1591)</f>
        <v>5</v>
      </c>
      <c r="G1591" s="12" t="n">
        <v>14.9</v>
      </c>
      <c r="H1591" s="12" t="n">
        <v>29.5</v>
      </c>
      <c r="I1591" s="12" t="n">
        <v>231</v>
      </c>
      <c r="J1591" s="12" t="n">
        <v>0.4</v>
      </c>
      <c r="K1591" s="12" t="n">
        <v>0</v>
      </c>
      <c r="L1591" s="12" t="s">
        <v>34</v>
      </c>
    </row>
    <row r="1592" customFormat="false" ht="15" hidden="false" customHeight="false" outlineLevel="0" collapsed="false">
      <c r="A1592" s="11" t="n">
        <v>45787</v>
      </c>
      <c r="B1592" s="12" t="n">
        <v>5.8</v>
      </c>
      <c r="C1592" s="12" t="n">
        <f aca="false">IF(NOT(ISNUMBER(B1592)),"",ROUND((INDEX(BP!$D$5:$D$9,MATCH(B1592,BP!$A$5:$A$9,1))-INDEX(BP!$C$5:$C$9,MATCH(B1592,BP!$A$5:$A$9,1)))/(INDEX(BP!$B$5:$B$9,MATCH(B1592,BP!$A$5:$A$9,1))-INDEX(BP!$A$5:$A$9,MATCH(B1592,BP!$A$5:$A$9,1)))*(B1592-INDEX(BP!$A$5:$A$9,MATCH(B1592,BP!$A$5:$A$9,1)))+INDEX(BP!$C$5:$C$9,MATCH(B1592,BP!$A$5:$A$9,1)),0))</f>
        <v>10</v>
      </c>
      <c r="D1592" s="12" t="str">
        <f aca="false">IF(NOT(ISNUMBER(C1592)),"",INDEX(BP!$F$5:$F$9,MATCH(C1592,BP!$E$5:$E$9,1)))</f>
        <v>ดีมาก</v>
      </c>
      <c r="E1592" s="12" t="n">
        <f aca="false">YEAR(A1592)</f>
        <v>2025</v>
      </c>
      <c r="F1592" s="12" t="n">
        <f aca="false">MONTH(A1592)</f>
        <v>5</v>
      </c>
      <c r="G1592" s="12" t="n">
        <v>20.2</v>
      </c>
      <c r="H1592" s="12" t="n">
        <v>40.7</v>
      </c>
      <c r="I1592" s="12" t="n">
        <v>249</v>
      </c>
      <c r="J1592" s="12" t="n">
        <v>25.4</v>
      </c>
      <c r="K1592" s="12" t="n">
        <v>0</v>
      </c>
      <c r="L1592" s="12" t="s">
        <v>35</v>
      </c>
    </row>
    <row r="1593" customFormat="false" ht="15" hidden="false" customHeight="false" outlineLevel="0" collapsed="false">
      <c r="A1593" s="11" t="n">
        <v>45788</v>
      </c>
      <c r="B1593" s="12" t="n">
        <v>6.2</v>
      </c>
      <c r="C1593" s="12" t="n">
        <f aca="false">IF(NOT(ISNUMBER(B1593)),"",ROUND((INDEX(BP!$D$5:$D$9,MATCH(B1593,BP!$A$5:$A$9,1))-INDEX(BP!$C$5:$C$9,MATCH(B1593,BP!$A$5:$A$9,1)))/(INDEX(BP!$B$5:$B$9,MATCH(B1593,BP!$A$5:$A$9,1))-INDEX(BP!$A$5:$A$9,MATCH(B1593,BP!$A$5:$A$9,1)))*(B1593-INDEX(BP!$A$5:$A$9,MATCH(B1593,BP!$A$5:$A$9,1)))+INDEX(BP!$C$5:$C$9,MATCH(B1593,BP!$A$5:$A$9,1)),0))</f>
        <v>10</v>
      </c>
      <c r="D1593" s="12" t="str">
        <f aca="false">IF(NOT(ISNUMBER(C1593)),"",INDEX(BP!$F$5:$F$9,MATCH(C1593,BP!$E$5:$E$9,1)))</f>
        <v>ดีมาก</v>
      </c>
      <c r="E1593" s="12" t="n">
        <f aca="false">YEAR(A1593)</f>
        <v>2025</v>
      </c>
      <c r="F1593" s="12" t="n">
        <f aca="false">MONTH(A1593)</f>
        <v>5</v>
      </c>
      <c r="G1593" s="12" t="n">
        <v>17.8</v>
      </c>
      <c r="H1593" s="12" t="n">
        <v>37.8</v>
      </c>
      <c r="I1593" s="12" t="n">
        <v>238</v>
      </c>
      <c r="J1593" s="12" t="n">
        <v>0.7</v>
      </c>
      <c r="K1593" s="12" t="n">
        <v>0</v>
      </c>
      <c r="L1593" s="12" t="s">
        <v>34</v>
      </c>
    </row>
    <row r="1594" customFormat="false" ht="15" hidden="false" customHeight="false" outlineLevel="0" collapsed="false">
      <c r="A1594" s="11" t="n">
        <v>45789</v>
      </c>
      <c r="B1594" s="12" t="n">
        <v>6.1</v>
      </c>
      <c r="C1594" s="12" t="n">
        <f aca="false">IF(NOT(ISNUMBER(B1594)),"",ROUND((INDEX(BP!$D$5:$D$9,MATCH(B1594,BP!$A$5:$A$9,1))-INDEX(BP!$C$5:$C$9,MATCH(B1594,BP!$A$5:$A$9,1)))/(INDEX(BP!$B$5:$B$9,MATCH(B1594,BP!$A$5:$A$9,1))-INDEX(BP!$A$5:$A$9,MATCH(B1594,BP!$A$5:$A$9,1)))*(B1594-INDEX(BP!$A$5:$A$9,MATCH(B1594,BP!$A$5:$A$9,1)))+INDEX(BP!$C$5:$C$9,MATCH(B1594,BP!$A$5:$A$9,1)),0))</f>
        <v>10</v>
      </c>
      <c r="D1594" s="12" t="str">
        <f aca="false">IF(NOT(ISNUMBER(C1594)),"",INDEX(BP!$F$5:$F$9,MATCH(C1594,BP!$E$5:$E$9,1)))</f>
        <v>ดีมาก</v>
      </c>
      <c r="E1594" s="12" t="n">
        <f aca="false">YEAR(A1594)</f>
        <v>2025</v>
      </c>
      <c r="F1594" s="12" t="n">
        <f aca="false">MONTH(A1594)</f>
        <v>5</v>
      </c>
      <c r="G1594" s="12" t="n">
        <v>11.5</v>
      </c>
      <c r="H1594" s="12" t="n">
        <v>31.7</v>
      </c>
      <c r="I1594" s="12" t="n">
        <v>231</v>
      </c>
      <c r="J1594" s="12" t="n">
        <v>10.8</v>
      </c>
      <c r="K1594" s="12" t="n">
        <v>0</v>
      </c>
      <c r="L1594" s="12" t="s">
        <v>34</v>
      </c>
    </row>
    <row r="1595" customFormat="false" ht="15" hidden="false" customHeight="false" outlineLevel="0" collapsed="false">
      <c r="A1595" s="11" t="n">
        <v>45790</v>
      </c>
      <c r="B1595" s="12" t="n">
        <v>6.4</v>
      </c>
      <c r="C1595" s="12" t="n">
        <f aca="false">IF(NOT(ISNUMBER(B1595)),"",ROUND((INDEX(BP!$D$5:$D$9,MATCH(B1595,BP!$A$5:$A$9,1))-INDEX(BP!$C$5:$C$9,MATCH(B1595,BP!$A$5:$A$9,1)))/(INDEX(BP!$B$5:$B$9,MATCH(B1595,BP!$A$5:$A$9,1))-INDEX(BP!$A$5:$A$9,MATCH(B1595,BP!$A$5:$A$9,1)))*(B1595-INDEX(BP!$A$5:$A$9,MATCH(B1595,BP!$A$5:$A$9,1)))+INDEX(BP!$C$5:$C$9,MATCH(B1595,BP!$A$5:$A$9,1)),0))</f>
        <v>11</v>
      </c>
      <c r="D1595" s="12" t="str">
        <f aca="false">IF(NOT(ISNUMBER(C1595)),"",INDEX(BP!$F$5:$F$9,MATCH(C1595,BP!$E$5:$E$9,1)))</f>
        <v>ดีมาก</v>
      </c>
      <c r="E1595" s="12" t="n">
        <f aca="false">YEAR(A1595)</f>
        <v>2025</v>
      </c>
      <c r="F1595" s="12" t="n">
        <f aca="false">MONTH(A1595)</f>
        <v>5</v>
      </c>
      <c r="G1595" s="12" t="n">
        <v>13.2</v>
      </c>
      <c r="H1595" s="12" t="n">
        <v>29.5</v>
      </c>
      <c r="I1595" s="12" t="n">
        <v>140</v>
      </c>
      <c r="J1595" s="12" t="n">
        <v>4.3</v>
      </c>
      <c r="K1595" s="12" t="n">
        <v>6.4</v>
      </c>
      <c r="L1595" s="12" t="s">
        <v>36</v>
      </c>
    </row>
    <row r="1596" customFormat="false" ht="15" hidden="false" customHeight="false" outlineLevel="0" collapsed="false">
      <c r="A1596" s="11" t="n">
        <v>45791</v>
      </c>
      <c r="B1596" s="12" t="n">
        <v>6.4</v>
      </c>
      <c r="C1596" s="12" t="n">
        <f aca="false">IF(NOT(ISNUMBER(B1596)),"",ROUND((INDEX(BP!$D$5:$D$9,MATCH(B1596,BP!$A$5:$A$9,1))-INDEX(BP!$C$5:$C$9,MATCH(B1596,BP!$A$5:$A$9,1)))/(INDEX(BP!$B$5:$B$9,MATCH(B1596,BP!$A$5:$A$9,1))-INDEX(BP!$A$5:$A$9,MATCH(B1596,BP!$A$5:$A$9,1)))*(B1596-INDEX(BP!$A$5:$A$9,MATCH(B1596,BP!$A$5:$A$9,1)))+INDEX(BP!$C$5:$C$9,MATCH(B1596,BP!$A$5:$A$9,1)),0))</f>
        <v>11</v>
      </c>
      <c r="D1596" s="12" t="str">
        <f aca="false">IF(NOT(ISNUMBER(C1596)),"",INDEX(BP!$F$5:$F$9,MATCH(C1596,BP!$E$5:$E$9,1)))</f>
        <v>ดีมาก</v>
      </c>
      <c r="E1596" s="12" t="n">
        <f aca="false">YEAR(A1596)</f>
        <v>2025</v>
      </c>
      <c r="F1596" s="12" t="n">
        <f aca="false">MONTH(A1596)</f>
        <v>5</v>
      </c>
      <c r="G1596" s="12" t="n">
        <v>11.4</v>
      </c>
      <c r="H1596" s="12" t="n">
        <v>25.9</v>
      </c>
      <c r="I1596" s="12" t="n">
        <v>121</v>
      </c>
      <c r="J1596" s="12" t="n">
        <v>23.9</v>
      </c>
      <c r="K1596" s="12" t="n">
        <v>0.2</v>
      </c>
      <c r="L1596" s="12" t="s">
        <v>36</v>
      </c>
    </row>
    <row r="1597" customFormat="false" ht="15" hidden="false" customHeight="false" outlineLevel="0" collapsed="false">
      <c r="A1597" s="11" t="n">
        <v>45792</v>
      </c>
      <c r="B1597" s="12" t="n">
        <v>7.7</v>
      </c>
      <c r="C1597" s="12" t="n">
        <f aca="false">IF(NOT(ISNUMBER(B1597)),"",ROUND((INDEX(BP!$D$5:$D$9,MATCH(B1597,BP!$A$5:$A$9,1))-INDEX(BP!$C$5:$C$9,MATCH(B1597,BP!$A$5:$A$9,1)))/(INDEX(BP!$B$5:$B$9,MATCH(B1597,BP!$A$5:$A$9,1))-INDEX(BP!$A$5:$A$9,MATCH(B1597,BP!$A$5:$A$9,1)))*(B1597-INDEX(BP!$A$5:$A$9,MATCH(B1597,BP!$A$5:$A$9,1)))+INDEX(BP!$C$5:$C$9,MATCH(B1597,BP!$A$5:$A$9,1)),0))</f>
        <v>13</v>
      </c>
      <c r="D1597" s="12" t="str">
        <f aca="false">IF(NOT(ISNUMBER(C1597)),"",INDEX(BP!$F$5:$F$9,MATCH(C1597,BP!$E$5:$E$9,1)))</f>
        <v>ดีมาก</v>
      </c>
      <c r="E1597" s="12" t="n">
        <f aca="false">YEAR(A1597)</f>
        <v>2025</v>
      </c>
      <c r="F1597" s="12" t="n">
        <f aca="false">MONTH(A1597)</f>
        <v>5</v>
      </c>
      <c r="G1597" s="12" t="n">
        <v>12.8</v>
      </c>
      <c r="H1597" s="12" t="n">
        <v>31.7</v>
      </c>
      <c r="I1597" s="12" t="n">
        <v>132</v>
      </c>
      <c r="J1597" s="12" t="n">
        <v>6.8</v>
      </c>
      <c r="K1597" s="12" t="n">
        <v>13.8</v>
      </c>
      <c r="L1597" s="12" t="s">
        <v>36</v>
      </c>
    </row>
    <row r="1598" customFormat="false" ht="15" hidden="false" customHeight="false" outlineLevel="0" collapsed="false">
      <c r="A1598" s="11" t="n">
        <v>45793</v>
      </c>
      <c r="B1598" s="12" t="n">
        <v>9.3</v>
      </c>
      <c r="C1598" s="12" t="n">
        <f aca="false">IF(NOT(ISNUMBER(B1598)),"",ROUND((INDEX(BP!$D$5:$D$9,MATCH(B1598,BP!$A$5:$A$9,1))-INDEX(BP!$C$5:$C$9,MATCH(B1598,BP!$A$5:$A$9,1)))/(INDEX(BP!$B$5:$B$9,MATCH(B1598,BP!$A$5:$A$9,1))-INDEX(BP!$A$5:$A$9,MATCH(B1598,BP!$A$5:$A$9,1)))*(B1598-INDEX(BP!$A$5:$A$9,MATCH(B1598,BP!$A$5:$A$9,1)))+INDEX(BP!$C$5:$C$9,MATCH(B1598,BP!$A$5:$A$9,1)),0))</f>
        <v>16</v>
      </c>
      <c r="D1598" s="12" t="str">
        <f aca="false">IF(NOT(ISNUMBER(C1598)),"",INDEX(BP!$F$5:$F$9,MATCH(C1598,BP!$E$5:$E$9,1)))</f>
        <v>ดีมาก</v>
      </c>
      <c r="E1598" s="12" t="n">
        <f aca="false">YEAR(A1598)</f>
        <v>2025</v>
      </c>
      <c r="F1598" s="12" t="n">
        <f aca="false">MONTH(A1598)</f>
        <v>5</v>
      </c>
      <c r="G1598" s="12" t="n">
        <v>12.3</v>
      </c>
      <c r="H1598" s="12" t="n">
        <v>25.2</v>
      </c>
      <c r="I1598" s="12" t="n">
        <v>95</v>
      </c>
      <c r="J1598" s="12" t="n">
        <v>19.5</v>
      </c>
      <c r="K1598" s="12" t="n">
        <v>0.4</v>
      </c>
      <c r="L1598" s="12" t="s">
        <v>36</v>
      </c>
    </row>
    <row r="1599" customFormat="false" ht="15" hidden="false" customHeight="false" outlineLevel="0" collapsed="false">
      <c r="A1599" s="11" t="n">
        <v>45794</v>
      </c>
      <c r="B1599" s="12" t="n">
        <v>8.8</v>
      </c>
      <c r="C1599" s="12" t="n">
        <f aca="false">IF(NOT(ISNUMBER(B1599)),"",ROUND((INDEX(BP!$D$5:$D$9,MATCH(B1599,BP!$A$5:$A$9,1))-INDEX(BP!$C$5:$C$9,MATCH(B1599,BP!$A$5:$A$9,1)))/(INDEX(BP!$B$5:$B$9,MATCH(B1599,BP!$A$5:$A$9,1))-INDEX(BP!$A$5:$A$9,MATCH(B1599,BP!$A$5:$A$9,1)))*(B1599-INDEX(BP!$A$5:$A$9,MATCH(B1599,BP!$A$5:$A$9,1)))+INDEX(BP!$C$5:$C$9,MATCH(B1599,BP!$A$5:$A$9,1)),0))</f>
        <v>15</v>
      </c>
      <c r="D1599" s="12" t="str">
        <f aca="false">IF(NOT(ISNUMBER(C1599)),"",INDEX(BP!$F$5:$F$9,MATCH(C1599,BP!$E$5:$E$9,1)))</f>
        <v>ดีมาก</v>
      </c>
      <c r="E1599" s="12" t="n">
        <f aca="false">YEAR(A1599)</f>
        <v>2025</v>
      </c>
      <c r="F1599" s="12" t="n">
        <f aca="false">MONTH(A1599)</f>
        <v>5</v>
      </c>
      <c r="G1599" s="12" t="n">
        <v>11.8</v>
      </c>
      <c r="H1599" s="12" t="n">
        <v>31</v>
      </c>
      <c r="I1599" s="12" t="n">
        <v>84</v>
      </c>
      <c r="J1599" s="12" t="n">
        <v>17.1</v>
      </c>
      <c r="K1599" s="12" t="n">
        <v>6.6</v>
      </c>
      <c r="L1599" s="12" t="s">
        <v>35</v>
      </c>
    </row>
    <row r="1600" customFormat="false" ht="15" hidden="false" customHeight="false" outlineLevel="0" collapsed="false">
      <c r="A1600" s="11" t="n">
        <v>45795</v>
      </c>
      <c r="B1600" s="12" t="n">
        <v>7.2</v>
      </c>
      <c r="C1600" s="12" t="n">
        <f aca="false">IF(NOT(ISNUMBER(B1600)),"",ROUND((INDEX(BP!$D$5:$D$9,MATCH(B1600,BP!$A$5:$A$9,1))-INDEX(BP!$C$5:$C$9,MATCH(B1600,BP!$A$5:$A$9,1)))/(INDEX(BP!$B$5:$B$9,MATCH(B1600,BP!$A$5:$A$9,1))-INDEX(BP!$A$5:$A$9,MATCH(B1600,BP!$A$5:$A$9,1)))*(B1600-INDEX(BP!$A$5:$A$9,MATCH(B1600,BP!$A$5:$A$9,1)))+INDEX(BP!$C$5:$C$9,MATCH(B1600,BP!$A$5:$A$9,1)),0))</f>
        <v>12</v>
      </c>
      <c r="D1600" s="12" t="str">
        <f aca="false">IF(NOT(ISNUMBER(C1600)),"",INDEX(BP!$F$5:$F$9,MATCH(C1600,BP!$E$5:$E$9,1)))</f>
        <v>ดีมาก</v>
      </c>
      <c r="E1600" s="12" t="n">
        <f aca="false">YEAR(A1600)</f>
        <v>2025</v>
      </c>
      <c r="F1600" s="12" t="n">
        <f aca="false">MONTH(A1600)</f>
        <v>5</v>
      </c>
      <c r="G1600" s="12" t="n">
        <v>12.4</v>
      </c>
      <c r="H1600" s="12" t="n">
        <v>29.5</v>
      </c>
      <c r="I1600" s="12" t="n">
        <v>46</v>
      </c>
      <c r="J1600" s="12" t="n">
        <v>6.8</v>
      </c>
      <c r="K1600" s="12" t="n">
        <v>56.8</v>
      </c>
      <c r="L1600" s="12" t="s">
        <v>35</v>
      </c>
    </row>
    <row r="1601" customFormat="false" ht="15" hidden="false" customHeight="false" outlineLevel="0" collapsed="false">
      <c r="A1601" s="11" t="n">
        <v>45796</v>
      </c>
      <c r="B1601" s="12" t="n">
        <v>6.6</v>
      </c>
      <c r="C1601" s="12" t="n">
        <f aca="false">IF(NOT(ISNUMBER(B1601)),"",ROUND((INDEX(BP!$D$5:$D$9,MATCH(B1601,BP!$A$5:$A$9,1))-INDEX(BP!$C$5:$C$9,MATCH(B1601,BP!$A$5:$A$9,1)))/(INDEX(BP!$B$5:$B$9,MATCH(B1601,BP!$A$5:$A$9,1))-INDEX(BP!$A$5:$A$9,MATCH(B1601,BP!$A$5:$A$9,1)))*(B1601-INDEX(BP!$A$5:$A$9,MATCH(B1601,BP!$A$5:$A$9,1)))+INDEX(BP!$C$5:$C$9,MATCH(B1601,BP!$A$5:$A$9,1)),0))</f>
        <v>11</v>
      </c>
      <c r="D1601" s="12" t="str">
        <f aca="false">IF(NOT(ISNUMBER(C1601)),"",INDEX(BP!$F$5:$F$9,MATCH(C1601,BP!$E$5:$E$9,1)))</f>
        <v>ดีมาก</v>
      </c>
      <c r="E1601" s="12" t="n">
        <f aca="false">YEAR(A1601)</f>
        <v>2025</v>
      </c>
      <c r="F1601" s="12" t="n">
        <f aca="false">MONTH(A1601)</f>
        <v>5</v>
      </c>
      <c r="G1601" s="12" t="n">
        <v>15.1</v>
      </c>
      <c r="H1601" s="12" t="n">
        <v>33.8</v>
      </c>
      <c r="I1601" s="12" t="n">
        <v>47</v>
      </c>
      <c r="J1601" s="12" t="n">
        <v>1.4</v>
      </c>
      <c r="K1601" s="12" t="n">
        <v>0.2</v>
      </c>
      <c r="L1601" s="12" t="s">
        <v>36</v>
      </c>
    </row>
    <row r="1602" customFormat="false" ht="15" hidden="false" customHeight="false" outlineLevel="0" collapsed="false">
      <c r="A1602" s="11" t="n">
        <v>45797</v>
      </c>
      <c r="B1602" s="12" t="n">
        <v>7.4</v>
      </c>
      <c r="C1602" s="12" t="n">
        <f aca="false">IF(NOT(ISNUMBER(B1602)),"",ROUND((INDEX(BP!$D$5:$D$9,MATCH(B1602,BP!$A$5:$A$9,1))-INDEX(BP!$C$5:$C$9,MATCH(B1602,BP!$A$5:$A$9,1)))/(INDEX(BP!$B$5:$B$9,MATCH(B1602,BP!$A$5:$A$9,1))-INDEX(BP!$A$5:$A$9,MATCH(B1602,BP!$A$5:$A$9,1)))*(B1602-INDEX(BP!$A$5:$A$9,MATCH(B1602,BP!$A$5:$A$9,1)))+INDEX(BP!$C$5:$C$9,MATCH(B1602,BP!$A$5:$A$9,1)),0))</f>
        <v>12</v>
      </c>
      <c r="D1602" s="12" t="str">
        <f aca="false">IF(NOT(ISNUMBER(C1602)),"",INDEX(BP!$F$5:$F$9,MATCH(C1602,BP!$E$5:$E$9,1)))</f>
        <v>ดีมาก</v>
      </c>
      <c r="E1602" s="12" t="n">
        <f aca="false">YEAR(A1602)</f>
        <v>2025</v>
      </c>
      <c r="F1602" s="12" t="n">
        <f aca="false">MONTH(A1602)</f>
        <v>5</v>
      </c>
      <c r="G1602" s="12" t="n">
        <v>11.7</v>
      </c>
      <c r="H1602" s="12" t="n">
        <v>28.4</v>
      </c>
      <c r="I1602" s="12" t="n">
        <v>279</v>
      </c>
      <c r="J1602" s="12" t="n">
        <v>11.6</v>
      </c>
      <c r="K1602" s="12" t="n">
        <v>15.6</v>
      </c>
      <c r="L1602" s="12" t="s">
        <v>36</v>
      </c>
    </row>
    <row r="1603" customFormat="false" ht="15" hidden="false" customHeight="false" outlineLevel="0" collapsed="false">
      <c r="A1603" s="11" t="n">
        <v>45798</v>
      </c>
      <c r="B1603" s="12" t="n">
        <v>6.6</v>
      </c>
      <c r="C1603" s="12" t="n">
        <f aca="false">IF(NOT(ISNUMBER(B1603)),"",ROUND((INDEX(BP!$D$5:$D$9,MATCH(B1603,BP!$A$5:$A$9,1))-INDEX(BP!$C$5:$C$9,MATCH(B1603,BP!$A$5:$A$9,1)))/(INDEX(BP!$B$5:$B$9,MATCH(B1603,BP!$A$5:$A$9,1))-INDEX(BP!$A$5:$A$9,MATCH(B1603,BP!$A$5:$A$9,1)))*(B1603-INDEX(BP!$A$5:$A$9,MATCH(B1603,BP!$A$5:$A$9,1)))+INDEX(BP!$C$5:$C$9,MATCH(B1603,BP!$A$5:$A$9,1)),0))</f>
        <v>11</v>
      </c>
      <c r="D1603" s="12" t="str">
        <f aca="false">IF(NOT(ISNUMBER(C1603)),"",INDEX(BP!$F$5:$F$9,MATCH(C1603,BP!$E$5:$E$9,1)))</f>
        <v>ดีมาก</v>
      </c>
      <c r="E1603" s="12" t="n">
        <f aca="false">YEAR(A1603)</f>
        <v>2025</v>
      </c>
      <c r="F1603" s="12" t="n">
        <f aca="false">MONTH(A1603)</f>
        <v>5</v>
      </c>
      <c r="G1603" s="12" t="n">
        <v>17.5</v>
      </c>
      <c r="H1603" s="12" t="n">
        <v>37.8</v>
      </c>
      <c r="I1603" s="12" t="n">
        <v>233</v>
      </c>
      <c r="J1603" s="12" t="n">
        <v>19.3</v>
      </c>
      <c r="K1603" s="12" t="n">
        <v>9</v>
      </c>
      <c r="L1603" s="12" t="s">
        <v>36</v>
      </c>
    </row>
    <row r="1604" customFormat="false" ht="15" hidden="false" customHeight="false" outlineLevel="0" collapsed="false">
      <c r="A1604" s="11" t="n">
        <v>45799</v>
      </c>
      <c r="B1604" s="12" t="n">
        <v>6.7</v>
      </c>
      <c r="C1604" s="12" t="n">
        <f aca="false">IF(NOT(ISNUMBER(B1604)),"",ROUND((INDEX(BP!$D$5:$D$9,MATCH(B1604,BP!$A$5:$A$9,1))-INDEX(BP!$C$5:$C$9,MATCH(B1604,BP!$A$5:$A$9,1)))/(INDEX(BP!$B$5:$B$9,MATCH(B1604,BP!$A$5:$A$9,1))-INDEX(BP!$A$5:$A$9,MATCH(B1604,BP!$A$5:$A$9,1)))*(B1604-INDEX(BP!$A$5:$A$9,MATCH(B1604,BP!$A$5:$A$9,1)))+INDEX(BP!$C$5:$C$9,MATCH(B1604,BP!$A$5:$A$9,1)),0))</f>
        <v>11</v>
      </c>
      <c r="D1604" s="12" t="str">
        <f aca="false">IF(NOT(ISNUMBER(C1604)),"",INDEX(BP!$F$5:$F$9,MATCH(C1604,BP!$E$5:$E$9,1)))</f>
        <v>ดีมาก</v>
      </c>
      <c r="E1604" s="12" t="n">
        <f aca="false">YEAR(A1604)</f>
        <v>2025</v>
      </c>
      <c r="F1604" s="12" t="n">
        <f aca="false">MONTH(A1604)</f>
        <v>5</v>
      </c>
      <c r="G1604" s="12" t="n">
        <v>16.5</v>
      </c>
      <c r="H1604" s="12" t="n">
        <v>36.4</v>
      </c>
      <c r="I1604" s="12" t="n">
        <v>241</v>
      </c>
      <c r="J1604" s="12" t="n">
        <v>3</v>
      </c>
      <c r="K1604" s="12" t="n">
        <v>0</v>
      </c>
      <c r="L1604" s="12" t="s">
        <v>36</v>
      </c>
    </row>
    <row r="1605" customFormat="false" ht="15" hidden="false" customHeight="false" outlineLevel="0" collapsed="false">
      <c r="A1605" s="11" t="n">
        <v>45800</v>
      </c>
      <c r="B1605" s="12" t="n">
        <v>5.9</v>
      </c>
      <c r="C1605" s="12" t="n">
        <f aca="false">IF(NOT(ISNUMBER(B1605)),"",ROUND((INDEX(BP!$D$5:$D$9,MATCH(B1605,BP!$A$5:$A$9,1))-INDEX(BP!$C$5:$C$9,MATCH(B1605,BP!$A$5:$A$9,1)))/(INDEX(BP!$B$5:$B$9,MATCH(B1605,BP!$A$5:$A$9,1))-INDEX(BP!$A$5:$A$9,MATCH(B1605,BP!$A$5:$A$9,1)))*(B1605-INDEX(BP!$A$5:$A$9,MATCH(B1605,BP!$A$5:$A$9,1)))+INDEX(BP!$C$5:$C$9,MATCH(B1605,BP!$A$5:$A$9,1)),0))</f>
        <v>10</v>
      </c>
      <c r="D1605" s="12" t="str">
        <f aca="false">IF(NOT(ISNUMBER(C1605)),"",INDEX(BP!$F$5:$F$9,MATCH(C1605,BP!$E$5:$E$9,1)))</f>
        <v>ดีมาก</v>
      </c>
      <c r="E1605" s="12" t="n">
        <f aca="false">YEAR(A1605)</f>
        <v>2025</v>
      </c>
      <c r="F1605" s="12" t="n">
        <f aca="false">MONTH(A1605)</f>
        <v>5</v>
      </c>
      <c r="G1605" s="12" t="n">
        <v>14.8</v>
      </c>
      <c r="H1605" s="12" t="n">
        <v>43.2</v>
      </c>
      <c r="I1605" s="12" t="n">
        <v>237</v>
      </c>
      <c r="J1605" s="12" t="n">
        <v>7.3</v>
      </c>
      <c r="K1605" s="12" t="n">
        <v>1.2</v>
      </c>
      <c r="L1605" s="12" t="s">
        <v>36</v>
      </c>
    </row>
    <row r="1606" customFormat="false" ht="15" hidden="false" customHeight="false" outlineLevel="0" collapsed="false">
      <c r="A1606" s="11" t="n">
        <v>45801</v>
      </c>
      <c r="B1606" s="12" t="n">
        <v>5.8</v>
      </c>
      <c r="C1606" s="12" t="n">
        <f aca="false">IF(NOT(ISNUMBER(B1606)),"",ROUND((INDEX(BP!$D$5:$D$9,MATCH(B1606,BP!$A$5:$A$9,1))-INDEX(BP!$C$5:$C$9,MATCH(B1606,BP!$A$5:$A$9,1)))/(INDEX(BP!$B$5:$B$9,MATCH(B1606,BP!$A$5:$A$9,1))-INDEX(BP!$A$5:$A$9,MATCH(B1606,BP!$A$5:$A$9,1)))*(B1606-INDEX(BP!$A$5:$A$9,MATCH(B1606,BP!$A$5:$A$9,1)))+INDEX(BP!$C$5:$C$9,MATCH(B1606,BP!$A$5:$A$9,1)),0))</f>
        <v>10</v>
      </c>
      <c r="D1606" s="12" t="str">
        <f aca="false">IF(NOT(ISNUMBER(C1606)),"",INDEX(BP!$F$5:$F$9,MATCH(C1606,BP!$E$5:$E$9,1)))</f>
        <v>ดีมาก</v>
      </c>
      <c r="E1606" s="12" t="n">
        <f aca="false">YEAR(A1606)</f>
        <v>2025</v>
      </c>
      <c r="F1606" s="12" t="n">
        <f aca="false">MONTH(A1606)</f>
        <v>5</v>
      </c>
      <c r="G1606" s="12" t="n">
        <v>15.9</v>
      </c>
      <c r="H1606" s="12" t="n">
        <v>42.5</v>
      </c>
      <c r="I1606" s="12" t="n">
        <v>249</v>
      </c>
      <c r="J1606" s="12" t="n">
        <v>2.5</v>
      </c>
      <c r="K1606" s="12" t="n">
        <v>8.4</v>
      </c>
      <c r="L1606" s="12" t="s">
        <v>35</v>
      </c>
    </row>
    <row r="1607" customFormat="false" ht="15" hidden="false" customHeight="false" outlineLevel="0" collapsed="false">
      <c r="A1607" s="11" t="n">
        <v>45802</v>
      </c>
      <c r="B1607" s="12" t="n">
        <v>5.9</v>
      </c>
      <c r="C1607" s="12" t="n">
        <f aca="false">IF(NOT(ISNUMBER(B1607)),"",ROUND((INDEX(BP!$D$5:$D$9,MATCH(B1607,BP!$A$5:$A$9,1))-INDEX(BP!$C$5:$C$9,MATCH(B1607,BP!$A$5:$A$9,1)))/(INDEX(BP!$B$5:$B$9,MATCH(B1607,BP!$A$5:$A$9,1))-INDEX(BP!$A$5:$A$9,MATCH(B1607,BP!$A$5:$A$9,1)))*(B1607-INDEX(BP!$A$5:$A$9,MATCH(B1607,BP!$A$5:$A$9,1)))+INDEX(BP!$C$5:$C$9,MATCH(B1607,BP!$A$5:$A$9,1)),0))</f>
        <v>10</v>
      </c>
      <c r="D1607" s="12" t="str">
        <f aca="false">IF(NOT(ISNUMBER(C1607)),"",INDEX(BP!$F$5:$F$9,MATCH(C1607,BP!$E$5:$E$9,1)))</f>
        <v>ดีมาก</v>
      </c>
      <c r="E1607" s="12" t="n">
        <f aca="false">YEAR(A1607)</f>
        <v>2025</v>
      </c>
      <c r="F1607" s="12" t="n">
        <f aca="false">MONTH(A1607)</f>
        <v>5</v>
      </c>
      <c r="G1607" s="12" t="n">
        <v>20.2</v>
      </c>
      <c r="H1607" s="12" t="n">
        <v>34.9</v>
      </c>
      <c r="I1607" s="12" t="n">
        <v>245</v>
      </c>
      <c r="J1607" s="12" t="n">
        <v>14.3</v>
      </c>
      <c r="K1607" s="12" t="n">
        <v>3.6</v>
      </c>
      <c r="L1607" s="12" t="s">
        <v>35</v>
      </c>
    </row>
    <row r="1608" customFormat="false" ht="15" hidden="false" customHeight="false" outlineLevel="0" collapsed="false">
      <c r="A1608" s="11" t="n">
        <v>45803</v>
      </c>
      <c r="B1608" s="12" t="n">
        <v>5.9</v>
      </c>
      <c r="C1608" s="12" t="n">
        <f aca="false">IF(NOT(ISNUMBER(B1608)),"",ROUND((INDEX(BP!$D$5:$D$9,MATCH(B1608,BP!$A$5:$A$9,1))-INDEX(BP!$C$5:$C$9,MATCH(B1608,BP!$A$5:$A$9,1)))/(INDEX(BP!$B$5:$B$9,MATCH(B1608,BP!$A$5:$A$9,1))-INDEX(BP!$A$5:$A$9,MATCH(B1608,BP!$A$5:$A$9,1)))*(B1608-INDEX(BP!$A$5:$A$9,MATCH(B1608,BP!$A$5:$A$9,1)))+INDEX(BP!$C$5:$C$9,MATCH(B1608,BP!$A$5:$A$9,1)),0))</f>
        <v>10</v>
      </c>
      <c r="D1608" s="12" t="str">
        <f aca="false">IF(NOT(ISNUMBER(C1608)),"",INDEX(BP!$F$5:$F$9,MATCH(C1608,BP!$E$5:$E$9,1)))</f>
        <v>ดีมาก</v>
      </c>
      <c r="E1608" s="12" t="n">
        <f aca="false">YEAR(A1608)</f>
        <v>2025</v>
      </c>
      <c r="F1608" s="12" t="n">
        <f aca="false">MONTH(A1608)</f>
        <v>5</v>
      </c>
      <c r="G1608" s="12" t="n">
        <v>23.1</v>
      </c>
      <c r="H1608" s="12" t="n">
        <v>44.6</v>
      </c>
      <c r="I1608" s="12" t="n">
        <v>223</v>
      </c>
      <c r="J1608" s="12" t="n">
        <v>1.6</v>
      </c>
      <c r="K1608" s="12" t="n">
        <v>5.6</v>
      </c>
      <c r="L1608" s="12" t="s">
        <v>36</v>
      </c>
    </row>
    <row r="1609" customFormat="false" ht="15" hidden="false" customHeight="false" outlineLevel="0" collapsed="false">
      <c r="A1609" s="11" t="n">
        <v>45804</v>
      </c>
      <c r="B1609" s="12" t="n">
        <v>5.9</v>
      </c>
      <c r="C1609" s="12" t="n">
        <f aca="false">IF(NOT(ISNUMBER(B1609)),"",ROUND((INDEX(BP!$D$5:$D$9,MATCH(B1609,BP!$A$5:$A$9,1))-INDEX(BP!$C$5:$C$9,MATCH(B1609,BP!$A$5:$A$9,1)))/(INDEX(BP!$B$5:$B$9,MATCH(B1609,BP!$A$5:$A$9,1))-INDEX(BP!$A$5:$A$9,MATCH(B1609,BP!$A$5:$A$9,1)))*(B1609-INDEX(BP!$A$5:$A$9,MATCH(B1609,BP!$A$5:$A$9,1)))+INDEX(BP!$C$5:$C$9,MATCH(B1609,BP!$A$5:$A$9,1)),0))</f>
        <v>10</v>
      </c>
      <c r="D1609" s="12" t="str">
        <f aca="false">IF(NOT(ISNUMBER(C1609)),"",INDEX(BP!$F$5:$F$9,MATCH(C1609,BP!$E$5:$E$9,1)))</f>
        <v>ดีมาก</v>
      </c>
      <c r="E1609" s="12" t="n">
        <f aca="false">YEAR(A1609)</f>
        <v>2025</v>
      </c>
      <c r="F1609" s="12" t="n">
        <f aca="false">MONTH(A1609)</f>
        <v>5</v>
      </c>
      <c r="G1609" s="12" t="n">
        <v>13.2</v>
      </c>
      <c r="H1609" s="12" t="n">
        <v>36</v>
      </c>
      <c r="I1609" s="12" t="n">
        <v>233</v>
      </c>
      <c r="J1609" s="12" t="n">
        <v>11.6</v>
      </c>
      <c r="K1609" s="12" t="n">
        <v>0</v>
      </c>
      <c r="L1609" s="12" t="s">
        <v>36</v>
      </c>
    </row>
    <row r="1610" customFormat="false" ht="15" hidden="false" customHeight="false" outlineLevel="0" collapsed="false">
      <c r="A1610" s="11" t="n">
        <v>45805</v>
      </c>
      <c r="B1610" s="12" t="n">
        <v>6</v>
      </c>
      <c r="C1610" s="12" t="n">
        <f aca="false">IF(NOT(ISNUMBER(B1610)),"",ROUND((INDEX(BP!$D$5:$D$9,MATCH(B1610,BP!$A$5:$A$9,1))-INDEX(BP!$C$5:$C$9,MATCH(B1610,BP!$A$5:$A$9,1)))/(INDEX(BP!$B$5:$B$9,MATCH(B1610,BP!$A$5:$A$9,1))-INDEX(BP!$A$5:$A$9,MATCH(B1610,BP!$A$5:$A$9,1)))*(B1610-INDEX(BP!$A$5:$A$9,MATCH(B1610,BP!$A$5:$A$9,1)))+INDEX(BP!$C$5:$C$9,MATCH(B1610,BP!$A$5:$A$9,1)),0))</f>
        <v>10</v>
      </c>
      <c r="D1610" s="12" t="str">
        <f aca="false">IF(NOT(ISNUMBER(C1610)),"",INDEX(BP!$F$5:$F$9,MATCH(C1610,BP!$E$5:$E$9,1)))</f>
        <v>ดีมาก</v>
      </c>
      <c r="E1610" s="12" t="n">
        <f aca="false">YEAR(A1610)</f>
        <v>2025</v>
      </c>
      <c r="F1610" s="12" t="n">
        <f aca="false">MONTH(A1610)</f>
        <v>5</v>
      </c>
      <c r="G1610" s="12" t="n">
        <v>6</v>
      </c>
      <c r="H1610" s="12" t="n">
        <v>20.5</v>
      </c>
      <c r="I1610" s="12" t="n">
        <v>184</v>
      </c>
      <c r="J1610" s="12" t="n">
        <v>0.4</v>
      </c>
      <c r="K1610" s="12" t="n">
        <v>0</v>
      </c>
      <c r="L1610" s="12" t="s">
        <v>36</v>
      </c>
    </row>
    <row r="1611" customFormat="false" ht="15" hidden="false" customHeight="false" outlineLevel="0" collapsed="false">
      <c r="A1611" s="11" t="n">
        <v>45806</v>
      </c>
      <c r="B1611" s="12" t="n">
        <v>9</v>
      </c>
      <c r="C1611" s="12" t="n">
        <f aca="false">IF(NOT(ISNUMBER(B1611)),"",ROUND((INDEX(BP!$D$5:$D$9,MATCH(B1611,BP!$A$5:$A$9,1))-INDEX(BP!$C$5:$C$9,MATCH(B1611,BP!$A$5:$A$9,1)))/(INDEX(BP!$B$5:$B$9,MATCH(B1611,BP!$A$5:$A$9,1))-INDEX(BP!$A$5:$A$9,MATCH(B1611,BP!$A$5:$A$9,1)))*(B1611-INDEX(BP!$A$5:$A$9,MATCH(B1611,BP!$A$5:$A$9,1)))+INDEX(BP!$C$5:$C$9,MATCH(B1611,BP!$A$5:$A$9,1)),0))</f>
        <v>15</v>
      </c>
      <c r="D1611" s="12" t="str">
        <f aca="false">IF(NOT(ISNUMBER(C1611)),"",INDEX(BP!$F$5:$F$9,MATCH(C1611,BP!$E$5:$E$9,1)))</f>
        <v>ดีมาก</v>
      </c>
      <c r="E1611" s="12" t="n">
        <f aca="false">YEAR(A1611)</f>
        <v>2025</v>
      </c>
      <c r="F1611" s="12" t="n">
        <f aca="false">MONTH(A1611)</f>
        <v>5</v>
      </c>
      <c r="G1611" s="12" t="n">
        <v>17</v>
      </c>
      <c r="H1611" s="12" t="n">
        <v>37.8</v>
      </c>
      <c r="I1611" s="12" t="n">
        <v>199</v>
      </c>
      <c r="J1611" s="12" t="n">
        <v>1.2</v>
      </c>
      <c r="K1611" s="12" t="n">
        <v>0</v>
      </c>
      <c r="L1611" s="12" t="s">
        <v>36</v>
      </c>
    </row>
    <row r="1612" customFormat="false" ht="15" hidden="false" customHeight="false" outlineLevel="0" collapsed="false">
      <c r="A1612" s="11" t="n">
        <v>45807</v>
      </c>
      <c r="B1612" s="12" t="n">
        <v>10.7</v>
      </c>
      <c r="C1612" s="12" t="n">
        <f aca="false">IF(NOT(ISNUMBER(B1612)),"",ROUND((INDEX(BP!$D$5:$D$9,MATCH(B1612,BP!$A$5:$A$9,1))-INDEX(BP!$C$5:$C$9,MATCH(B1612,BP!$A$5:$A$9,1)))/(INDEX(BP!$B$5:$B$9,MATCH(B1612,BP!$A$5:$A$9,1))-INDEX(BP!$A$5:$A$9,MATCH(B1612,BP!$A$5:$A$9,1)))*(B1612-INDEX(BP!$A$5:$A$9,MATCH(B1612,BP!$A$5:$A$9,1)))+INDEX(BP!$C$5:$C$9,MATCH(B1612,BP!$A$5:$A$9,1)),0))</f>
        <v>18</v>
      </c>
      <c r="D1612" s="12" t="str">
        <f aca="false">IF(NOT(ISNUMBER(C1612)),"",INDEX(BP!$F$5:$F$9,MATCH(C1612,BP!$E$5:$E$9,1)))</f>
        <v>ดีมาก</v>
      </c>
      <c r="E1612" s="12" t="n">
        <f aca="false">YEAR(A1612)</f>
        <v>2025</v>
      </c>
      <c r="F1612" s="12" t="n">
        <f aca="false">MONTH(A1612)</f>
        <v>5</v>
      </c>
      <c r="G1612" s="12" t="n">
        <v>9.2</v>
      </c>
      <c r="H1612" s="12" t="n">
        <v>20.5</v>
      </c>
      <c r="I1612" s="12" t="n">
        <v>191</v>
      </c>
      <c r="J1612" s="12" t="n">
        <v>3.6</v>
      </c>
      <c r="K1612" s="12" t="n">
        <v>3.4</v>
      </c>
      <c r="L1612" s="12" t="s">
        <v>36</v>
      </c>
    </row>
    <row r="1613" customFormat="false" ht="15" hidden="false" customHeight="false" outlineLevel="0" collapsed="false">
      <c r="A1613" s="11" t="n">
        <v>45808</v>
      </c>
      <c r="B1613" s="12" t="n">
        <v>12.7</v>
      </c>
      <c r="C1613" s="12" t="n">
        <f aca="false">IF(NOT(ISNUMBER(B1613)),"",ROUND((INDEX(BP!$D$5:$D$9,MATCH(B1613,BP!$A$5:$A$9,1))-INDEX(BP!$C$5:$C$9,MATCH(B1613,BP!$A$5:$A$9,1)))/(INDEX(BP!$B$5:$B$9,MATCH(B1613,BP!$A$5:$A$9,1))-INDEX(BP!$A$5:$A$9,MATCH(B1613,BP!$A$5:$A$9,1)))*(B1613-INDEX(BP!$A$5:$A$9,MATCH(B1613,BP!$A$5:$A$9,1)))+INDEX(BP!$C$5:$C$9,MATCH(B1613,BP!$A$5:$A$9,1)),0))</f>
        <v>21</v>
      </c>
      <c r="D1613" s="12" t="str">
        <f aca="false">IF(NOT(ISNUMBER(C1613)),"",INDEX(BP!$F$5:$F$9,MATCH(C1613,BP!$E$5:$E$9,1)))</f>
        <v>ดีมาก</v>
      </c>
      <c r="E1613" s="12" t="n">
        <f aca="false">YEAR(A1613)</f>
        <v>2025</v>
      </c>
      <c r="F1613" s="12" t="n">
        <f aca="false">MONTH(A1613)</f>
        <v>5</v>
      </c>
      <c r="G1613" s="12" t="n">
        <v>12.1</v>
      </c>
      <c r="H1613" s="12" t="n">
        <v>25.2</v>
      </c>
      <c r="I1613" s="12" t="n">
        <v>187</v>
      </c>
      <c r="J1613" s="12" t="n">
        <v>2.2</v>
      </c>
      <c r="K1613" s="12" t="n">
        <v>2.2</v>
      </c>
      <c r="L1613" s="12" t="s">
        <v>35</v>
      </c>
    </row>
    <row r="1614" customFormat="false" ht="15" hidden="false" customHeight="false" outlineLevel="0" collapsed="false">
      <c r="A1614" s="11" t="n">
        <v>45809</v>
      </c>
      <c r="B1614" s="12" t="n">
        <v>14.1</v>
      </c>
      <c r="C1614" s="12" t="n">
        <f aca="false">IF(NOT(ISNUMBER(B1614)),"",ROUND((INDEX(BP!$D$5:$D$9,MATCH(B1614,BP!$A$5:$A$9,1))-INDEX(BP!$C$5:$C$9,MATCH(B1614,BP!$A$5:$A$9,1)))/(INDEX(BP!$B$5:$B$9,MATCH(B1614,BP!$A$5:$A$9,1))-INDEX(BP!$A$5:$A$9,MATCH(B1614,BP!$A$5:$A$9,1)))*(B1614-INDEX(BP!$A$5:$A$9,MATCH(B1614,BP!$A$5:$A$9,1)))+INDEX(BP!$C$5:$C$9,MATCH(B1614,BP!$A$5:$A$9,1)),0))</f>
        <v>24</v>
      </c>
      <c r="D1614" s="12" t="str">
        <f aca="false">IF(NOT(ISNUMBER(C1614)),"",INDEX(BP!$F$5:$F$9,MATCH(C1614,BP!$E$5:$E$9,1)))</f>
        <v>ดีมาก</v>
      </c>
      <c r="E1614" s="12" t="n">
        <f aca="false">YEAR(A1614)</f>
        <v>2025</v>
      </c>
      <c r="F1614" s="12" t="n">
        <f aca="false">MONTH(A1614)</f>
        <v>6</v>
      </c>
      <c r="G1614" s="12" t="n">
        <v>12.1</v>
      </c>
      <c r="H1614" s="12" t="n">
        <v>23.4</v>
      </c>
      <c r="I1614" s="12" t="n">
        <v>236</v>
      </c>
      <c r="J1614" s="12" t="n">
        <v>4.2</v>
      </c>
      <c r="K1614" s="12" t="n">
        <v>44</v>
      </c>
      <c r="L1614" s="12" t="s">
        <v>35</v>
      </c>
    </row>
    <row r="1615" customFormat="false" ht="15" hidden="false" customHeight="false" outlineLevel="0" collapsed="false">
      <c r="A1615" s="11" t="n">
        <v>45810</v>
      </c>
      <c r="B1615" s="12" t="n">
        <v>11</v>
      </c>
      <c r="C1615" s="12" t="n">
        <f aca="false">IF(NOT(ISNUMBER(B1615)),"",ROUND((INDEX(BP!$D$5:$D$9,MATCH(B1615,BP!$A$5:$A$9,1))-INDEX(BP!$C$5:$C$9,MATCH(B1615,BP!$A$5:$A$9,1)))/(INDEX(BP!$B$5:$B$9,MATCH(B1615,BP!$A$5:$A$9,1))-INDEX(BP!$A$5:$A$9,MATCH(B1615,BP!$A$5:$A$9,1)))*(B1615-INDEX(BP!$A$5:$A$9,MATCH(B1615,BP!$A$5:$A$9,1)))+INDEX(BP!$C$5:$C$9,MATCH(B1615,BP!$A$5:$A$9,1)),0))</f>
        <v>18</v>
      </c>
      <c r="D1615" s="12" t="str">
        <f aca="false">IF(NOT(ISNUMBER(C1615)),"",INDEX(BP!$F$5:$F$9,MATCH(C1615,BP!$E$5:$E$9,1)))</f>
        <v>ดีมาก</v>
      </c>
      <c r="E1615" s="12" t="n">
        <f aca="false">YEAR(A1615)</f>
        <v>2025</v>
      </c>
      <c r="F1615" s="12" t="n">
        <f aca="false">MONTH(A1615)</f>
        <v>6</v>
      </c>
      <c r="G1615" s="12" t="n">
        <v>13.2</v>
      </c>
      <c r="H1615" s="12" t="n">
        <v>30.6</v>
      </c>
      <c r="I1615" s="12" t="n">
        <v>234</v>
      </c>
      <c r="J1615" s="12" t="n">
        <v>0.9</v>
      </c>
      <c r="K1615" s="12" t="n">
        <v>0</v>
      </c>
      <c r="L1615" s="12" t="s">
        <v>36</v>
      </c>
    </row>
    <row r="1616" customFormat="false" ht="15" hidden="false" customHeight="false" outlineLevel="0" collapsed="false">
      <c r="A1616" s="11" t="n">
        <v>45811</v>
      </c>
      <c r="B1616" s="12" t="n">
        <v>10.9</v>
      </c>
      <c r="C1616" s="12" t="n">
        <f aca="false">IF(NOT(ISNUMBER(B1616)),"",ROUND((INDEX(BP!$D$5:$D$9,MATCH(B1616,BP!$A$5:$A$9,1))-INDEX(BP!$C$5:$C$9,MATCH(B1616,BP!$A$5:$A$9,1)))/(INDEX(BP!$B$5:$B$9,MATCH(B1616,BP!$A$5:$A$9,1))-INDEX(BP!$A$5:$A$9,MATCH(B1616,BP!$A$5:$A$9,1)))*(B1616-INDEX(BP!$A$5:$A$9,MATCH(B1616,BP!$A$5:$A$9,1)))+INDEX(BP!$C$5:$C$9,MATCH(B1616,BP!$A$5:$A$9,1)),0))</f>
        <v>18</v>
      </c>
      <c r="D1616" s="12" t="str">
        <f aca="false">IF(NOT(ISNUMBER(C1616)),"",INDEX(BP!$F$5:$F$9,MATCH(C1616,BP!$E$5:$E$9,1)))</f>
        <v>ดีมาก</v>
      </c>
      <c r="E1616" s="12" t="n">
        <f aca="false">YEAR(A1616)</f>
        <v>2025</v>
      </c>
      <c r="F1616" s="12" t="n">
        <f aca="false">MONTH(A1616)</f>
        <v>6</v>
      </c>
      <c r="G1616" s="12" t="n">
        <v>12.7</v>
      </c>
      <c r="H1616" s="12" t="n">
        <v>30.2</v>
      </c>
      <c r="I1616" s="12" t="n">
        <v>255</v>
      </c>
      <c r="J1616" s="12" t="n">
        <v>0.7</v>
      </c>
      <c r="K1616" s="12" t="n">
        <v>1.8</v>
      </c>
      <c r="L1616" s="12" t="s">
        <v>34</v>
      </c>
    </row>
    <row r="1617" customFormat="false" ht="15" hidden="false" customHeight="false" outlineLevel="0" collapsed="false">
      <c r="A1617" s="11" t="n">
        <v>45812</v>
      </c>
      <c r="B1617" s="12" t="n">
        <v>6.7</v>
      </c>
      <c r="C1617" s="12" t="n">
        <f aca="false">IF(NOT(ISNUMBER(B1617)),"",ROUND((INDEX(BP!$D$5:$D$9,MATCH(B1617,BP!$A$5:$A$9,1))-INDEX(BP!$C$5:$C$9,MATCH(B1617,BP!$A$5:$A$9,1)))/(INDEX(BP!$B$5:$B$9,MATCH(B1617,BP!$A$5:$A$9,1))-INDEX(BP!$A$5:$A$9,MATCH(B1617,BP!$A$5:$A$9,1)))*(B1617-INDEX(BP!$A$5:$A$9,MATCH(B1617,BP!$A$5:$A$9,1)))+INDEX(BP!$C$5:$C$9,MATCH(B1617,BP!$A$5:$A$9,1)),0))</f>
        <v>11</v>
      </c>
      <c r="D1617" s="12" t="str">
        <f aca="false">IF(NOT(ISNUMBER(C1617)),"",INDEX(BP!$F$5:$F$9,MATCH(C1617,BP!$E$5:$E$9,1)))</f>
        <v>ดีมาก</v>
      </c>
      <c r="E1617" s="12" t="n">
        <f aca="false">YEAR(A1617)</f>
        <v>2025</v>
      </c>
      <c r="F1617" s="12" t="n">
        <f aca="false">MONTH(A1617)</f>
        <v>6</v>
      </c>
      <c r="G1617" s="12" t="n">
        <v>23.2</v>
      </c>
      <c r="H1617" s="12" t="n">
        <v>49</v>
      </c>
      <c r="I1617" s="12" t="n">
        <v>239</v>
      </c>
      <c r="J1617" s="12" t="n">
        <v>8.2</v>
      </c>
      <c r="K1617" s="12" t="n">
        <v>1</v>
      </c>
      <c r="L1617" s="12" t="s">
        <v>36</v>
      </c>
    </row>
    <row r="1618" customFormat="false" ht="15" hidden="false" customHeight="false" outlineLevel="0" collapsed="false">
      <c r="A1618" s="11" t="n">
        <v>45813</v>
      </c>
      <c r="B1618" s="12" t="n">
        <v>6.8</v>
      </c>
      <c r="C1618" s="12" t="n">
        <f aca="false">IF(NOT(ISNUMBER(B1618)),"",ROUND((INDEX(BP!$D$5:$D$9,MATCH(B1618,BP!$A$5:$A$9,1))-INDEX(BP!$C$5:$C$9,MATCH(B1618,BP!$A$5:$A$9,1)))/(INDEX(BP!$B$5:$B$9,MATCH(B1618,BP!$A$5:$A$9,1))-INDEX(BP!$A$5:$A$9,MATCH(B1618,BP!$A$5:$A$9,1)))*(B1618-INDEX(BP!$A$5:$A$9,MATCH(B1618,BP!$A$5:$A$9,1)))+INDEX(BP!$C$5:$C$9,MATCH(B1618,BP!$A$5:$A$9,1)),0))</f>
        <v>11</v>
      </c>
      <c r="D1618" s="12" t="str">
        <f aca="false">IF(NOT(ISNUMBER(C1618)),"",INDEX(BP!$F$5:$F$9,MATCH(C1618,BP!$E$5:$E$9,1)))</f>
        <v>ดีมาก</v>
      </c>
      <c r="E1618" s="12" t="n">
        <f aca="false">YEAR(A1618)</f>
        <v>2025</v>
      </c>
      <c r="F1618" s="12" t="n">
        <f aca="false">MONTH(A1618)</f>
        <v>6</v>
      </c>
      <c r="G1618" s="12" t="n">
        <v>18.2</v>
      </c>
      <c r="H1618" s="12" t="n">
        <v>43.6</v>
      </c>
      <c r="I1618" s="12" t="n">
        <v>244</v>
      </c>
      <c r="J1618" s="12" t="n">
        <v>0.4</v>
      </c>
      <c r="K1618" s="12" t="n">
        <v>0</v>
      </c>
      <c r="L1618" s="12" t="s">
        <v>36</v>
      </c>
    </row>
    <row r="1619" customFormat="false" ht="15" hidden="false" customHeight="false" outlineLevel="0" collapsed="false">
      <c r="A1619" s="11" t="n">
        <v>45814</v>
      </c>
      <c r="B1619" s="12" t="n">
        <v>6.7</v>
      </c>
      <c r="C1619" s="12" t="n">
        <f aca="false">IF(NOT(ISNUMBER(B1619)),"",ROUND((INDEX(BP!$D$5:$D$9,MATCH(B1619,BP!$A$5:$A$9,1))-INDEX(BP!$C$5:$C$9,MATCH(B1619,BP!$A$5:$A$9,1)))/(INDEX(BP!$B$5:$B$9,MATCH(B1619,BP!$A$5:$A$9,1))-INDEX(BP!$A$5:$A$9,MATCH(B1619,BP!$A$5:$A$9,1)))*(B1619-INDEX(BP!$A$5:$A$9,MATCH(B1619,BP!$A$5:$A$9,1)))+INDEX(BP!$C$5:$C$9,MATCH(B1619,BP!$A$5:$A$9,1)),0))</f>
        <v>11</v>
      </c>
      <c r="D1619" s="12" t="str">
        <f aca="false">IF(NOT(ISNUMBER(C1619)),"",INDEX(BP!$F$5:$F$9,MATCH(C1619,BP!$E$5:$E$9,1)))</f>
        <v>ดีมาก</v>
      </c>
      <c r="E1619" s="12" t="n">
        <f aca="false">YEAR(A1619)</f>
        <v>2025</v>
      </c>
      <c r="F1619" s="12" t="n">
        <f aca="false">MONTH(A1619)</f>
        <v>6</v>
      </c>
      <c r="G1619" s="12" t="n">
        <v>12.9</v>
      </c>
      <c r="H1619" s="12" t="n">
        <v>38.9</v>
      </c>
      <c r="I1619" s="12" t="n">
        <v>240</v>
      </c>
      <c r="J1619" s="12" t="n">
        <v>1.9</v>
      </c>
      <c r="K1619" s="12" t="n">
        <v>0</v>
      </c>
      <c r="L1619" s="12" t="s">
        <v>36</v>
      </c>
    </row>
    <row r="1620" customFormat="false" ht="15" hidden="false" customHeight="false" outlineLevel="0" collapsed="false">
      <c r="A1620" s="11" t="n">
        <v>45815</v>
      </c>
      <c r="B1620" s="12" t="n">
        <v>6.4</v>
      </c>
      <c r="C1620" s="12" t="n">
        <f aca="false">IF(NOT(ISNUMBER(B1620)),"",ROUND((INDEX(BP!$D$5:$D$9,MATCH(B1620,BP!$A$5:$A$9,1))-INDEX(BP!$C$5:$C$9,MATCH(B1620,BP!$A$5:$A$9,1)))/(INDEX(BP!$B$5:$B$9,MATCH(B1620,BP!$A$5:$A$9,1))-INDEX(BP!$A$5:$A$9,MATCH(B1620,BP!$A$5:$A$9,1)))*(B1620-INDEX(BP!$A$5:$A$9,MATCH(B1620,BP!$A$5:$A$9,1)))+INDEX(BP!$C$5:$C$9,MATCH(B1620,BP!$A$5:$A$9,1)),0))</f>
        <v>11</v>
      </c>
      <c r="D1620" s="12" t="str">
        <f aca="false">IF(NOT(ISNUMBER(C1620)),"",INDEX(BP!$F$5:$F$9,MATCH(C1620,BP!$E$5:$E$9,1)))</f>
        <v>ดีมาก</v>
      </c>
      <c r="E1620" s="12" t="n">
        <f aca="false">YEAR(A1620)</f>
        <v>2025</v>
      </c>
      <c r="F1620" s="12" t="n">
        <f aca="false">MONTH(A1620)</f>
        <v>6</v>
      </c>
      <c r="G1620" s="12" t="n">
        <v>20.8</v>
      </c>
      <c r="H1620" s="12" t="n">
        <v>51.5</v>
      </c>
      <c r="I1620" s="12" t="n">
        <v>242</v>
      </c>
      <c r="J1620" s="12" t="n">
        <v>3.1</v>
      </c>
      <c r="K1620" s="12" t="n">
        <v>1.8</v>
      </c>
      <c r="L1620" s="12" t="s">
        <v>35</v>
      </c>
    </row>
    <row r="1621" customFormat="false" ht="15" hidden="false" customHeight="false" outlineLevel="0" collapsed="false">
      <c r="A1621" s="11" t="n">
        <v>45816</v>
      </c>
      <c r="B1621" s="12" t="n">
        <v>6.1</v>
      </c>
      <c r="C1621" s="12" t="n">
        <f aca="false">IF(NOT(ISNUMBER(B1621)),"",ROUND((INDEX(BP!$D$5:$D$9,MATCH(B1621,BP!$A$5:$A$9,1))-INDEX(BP!$C$5:$C$9,MATCH(B1621,BP!$A$5:$A$9,1)))/(INDEX(BP!$B$5:$B$9,MATCH(B1621,BP!$A$5:$A$9,1))-INDEX(BP!$A$5:$A$9,MATCH(B1621,BP!$A$5:$A$9,1)))*(B1621-INDEX(BP!$A$5:$A$9,MATCH(B1621,BP!$A$5:$A$9,1)))+INDEX(BP!$C$5:$C$9,MATCH(B1621,BP!$A$5:$A$9,1)),0))</f>
        <v>10</v>
      </c>
      <c r="D1621" s="12" t="str">
        <f aca="false">IF(NOT(ISNUMBER(C1621)),"",INDEX(BP!$F$5:$F$9,MATCH(C1621,BP!$E$5:$E$9,1)))</f>
        <v>ดีมาก</v>
      </c>
      <c r="E1621" s="12" t="n">
        <f aca="false">YEAR(A1621)</f>
        <v>2025</v>
      </c>
      <c r="F1621" s="12" t="n">
        <f aca="false">MONTH(A1621)</f>
        <v>6</v>
      </c>
      <c r="G1621" s="12" t="n">
        <v>21</v>
      </c>
      <c r="H1621" s="12" t="n">
        <v>49.3</v>
      </c>
      <c r="I1621" s="12" t="n">
        <v>241</v>
      </c>
      <c r="J1621" s="12" t="n">
        <v>6.3</v>
      </c>
      <c r="K1621" s="12" t="n">
        <v>20.8</v>
      </c>
      <c r="L1621" s="12" t="s">
        <v>35</v>
      </c>
    </row>
    <row r="1622" customFormat="false" ht="15" hidden="false" customHeight="false" outlineLevel="0" collapsed="false">
      <c r="A1622" s="11" t="n">
        <v>45817</v>
      </c>
      <c r="B1622" s="12" t="n">
        <v>7.8</v>
      </c>
      <c r="C1622" s="12" t="n">
        <f aca="false">IF(NOT(ISNUMBER(B1622)),"",ROUND((INDEX(BP!$D$5:$D$9,MATCH(B1622,BP!$A$5:$A$9,1))-INDEX(BP!$C$5:$C$9,MATCH(B1622,BP!$A$5:$A$9,1)))/(INDEX(BP!$B$5:$B$9,MATCH(B1622,BP!$A$5:$A$9,1))-INDEX(BP!$A$5:$A$9,MATCH(B1622,BP!$A$5:$A$9,1)))*(B1622-INDEX(BP!$A$5:$A$9,MATCH(B1622,BP!$A$5:$A$9,1)))+INDEX(BP!$C$5:$C$9,MATCH(B1622,BP!$A$5:$A$9,1)),0))</f>
        <v>13</v>
      </c>
      <c r="D1622" s="12" t="str">
        <f aca="false">IF(NOT(ISNUMBER(C1622)),"",INDEX(BP!$F$5:$F$9,MATCH(C1622,BP!$E$5:$E$9,1)))</f>
        <v>ดีมาก</v>
      </c>
      <c r="E1622" s="12" t="n">
        <f aca="false">YEAR(A1622)</f>
        <v>2025</v>
      </c>
      <c r="F1622" s="12" t="n">
        <f aca="false">MONTH(A1622)</f>
        <v>6</v>
      </c>
      <c r="G1622" s="12" t="n">
        <v>21.8</v>
      </c>
      <c r="H1622" s="12" t="n">
        <v>54.4</v>
      </c>
      <c r="I1622" s="12" t="n">
        <v>248</v>
      </c>
      <c r="J1622" s="12" t="n">
        <v>0.8</v>
      </c>
      <c r="K1622" s="12" t="n">
        <v>10</v>
      </c>
      <c r="L1622" s="12" t="s">
        <v>36</v>
      </c>
    </row>
    <row r="1623" customFormat="false" ht="15" hidden="false" customHeight="false" outlineLevel="0" collapsed="false">
      <c r="A1623" s="11" t="n">
        <v>45818</v>
      </c>
      <c r="B1623" s="12" t="n">
        <v>8.3</v>
      </c>
      <c r="C1623" s="12" t="n">
        <f aca="false">IF(NOT(ISNUMBER(B1623)),"",ROUND((INDEX(BP!$D$5:$D$9,MATCH(B1623,BP!$A$5:$A$9,1))-INDEX(BP!$C$5:$C$9,MATCH(B1623,BP!$A$5:$A$9,1)))/(INDEX(BP!$B$5:$B$9,MATCH(B1623,BP!$A$5:$A$9,1))-INDEX(BP!$A$5:$A$9,MATCH(B1623,BP!$A$5:$A$9,1)))*(B1623-INDEX(BP!$A$5:$A$9,MATCH(B1623,BP!$A$5:$A$9,1)))+INDEX(BP!$C$5:$C$9,MATCH(B1623,BP!$A$5:$A$9,1)),0))</f>
        <v>14</v>
      </c>
      <c r="D1623" s="12" t="str">
        <f aca="false">IF(NOT(ISNUMBER(C1623)),"",INDEX(BP!$F$5:$F$9,MATCH(C1623,BP!$E$5:$E$9,1)))</f>
        <v>ดีมาก</v>
      </c>
      <c r="E1623" s="12" t="n">
        <f aca="false">YEAR(A1623)</f>
        <v>2025</v>
      </c>
      <c r="F1623" s="12" t="n">
        <f aca="false">MONTH(A1623)</f>
        <v>6</v>
      </c>
      <c r="G1623" s="12" t="n">
        <v>20.3</v>
      </c>
      <c r="H1623" s="12" t="n">
        <v>53.6</v>
      </c>
      <c r="I1623" s="12" t="n">
        <v>232</v>
      </c>
      <c r="J1623" s="12" t="n">
        <v>0.1</v>
      </c>
      <c r="K1623" s="12" t="n">
        <v>12</v>
      </c>
      <c r="L1623" s="12" t="s">
        <v>36</v>
      </c>
    </row>
    <row r="1624" customFormat="false" ht="15" hidden="false" customHeight="false" outlineLevel="0" collapsed="false">
      <c r="A1624" s="11" t="n">
        <v>45819</v>
      </c>
      <c r="B1624" s="12" t="n">
        <v>8.1</v>
      </c>
      <c r="C1624" s="12" t="n">
        <f aca="false">IF(NOT(ISNUMBER(B1624)),"",ROUND((INDEX(BP!$D$5:$D$9,MATCH(B1624,BP!$A$5:$A$9,1))-INDEX(BP!$C$5:$C$9,MATCH(B1624,BP!$A$5:$A$9,1)))/(INDEX(BP!$B$5:$B$9,MATCH(B1624,BP!$A$5:$A$9,1))-INDEX(BP!$A$5:$A$9,MATCH(B1624,BP!$A$5:$A$9,1)))*(B1624-INDEX(BP!$A$5:$A$9,MATCH(B1624,BP!$A$5:$A$9,1)))+INDEX(BP!$C$5:$C$9,MATCH(B1624,BP!$A$5:$A$9,1)),0))</f>
        <v>14</v>
      </c>
      <c r="D1624" s="12" t="str">
        <f aca="false">IF(NOT(ISNUMBER(C1624)),"",INDEX(BP!$F$5:$F$9,MATCH(C1624,BP!$E$5:$E$9,1)))</f>
        <v>ดีมาก</v>
      </c>
      <c r="E1624" s="12" t="n">
        <f aca="false">YEAR(A1624)</f>
        <v>2025</v>
      </c>
      <c r="F1624" s="12" t="n">
        <f aca="false">MONTH(A1624)</f>
        <v>6</v>
      </c>
      <c r="G1624" s="12" t="n">
        <v>10.3</v>
      </c>
      <c r="H1624" s="12" t="n">
        <v>30.6</v>
      </c>
      <c r="I1624" s="12" t="n">
        <v>236</v>
      </c>
      <c r="J1624" s="12" t="n">
        <v>0</v>
      </c>
      <c r="K1624" s="12" t="n">
        <v>2.4</v>
      </c>
      <c r="L1624" s="12" t="s">
        <v>36</v>
      </c>
    </row>
    <row r="1625" customFormat="false" ht="15" hidden="false" customHeight="false" outlineLevel="0" collapsed="false">
      <c r="A1625" s="11" t="n">
        <v>45820</v>
      </c>
      <c r="B1625" s="12" t="n">
        <v>7.7</v>
      </c>
      <c r="C1625" s="12" t="n">
        <f aca="false">IF(NOT(ISNUMBER(B1625)),"",ROUND((INDEX(BP!$D$5:$D$9,MATCH(B1625,BP!$A$5:$A$9,1))-INDEX(BP!$C$5:$C$9,MATCH(B1625,BP!$A$5:$A$9,1)))/(INDEX(BP!$B$5:$B$9,MATCH(B1625,BP!$A$5:$A$9,1))-INDEX(BP!$A$5:$A$9,MATCH(B1625,BP!$A$5:$A$9,1)))*(B1625-INDEX(BP!$A$5:$A$9,MATCH(B1625,BP!$A$5:$A$9,1)))+INDEX(BP!$C$5:$C$9,MATCH(B1625,BP!$A$5:$A$9,1)),0))</f>
        <v>13</v>
      </c>
      <c r="D1625" s="12" t="str">
        <f aca="false">IF(NOT(ISNUMBER(C1625)),"",INDEX(BP!$F$5:$F$9,MATCH(C1625,BP!$E$5:$E$9,1)))</f>
        <v>ดีมาก</v>
      </c>
      <c r="E1625" s="12" t="n">
        <f aca="false">YEAR(A1625)</f>
        <v>2025</v>
      </c>
      <c r="F1625" s="12" t="n">
        <f aca="false">MONTH(A1625)</f>
        <v>6</v>
      </c>
      <c r="G1625" s="12" t="n">
        <v>16.3</v>
      </c>
      <c r="H1625" s="12" t="n">
        <v>38.2</v>
      </c>
      <c r="I1625" s="12" t="n">
        <v>244</v>
      </c>
      <c r="J1625" s="12" t="n">
        <v>1.5</v>
      </c>
      <c r="K1625" s="12" t="n">
        <v>0</v>
      </c>
      <c r="L1625" s="12" t="s">
        <v>36</v>
      </c>
    </row>
    <row r="1626" customFormat="false" ht="15" hidden="false" customHeight="false" outlineLevel="0" collapsed="false">
      <c r="A1626" s="11" t="n">
        <v>45821</v>
      </c>
      <c r="B1626" s="12" t="n">
        <v>9.2</v>
      </c>
      <c r="C1626" s="12" t="n">
        <f aca="false">IF(NOT(ISNUMBER(B1626)),"",ROUND((INDEX(BP!$D$5:$D$9,MATCH(B1626,BP!$A$5:$A$9,1))-INDEX(BP!$C$5:$C$9,MATCH(B1626,BP!$A$5:$A$9,1)))/(INDEX(BP!$B$5:$B$9,MATCH(B1626,BP!$A$5:$A$9,1))-INDEX(BP!$A$5:$A$9,MATCH(B1626,BP!$A$5:$A$9,1)))*(B1626-INDEX(BP!$A$5:$A$9,MATCH(B1626,BP!$A$5:$A$9,1)))+INDEX(BP!$C$5:$C$9,MATCH(B1626,BP!$A$5:$A$9,1)),0))</f>
        <v>15</v>
      </c>
      <c r="D1626" s="12" t="str">
        <f aca="false">IF(NOT(ISNUMBER(C1626)),"",INDEX(BP!$F$5:$F$9,MATCH(C1626,BP!$E$5:$E$9,1)))</f>
        <v>ดีมาก</v>
      </c>
      <c r="E1626" s="12" t="n">
        <f aca="false">YEAR(A1626)</f>
        <v>2025</v>
      </c>
      <c r="F1626" s="12" t="n">
        <f aca="false">MONTH(A1626)</f>
        <v>6</v>
      </c>
      <c r="G1626" s="12" t="n">
        <v>16.5</v>
      </c>
      <c r="H1626" s="12" t="n">
        <v>37.1</v>
      </c>
      <c r="I1626" s="12" t="n">
        <v>206</v>
      </c>
      <c r="J1626" s="12" t="n">
        <v>0</v>
      </c>
      <c r="K1626" s="12" t="n">
        <v>0</v>
      </c>
      <c r="L1626" s="12" t="s">
        <v>36</v>
      </c>
    </row>
    <row r="1627" customFormat="false" ht="15" hidden="false" customHeight="false" outlineLevel="0" collapsed="false">
      <c r="A1627" s="11" t="n">
        <v>45822</v>
      </c>
      <c r="B1627" s="12" t="n">
        <v>13.4</v>
      </c>
      <c r="C1627" s="12" t="n">
        <f aca="false">IF(NOT(ISNUMBER(B1627)),"",ROUND((INDEX(BP!$D$5:$D$9,MATCH(B1627,BP!$A$5:$A$9,1))-INDEX(BP!$C$5:$C$9,MATCH(B1627,BP!$A$5:$A$9,1)))/(INDEX(BP!$B$5:$B$9,MATCH(B1627,BP!$A$5:$A$9,1))-INDEX(BP!$A$5:$A$9,MATCH(B1627,BP!$A$5:$A$9,1)))*(B1627-INDEX(BP!$A$5:$A$9,MATCH(B1627,BP!$A$5:$A$9,1)))+INDEX(BP!$C$5:$C$9,MATCH(B1627,BP!$A$5:$A$9,1)),0))</f>
        <v>22</v>
      </c>
      <c r="D1627" s="12" t="str">
        <f aca="false">IF(NOT(ISNUMBER(C1627)),"",INDEX(BP!$F$5:$F$9,MATCH(C1627,BP!$E$5:$E$9,1)))</f>
        <v>ดีมาก</v>
      </c>
      <c r="E1627" s="12" t="n">
        <f aca="false">YEAR(A1627)</f>
        <v>2025</v>
      </c>
      <c r="F1627" s="12" t="n">
        <f aca="false">MONTH(A1627)</f>
        <v>6</v>
      </c>
      <c r="G1627" s="12" t="n">
        <v>10.6</v>
      </c>
      <c r="H1627" s="12" t="n">
        <v>34.6</v>
      </c>
      <c r="I1627" s="12" t="n">
        <v>177</v>
      </c>
      <c r="J1627" s="12" t="n">
        <v>4.7</v>
      </c>
      <c r="K1627" s="12" t="n">
        <v>0</v>
      </c>
      <c r="L1627" s="12" t="s">
        <v>35</v>
      </c>
    </row>
    <row r="1628" customFormat="false" ht="15" hidden="false" customHeight="false" outlineLevel="0" collapsed="false">
      <c r="A1628" s="11" t="n">
        <v>45823</v>
      </c>
      <c r="B1628" s="12" t="n">
        <v>13.6</v>
      </c>
      <c r="C1628" s="12" t="n">
        <f aca="false">IF(NOT(ISNUMBER(B1628)),"",ROUND((INDEX(BP!$D$5:$D$9,MATCH(B1628,BP!$A$5:$A$9,1))-INDEX(BP!$C$5:$C$9,MATCH(B1628,BP!$A$5:$A$9,1)))/(INDEX(BP!$B$5:$B$9,MATCH(B1628,BP!$A$5:$A$9,1))-INDEX(BP!$A$5:$A$9,MATCH(B1628,BP!$A$5:$A$9,1)))*(B1628-INDEX(BP!$A$5:$A$9,MATCH(B1628,BP!$A$5:$A$9,1)))+INDEX(BP!$C$5:$C$9,MATCH(B1628,BP!$A$5:$A$9,1)),0))</f>
        <v>23</v>
      </c>
      <c r="D1628" s="12" t="str">
        <f aca="false">IF(NOT(ISNUMBER(C1628)),"",INDEX(BP!$F$5:$F$9,MATCH(C1628,BP!$E$5:$E$9,1)))</f>
        <v>ดีมาก</v>
      </c>
      <c r="E1628" s="12" t="n">
        <f aca="false">YEAR(A1628)</f>
        <v>2025</v>
      </c>
      <c r="F1628" s="12" t="n">
        <f aca="false">MONTH(A1628)</f>
        <v>6</v>
      </c>
      <c r="G1628" s="12" t="n">
        <v>14</v>
      </c>
      <c r="H1628" s="12" t="n">
        <v>36</v>
      </c>
      <c r="I1628" s="12" t="n">
        <v>165</v>
      </c>
      <c r="J1628" s="12" t="n">
        <v>2.6</v>
      </c>
      <c r="K1628" s="12" t="n">
        <v>0</v>
      </c>
      <c r="L1628" s="12" t="s">
        <v>35</v>
      </c>
    </row>
    <row r="1629" customFormat="false" ht="15" hidden="false" customHeight="false" outlineLevel="0" collapsed="false">
      <c r="A1629" s="11" t="n">
        <v>45824</v>
      </c>
      <c r="B1629" s="12" t="n">
        <v>9.6</v>
      </c>
      <c r="C1629" s="12" t="n">
        <f aca="false">IF(NOT(ISNUMBER(B1629)),"",ROUND((INDEX(BP!$D$5:$D$9,MATCH(B1629,BP!$A$5:$A$9,1))-INDEX(BP!$C$5:$C$9,MATCH(B1629,BP!$A$5:$A$9,1)))/(INDEX(BP!$B$5:$B$9,MATCH(B1629,BP!$A$5:$A$9,1))-INDEX(BP!$A$5:$A$9,MATCH(B1629,BP!$A$5:$A$9,1)))*(B1629-INDEX(BP!$A$5:$A$9,MATCH(B1629,BP!$A$5:$A$9,1)))+INDEX(BP!$C$5:$C$9,MATCH(B1629,BP!$A$5:$A$9,1)),0))</f>
        <v>16</v>
      </c>
      <c r="D1629" s="12" t="str">
        <f aca="false">IF(NOT(ISNUMBER(C1629)),"",INDEX(BP!$F$5:$F$9,MATCH(C1629,BP!$E$5:$E$9,1)))</f>
        <v>ดีมาก</v>
      </c>
      <c r="E1629" s="12" t="n">
        <f aca="false">YEAR(A1629)</f>
        <v>2025</v>
      </c>
      <c r="F1629" s="12" t="n">
        <f aca="false">MONTH(A1629)</f>
        <v>6</v>
      </c>
      <c r="G1629" s="12" t="n">
        <v>14.9</v>
      </c>
      <c r="H1629" s="12" t="n">
        <v>28.4</v>
      </c>
      <c r="I1629" s="12" t="n">
        <v>233</v>
      </c>
      <c r="J1629" s="12" t="n">
        <v>9.4</v>
      </c>
      <c r="K1629" s="12" t="n">
        <v>24.8</v>
      </c>
      <c r="L1629" s="12" t="s">
        <v>36</v>
      </c>
    </row>
    <row r="1630" customFormat="false" ht="15" hidden="false" customHeight="false" outlineLevel="0" collapsed="false">
      <c r="A1630" s="11" t="n">
        <v>45825</v>
      </c>
      <c r="B1630" s="12" t="n">
        <v>7.5</v>
      </c>
      <c r="C1630" s="12" t="n">
        <f aca="false">IF(NOT(ISNUMBER(B1630)),"",ROUND((INDEX(BP!$D$5:$D$9,MATCH(B1630,BP!$A$5:$A$9,1))-INDEX(BP!$C$5:$C$9,MATCH(B1630,BP!$A$5:$A$9,1)))/(INDEX(BP!$B$5:$B$9,MATCH(B1630,BP!$A$5:$A$9,1))-INDEX(BP!$A$5:$A$9,MATCH(B1630,BP!$A$5:$A$9,1)))*(B1630-INDEX(BP!$A$5:$A$9,MATCH(B1630,BP!$A$5:$A$9,1)))+INDEX(BP!$C$5:$C$9,MATCH(B1630,BP!$A$5:$A$9,1)),0))</f>
        <v>13</v>
      </c>
      <c r="D1630" s="12" t="str">
        <f aca="false">IF(NOT(ISNUMBER(C1630)),"",INDEX(BP!$F$5:$F$9,MATCH(C1630,BP!$E$5:$E$9,1)))</f>
        <v>ดีมาก</v>
      </c>
      <c r="E1630" s="12" t="n">
        <f aca="false">YEAR(A1630)</f>
        <v>2025</v>
      </c>
      <c r="F1630" s="12" t="n">
        <f aca="false">MONTH(A1630)</f>
        <v>6</v>
      </c>
      <c r="G1630" s="12" t="n">
        <v>12.7</v>
      </c>
      <c r="H1630" s="12" t="n">
        <v>31.7</v>
      </c>
      <c r="I1630" s="12" t="n">
        <v>227</v>
      </c>
      <c r="J1630" s="12" t="n">
        <v>1.3</v>
      </c>
      <c r="K1630" s="12" t="n">
        <v>0</v>
      </c>
      <c r="L1630" s="12" t="s">
        <v>36</v>
      </c>
    </row>
    <row r="1631" customFormat="false" ht="15" hidden="false" customHeight="false" outlineLevel="0" collapsed="false">
      <c r="A1631" s="11" t="n">
        <v>45826</v>
      </c>
      <c r="B1631" s="12" t="n">
        <v>7.1</v>
      </c>
      <c r="C1631" s="12" t="n">
        <f aca="false">IF(NOT(ISNUMBER(B1631)),"",ROUND((INDEX(BP!$D$5:$D$9,MATCH(B1631,BP!$A$5:$A$9,1))-INDEX(BP!$C$5:$C$9,MATCH(B1631,BP!$A$5:$A$9,1)))/(INDEX(BP!$B$5:$B$9,MATCH(B1631,BP!$A$5:$A$9,1))-INDEX(BP!$A$5:$A$9,MATCH(B1631,BP!$A$5:$A$9,1)))*(B1631-INDEX(BP!$A$5:$A$9,MATCH(B1631,BP!$A$5:$A$9,1)))+INDEX(BP!$C$5:$C$9,MATCH(B1631,BP!$A$5:$A$9,1)),0))</f>
        <v>12</v>
      </c>
      <c r="D1631" s="12" t="str">
        <f aca="false">IF(NOT(ISNUMBER(C1631)),"",INDEX(BP!$F$5:$F$9,MATCH(C1631,BP!$E$5:$E$9,1)))</f>
        <v>ดีมาก</v>
      </c>
      <c r="E1631" s="12" t="n">
        <f aca="false">YEAR(A1631)</f>
        <v>2025</v>
      </c>
      <c r="F1631" s="12" t="n">
        <f aca="false">MONTH(A1631)</f>
        <v>6</v>
      </c>
      <c r="G1631" s="12" t="n">
        <v>14.2</v>
      </c>
      <c r="H1631" s="12" t="n">
        <v>32.4</v>
      </c>
      <c r="I1631" s="12" t="n">
        <v>235</v>
      </c>
      <c r="J1631" s="12" t="n">
        <v>0.2</v>
      </c>
      <c r="K1631" s="12" t="n">
        <v>8</v>
      </c>
      <c r="L1631" s="12" t="s">
        <v>36</v>
      </c>
    </row>
    <row r="1632" customFormat="false" ht="15" hidden="false" customHeight="false" outlineLevel="0" collapsed="false">
      <c r="A1632" s="11" t="n">
        <v>45827</v>
      </c>
      <c r="B1632" s="12" t="n">
        <v>6.8</v>
      </c>
      <c r="C1632" s="12" t="n">
        <f aca="false">IF(NOT(ISNUMBER(B1632)),"",ROUND((INDEX(BP!$D$5:$D$9,MATCH(B1632,BP!$A$5:$A$9,1))-INDEX(BP!$C$5:$C$9,MATCH(B1632,BP!$A$5:$A$9,1)))/(INDEX(BP!$B$5:$B$9,MATCH(B1632,BP!$A$5:$A$9,1))-INDEX(BP!$A$5:$A$9,MATCH(B1632,BP!$A$5:$A$9,1)))*(B1632-INDEX(BP!$A$5:$A$9,MATCH(B1632,BP!$A$5:$A$9,1)))+INDEX(BP!$C$5:$C$9,MATCH(B1632,BP!$A$5:$A$9,1)),0))</f>
        <v>11</v>
      </c>
      <c r="D1632" s="12" t="str">
        <f aca="false">IF(NOT(ISNUMBER(C1632)),"",INDEX(BP!$F$5:$F$9,MATCH(C1632,BP!$E$5:$E$9,1)))</f>
        <v>ดีมาก</v>
      </c>
      <c r="E1632" s="12" t="n">
        <f aca="false">YEAR(A1632)</f>
        <v>2025</v>
      </c>
      <c r="F1632" s="12" t="n">
        <f aca="false">MONTH(A1632)</f>
        <v>6</v>
      </c>
      <c r="G1632" s="12" t="n">
        <v>14.2</v>
      </c>
      <c r="H1632" s="12" t="n">
        <v>36.7</v>
      </c>
      <c r="I1632" s="12" t="n">
        <v>260</v>
      </c>
      <c r="J1632" s="12" t="n">
        <v>1.2</v>
      </c>
      <c r="K1632" s="12" t="n">
        <v>0</v>
      </c>
      <c r="L1632" s="12" t="s">
        <v>36</v>
      </c>
    </row>
    <row r="1633" customFormat="false" ht="15" hidden="false" customHeight="false" outlineLevel="0" collapsed="false">
      <c r="A1633" s="11" t="n">
        <v>45828</v>
      </c>
      <c r="B1633" s="12" t="n">
        <v>6.6</v>
      </c>
      <c r="C1633" s="12" t="n">
        <f aca="false">IF(NOT(ISNUMBER(B1633)),"",ROUND((INDEX(BP!$D$5:$D$9,MATCH(B1633,BP!$A$5:$A$9,1))-INDEX(BP!$C$5:$C$9,MATCH(B1633,BP!$A$5:$A$9,1)))/(INDEX(BP!$B$5:$B$9,MATCH(B1633,BP!$A$5:$A$9,1))-INDEX(BP!$A$5:$A$9,MATCH(B1633,BP!$A$5:$A$9,1)))*(B1633-INDEX(BP!$A$5:$A$9,MATCH(B1633,BP!$A$5:$A$9,1)))+INDEX(BP!$C$5:$C$9,MATCH(B1633,BP!$A$5:$A$9,1)),0))</f>
        <v>11</v>
      </c>
      <c r="D1633" s="12" t="str">
        <f aca="false">IF(NOT(ISNUMBER(C1633)),"",INDEX(BP!$F$5:$F$9,MATCH(C1633,BP!$E$5:$E$9,1)))</f>
        <v>ดีมาก</v>
      </c>
      <c r="E1633" s="12" t="n">
        <f aca="false">YEAR(A1633)</f>
        <v>2025</v>
      </c>
      <c r="F1633" s="12" t="n">
        <f aca="false">MONTH(A1633)</f>
        <v>6</v>
      </c>
      <c r="G1633" s="12" t="n">
        <v>22.3</v>
      </c>
      <c r="H1633" s="12" t="n">
        <v>44.6</v>
      </c>
      <c r="I1633" s="12" t="n">
        <v>243</v>
      </c>
      <c r="J1633" s="12" t="n">
        <v>5.3</v>
      </c>
      <c r="K1633" s="12" t="n">
        <v>6.8</v>
      </c>
      <c r="L1633" s="12" t="s">
        <v>36</v>
      </c>
    </row>
    <row r="1634" customFormat="false" ht="15" hidden="false" customHeight="false" outlineLevel="0" collapsed="false">
      <c r="A1634" s="11" t="n">
        <v>45829</v>
      </c>
      <c r="B1634" s="12" t="n">
        <v>6.1</v>
      </c>
      <c r="C1634" s="12" t="n">
        <f aca="false">IF(NOT(ISNUMBER(B1634)),"",ROUND((INDEX(BP!$D$5:$D$9,MATCH(B1634,BP!$A$5:$A$9,1))-INDEX(BP!$C$5:$C$9,MATCH(B1634,BP!$A$5:$A$9,1)))/(INDEX(BP!$B$5:$B$9,MATCH(B1634,BP!$A$5:$A$9,1))-INDEX(BP!$A$5:$A$9,MATCH(B1634,BP!$A$5:$A$9,1)))*(B1634-INDEX(BP!$A$5:$A$9,MATCH(B1634,BP!$A$5:$A$9,1)))+INDEX(BP!$C$5:$C$9,MATCH(B1634,BP!$A$5:$A$9,1)),0))</f>
        <v>10</v>
      </c>
      <c r="D1634" s="12" t="str">
        <f aca="false">IF(NOT(ISNUMBER(C1634)),"",INDEX(BP!$F$5:$F$9,MATCH(C1634,BP!$E$5:$E$9,1)))</f>
        <v>ดีมาก</v>
      </c>
      <c r="E1634" s="12" t="n">
        <f aca="false">YEAR(A1634)</f>
        <v>2025</v>
      </c>
      <c r="F1634" s="12" t="n">
        <f aca="false">MONTH(A1634)</f>
        <v>6</v>
      </c>
      <c r="G1634" s="12" t="n">
        <v>20.5</v>
      </c>
      <c r="H1634" s="12" t="n">
        <v>47.2</v>
      </c>
      <c r="I1634" s="12" t="n">
        <v>246</v>
      </c>
      <c r="J1634" s="12" t="n">
        <v>0.3</v>
      </c>
      <c r="K1634" s="12" t="n">
        <v>2.2</v>
      </c>
      <c r="L1634" s="12" t="s">
        <v>35</v>
      </c>
    </row>
    <row r="1635" customFormat="false" ht="15" hidden="false" customHeight="false" outlineLevel="0" collapsed="false">
      <c r="A1635" s="11" t="n">
        <v>45830</v>
      </c>
      <c r="B1635" s="12" t="n">
        <v>6.2</v>
      </c>
      <c r="C1635" s="12" t="n">
        <f aca="false">IF(NOT(ISNUMBER(B1635)),"",ROUND((INDEX(BP!$D$5:$D$9,MATCH(B1635,BP!$A$5:$A$9,1))-INDEX(BP!$C$5:$C$9,MATCH(B1635,BP!$A$5:$A$9,1)))/(INDEX(BP!$B$5:$B$9,MATCH(B1635,BP!$A$5:$A$9,1))-INDEX(BP!$A$5:$A$9,MATCH(B1635,BP!$A$5:$A$9,1)))*(B1635-INDEX(BP!$A$5:$A$9,MATCH(B1635,BP!$A$5:$A$9,1)))+INDEX(BP!$C$5:$C$9,MATCH(B1635,BP!$A$5:$A$9,1)),0))</f>
        <v>10</v>
      </c>
      <c r="D1635" s="12" t="str">
        <f aca="false">IF(NOT(ISNUMBER(C1635)),"",INDEX(BP!$F$5:$F$9,MATCH(C1635,BP!$E$5:$E$9,1)))</f>
        <v>ดีมาก</v>
      </c>
      <c r="E1635" s="12" t="n">
        <f aca="false">YEAR(A1635)</f>
        <v>2025</v>
      </c>
      <c r="F1635" s="12" t="n">
        <f aca="false">MONTH(A1635)</f>
        <v>6</v>
      </c>
      <c r="G1635" s="12" t="n">
        <v>18.6</v>
      </c>
      <c r="H1635" s="12" t="n">
        <v>45</v>
      </c>
      <c r="I1635" s="12" t="n">
        <v>248</v>
      </c>
      <c r="J1635" s="12" t="n">
        <v>1.3</v>
      </c>
      <c r="K1635" s="12" t="n">
        <v>0.6</v>
      </c>
      <c r="L1635" s="12" t="s">
        <v>35</v>
      </c>
    </row>
    <row r="1636" customFormat="false" ht="15" hidden="false" customHeight="false" outlineLevel="0" collapsed="false">
      <c r="A1636" s="11" t="n">
        <v>45831</v>
      </c>
      <c r="B1636" s="12" t="n">
        <v>6.9</v>
      </c>
      <c r="C1636" s="12" t="n">
        <f aca="false">IF(NOT(ISNUMBER(B1636)),"",ROUND((INDEX(BP!$D$5:$D$9,MATCH(B1636,BP!$A$5:$A$9,1))-INDEX(BP!$C$5:$C$9,MATCH(B1636,BP!$A$5:$A$9,1)))/(INDEX(BP!$B$5:$B$9,MATCH(B1636,BP!$A$5:$A$9,1))-INDEX(BP!$A$5:$A$9,MATCH(B1636,BP!$A$5:$A$9,1)))*(B1636-INDEX(BP!$A$5:$A$9,MATCH(B1636,BP!$A$5:$A$9,1)))+INDEX(BP!$C$5:$C$9,MATCH(B1636,BP!$A$5:$A$9,1)),0))</f>
        <v>12</v>
      </c>
      <c r="D1636" s="12" t="str">
        <f aca="false">IF(NOT(ISNUMBER(C1636)),"",INDEX(BP!$F$5:$F$9,MATCH(C1636,BP!$E$5:$E$9,1)))</f>
        <v>ดีมาก</v>
      </c>
      <c r="E1636" s="12" t="n">
        <f aca="false">YEAR(A1636)</f>
        <v>2025</v>
      </c>
      <c r="F1636" s="12" t="n">
        <f aca="false">MONTH(A1636)</f>
        <v>6</v>
      </c>
      <c r="G1636" s="12" t="n">
        <v>19</v>
      </c>
      <c r="H1636" s="12" t="n">
        <v>45.4</v>
      </c>
      <c r="I1636" s="12" t="n">
        <v>249</v>
      </c>
      <c r="J1636" s="12" t="n">
        <v>1</v>
      </c>
      <c r="K1636" s="12" t="n">
        <v>18.2</v>
      </c>
      <c r="L1636" s="12" t="s">
        <v>36</v>
      </c>
    </row>
    <row r="1637" customFormat="false" ht="15" hidden="false" customHeight="false" outlineLevel="0" collapsed="false">
      <c r="A1637" s="11" t="n">
        <v>45832</v>
      </c>
      <c r="B1637" s="12" t="n">
        <v>6.8</v>
      </c>
      <c r="C1637" s="12" t="n">
        <f aca="false">IF(NOT(ISNUMBER(B1637)),"",ROUND((INDEX(BP!$D$5:$D$9,MATCH(B1637,BP!$A$5:$A$9,1))-INDEX(BP!$C$5:$C$9,MATCH(B1637,BP!$A$5:$A$9,1)))/(INDEX(BP!$B$5:$B$9,MATCH(B1637,BP!$A$5:$A$9,1))-INDEX(BP!$A$5:$A$9,MATCH(B1637,BP!$A$5:$A$9,1)))*(B1637-INDEX(BP!$A$5:$A$9,MATCH(B1637,BP!$A$5:$A$9,1)))+INDEX(BP!$C$5:$C$9,MATCH(B1637,BP!$A$5:$A$9,1)),0))</f>
        <v>11</v>
      </c>
      <c r="D1637" s="12" t="str">
        <f aca="false">IF(NOT(ISNUMBER(C1637)),"",INDEX(BP!$F$5:$F$9,MATCH(C1637,BP!$E$5:$E$9,1)))</f>
        <v>ดีมาก</v>
      </c>
      <c r="E1637" s="12" t="n">
        <f aca="false">YEAR(A1637)</f>
        <v>2025</v>
      </c>
      <c r="F1637" s="12" t="n">
        <f aca="false">MONTH(A1637)</f>
        <v>6</v>
      </c>
      <c r="G1637" s="12" t="n">
        <v>20.3</v>
      </c>
      <c r="H1637" s="12" t="n">
        <v>46.8</v>
      </c>
      <c r="I1637" s="12" t="n">
        <v>229</v>
      </c>
      <c r="J1637" s="12" t="n">
        <v>7.6</v>
      </c>
      <c r="K1637" s="12" t="n">
        <v>10.4</v>
      </c>
      <c r="L1637" s="12" t="s">
        <v>36</v>
      </c>
    </row>
    <row r="1638" customFormat="false" ht="15" hidden="false" customHeight="false" outlineLevel="0" collapsed="false">
      <c r="A1638" s="11" t="n">
        <v>45833</v>
      </c>
      <c r="B1638" s="12" t="n">
        <v>8.3</v>
      </c>
      <c r="C1638" s="12" t="n">
        <f aca="false">IF(NOT(ISNUMBER(B1638)),"",ROUND((INDEX(BP!$D$5:$D$9,MATCH(B1638,BP!$A$5:$A$9,1))-INDEX(BP!$C$5:$C$9,MATCH(B1638,BP!$A$5:$A$9,1)))/(INDEX(BP!$B$5:$B$9,MATCH(B1638,BP!$A$5:$A$9,1))-INDEX(BP!$A$5:$A$9,MATCH(B1638,BP!$A$5:$A$9,1)))*(B1638-INDEX(BP!$A$5:$A$9,MATCH(B1638,BP!$A$5:$A$9,1)))+INDEX(BP!$C$5:$C$9,MATCH(B1638,BP!$A$5:$A$9,1)),0))</f>
        <v>14</v>
      </c>
      <c r="D1638" s="12" t="str">
        <f aca="false">IF(NOT(ISNUMBER(C1638)),"",INDEX(BP!$F$5:$F$9,MATCH(C1638,BP!$E$5:$E$9,1)))</f>
        <v>ดีมาก</v>
      </c>
      <c r="E1638" s="12" t="n">
        <f aca="false">YEAR(A1638)</f>
        <v>2025</v>
      </c>
      <c r="F1638" s="12" t="n">
        <f aca="false">MONTH(A1638)</f>
        <v>6</v>
      </c>
      <c r="G1638" s="12" t="n">
        <v>10.6</v>
      </c>
      <c r="H1638" s="12" t="n">
        <v>24.8</v>
      </c>
      <c r="I1638" s="12" t="n">
        <v>186</v>
      </c>
      <c r="J1638" s="12" t="n">
        <v>0</v>
      </c>
      <c r="K1638" s="12" t="n">
        <v>0</v>
      </c>
      <c r="L1638" s="12" t="s">
        <v>36</v>
      </c>
    </row>
    <row r="1639" customFormat="false" ht="15" hidden="false" customHeight="false" outlineLevel="0" collapsed="false">
      <c r="A1639" s="11" t="n">
        <v>45834</v>
      </c>
      <c r="B1639" s="12" t="n">
        <v>16.7</v>
      </c>
      <c r="C1639" s="12" t="n">
        <f aca="false">IF(NOT(ISNUMBER(B1639)),"",ROUND((INDEX(BP!$D$5:$D$9,MATCH(B1639,BP!$A$5:$A$9,1))-INDEX(BP!$C$5:$C$9,MATCH(B1639,BP!$A$5:$A$9,1)))/(INDEX(BP!$B$5:$B$9,MATCH(B1639,BP!$A$5:$A$9,1))-INDEX(BP!$A$5:$A$9,MATCH(B1639,BP!$A$5:$A$9,1)))*(B1639-INDEX(BP!$A$5:$A$9,MATCH(B1639,BP!$A$5:$A$9,1)))+INDEX(BP!$C$5:$C$9,MATCH(B1639,BP!$A$5:$A$9,1)),0))</f>
        <v>30</v>
      </c>
      <c r="D1639" s="12" t="str">
        <f aca="false">IF(NOT(ISNUMBER(C1639)),"",INDEX(BP!$F$5:$F$9,MATCH(C1639,BP!$E$5:$E$9,1)))</f>
        <v>ดี</v>
      </c>
      <c r="E1639" s="12" t="n">
        <f aca="false">YEAR(A1639)</f>
        <v>2025</v>
      </c>
      <c r="F1639" s="12" t="n">
        <f aca="false">MONTH(A1639)</f>
        <v>6</v>
      </c>
      <c r="G1639" s="12" t="n">
        <v>11.2</v>
      </c>
      <c r="H1639" s="12" t="n">
        <v>34.2</v>
      </c>
      <c r="I1639" s="12" t="n">
        <v>241</v>
      </c>
      <c r="J1639" s="12" t="n">
        <v>5.1</v>
      </c>
      <c r="K1639" s="12" t="n">
        <v>0.2</v>
      </c>
      <c r="L1639" s="12" t="s">
        <v>36</v>
      </c>
    </row>
    <row r="1640" customFormat="false" ht="15" hidden="false" customHeight="false" outlineLevel="0" collapsed="false">
      <c r="A1640" s="11" t="n">
        <v>45835</v>
      </c>
      <c r="B1640" s="12" t="n">
        <v>16.3</v>
      </c>
      <c r="C1640" s="12" t="n">
        <f aca="false">IF(NOT(ISNUMBER(B1640)),"",ROUND((INDEX(BP!$D$5:$D$9,MATCH(B1640,BP!$A$5:$A$9,1))-INDEX(BP!$C$5:$C$9,MATCH(B1640,BP!$A$5:$A$9,1)))/(INDEX(BP!$B$5:$B$9,MATCH(B1640,BP!$A$5:$A$9,1))-INDEX(BP!$A$5:$A$9,MATCH(B1640,BP!$A$5:$A$9,1)))*(B1640-INDEX(BP!$A$5:$A$9,MATCH(B1640,BP!$A$5:$A$9,1)))+INDEX(BP!$C$5:$C$9,MATCH(B1640,BP!$A$5:$A$9,1)),0))</f>
        <v>29</v>
      </c>
      <c r="D1640" s="12" t="str">
        <f aca="false">IF(NOT(ISNUMBER(C1640)),"",INDEX(BP!$F$5:$F$9,MATCH(C1640,BP!$E$5:$E$9,1)))</f>
        <v>ดี</v>
      </c>
      <c r="E1640" s="12" t="n">
        <f aca="false">YEAR(A1640)</f>
        <v>2025</v>
      </c>
      <c r="F1640" s="12" t="n">
        <f aca="false">MONTH(A1640)</f>
        <v>6</v>
      </c>
      <c r="G1640" s="12" t="n">
        <v>12.9</v>
      </c>
      <c r="H1640" s="12" t="n">
        <v>31.3</v>
      </c>
      <c r="I1640" s="12" t="n">
        <v>211</v>
      </c>
      <c r="J1640" s="12" t="n">
        <v>2.1</v>
      </c>
      <c r="K1640" s="12" t="n">
        <v>0</v>
      </c>
      <c r="L1640" s="12" t="s">
        <v>36</v>
      </c>
    </row>
    <row r="1641" customFormat="false" ht="15" hidden="false" customHeight="false" outlineLevel="0" collapsed="false">
      <c r="A1641" s="11" t="n">
        <v>45836</v>
      </c>
      <c r="B1641" s="12" t="n">
        <v>16.8</v>
      </c>
      <c r="C1641" s="12" t="n">
        <f aca="false">IF(NOT(ISNUMBER(B1641)),"",ROUND((INDEX(BP!$D$5:$D$9,MATCH(B1641,BP!$A$5:$A$9,1))-INDEX(BP!$C$5:$C$9,MATCH(B1641,BP!$A$5:$A$9,1)))/(INDEX(BP!$B$5:$B$9,MATCH(B1641,BP!$A$5:$A$9,1))-INDEX(BP!$A$5:$A$9,MATCH(B1641,BP!$A$5:$A$9,1)))*(B1641-INDEX(BP!$A$5:$A$9,MATCH(B1641,BP!$A$5:$A$9,1)))+INDEX(BP!$C$5:$C$9,MATCH(B1641,BP!$A$5:$A$9,1)),0))</f>
        <v>30</v>
      </c>
      <c r="D1641" s="12" t="str">
        <f aca="false">IF(NOT(ISNUMBER(C1641)),"",INDEX(BP!$F$5:$F$9,MATCH(C1641,BP!$E$5:$E$9,1)))</f>
        <v>ดี</v>
      </c>
      <c r="E1641" s="12" t="n">
        <f aca="false">YEAR(A1641)</f>
        <v>2025</v>
      </c>
      <c r="F1641" s="12" t="n">
        <f aca="false">MONTH(A1641)</f>
        <v>6</v>
      </c>
      <c r="G1641" s="12" t="n">
        <v>12.4</v>
      </c>
      <c r="H1641" s="12" t="n">
        <v>34.2</v>
      </c>
      <c r="I1641" s="12" t="n">
        <v>252</v>
      </c>
      <c r="J1641" s="12" t="n">
        <v>1.4</v>
      </c>
      <c r="K1641" s="12" t="n">
        <v>0</v>
      </c>
      <c r="L1641" s="12" t="s">
        <v>35</v>
      </c>
    </row>
    <row r="1642" customFormat="false" ht="15" hidden="false" customHeight="false" outlineLevel="0" collapsed="false">
      <c r="A1642" s="11" t="n">
        <v>45837</v>
      </c>
      <c r="B1642" s="12" t="n">
        <v>15</v>
      </c>
      <c r="C1642" s="12" t="n">
        <f aca="false">IF(NOT(ISNUMBER(B1642)),"",ROUND((INDEX(BP!$D$5:$D$9,MATCH(B1642,BP!$A$5:$A$9,1))-INDEX(BP!$C$5:$C$9,MATCH(B1642,BP!$A$5:$A$9,1)))/(INDEX(BP!$B$5:$B$9,MATCH(B1642,BP!$A$5:$A$9,1))-INDEX(BP!$A$5:$A$9,MATCH(B1642,BP!$A$5:$A$9,1)))*(B1642-INDEX(BP!$A$5:$A$9,MATCH(B1642,BP!$A$5:$A$9,1)))+INDEX(BP!$C$5:$C$9,MATCH(B1642,BP!$A$5:$A$9,1)),0))</f>
        <v>25</v>
      </c>
      <c r="D1642" s="12" t="str">
        <f aca="false">IF(NOT(ISNUMBER(C1642)),"",INDEX(BP!$F$5:$F$9,MATCH(C1642,BP!$E$5:$E$9,1)))</f>
        <v>ดีมาก</v>
      </c>
      <c r="E1642" s="12" t="n">
        <f aca="false">YEAR(A1642)</f>
        <v>2025</v>
      </c>
      <c r="F1642" s="12" t="n">
        <f aca="false">MONTH(A1642)</f>
        <v>6</v>
      </c>
      <c r="G1642" s="12" t="n">
        <v>12.5</v>
      </c>
      <c r="H1642" s="12" t="n">
        <v>30.6</v>
      </c>
      <c r="I1642" s="12" t="n">
        <v>245</v>
      </c>
      <c r="J1642" s="12" t="n">
        <v>0.2</v>
      </c>
      <c r="K1642" s="12" t="n">
        <v>0</v>
      </c>
      <c r="L1642" s="12" t="s">
        <v>35</v>
      </c>
    </row>
    <row r="1643" customFormat="false" ht="15" hidden="false" customHeight="false" outlineLevel="0" collapsed="false">
      <c r="A1643" s="11" t="n">
        <v>45838</v>
      </c>
      <c r="B1643" s="12" t="n">
        <v>14.8</v>
      </c>
      <c r="C1643" s="12" t="n">
        <f aca="false">IF(NOT(ISNUMBER(B1643)),"",ROUND((INDEX(BP!$D$5:$D$9,MATCH(B1643,BP!$A$5:$A$9,1))-INDEX(BP!$C$5:$C$9,MATCH(B1643,BP!$A$5:$A$9,1)))/(INDEX(BP!$B$5:$B$9,MATCH(B1643,BP!$A$5:$A$9,1))-INDEX(BP!$A$5:$A$9,MATCH(B1643,BP!$A$5:$A$9,1)))*(B1643-INDEX(BP!$A$5:$A$9,MATCH(B1643,BP!$A$5:$A$9,1)))+INDEX(BP!$C$5:$C$9,MATCH(B1643,BP!$A$5:$A$9,1)),0))</f>
        <v>25</v>
      </c>
      <c r="D1643" s="12" t="str">
        <f aca="false">IF(NOT(ISNUMBER(C1643)),"",INDEX(BP!$F$5:$F$9,MATCH(C1643,BP!$E$5:$E$9,1)))</f>
        <v>ดีมาก</v>
      </c>
      <c r="E1643" s="12" t="n">
        <f aca="false">YEAR(A1643)</f>
        <v>2025</v>
      </c>
      <c r="F1643" s="12" t="n">
        <f aca="false">MONTH(A1643)</f>
        <v>6</v>
      </c>
      <c r="G1643" s="12" t="n">
        <v>22.8</v>
      </c>
      <c r="H1643" s="12" t="n">
        <v>45.4</v>
      </c>
      <c r="I1643" s="12" t="n">
        <v>256</v>
      </c>
      <c r="J1643" s="12" t="n">
        <v>0</v>
      </c>
      <c r="K1643" s="12" t="n">
        <v>0</v>
      </c>
      <c r="L1643" s="12" t="s">
        <v>36</v>
      </c>
    </row>
    <row r="1644" customFormat="false" ht="15" hidden="false" customHeight="false" outlineLevel="0" collapsed="false">
      <c r="A1644" s="11" t="n">
        <v>45839</v>
      </c>
      <c r="B1644" s="12" t="n">
        <v>12.3</v>
      </c>
      <c r="C1644" s="12" t="n">
        <f aca="false">IF(NOT(ISNUMBER(B1644)),"",ROUND((INDEX(BP!$D$5:$D$9,MATCH(B1644,BP!$A$5:$A$9,1))-INDEX(BP!$C$5:$C$9,MATCH(B1644,BP!$A$5:$A$9,1)))/(INDEX(BP!$B$5:$B$9,MATCH(B1644,BP!$A$5:$A$9,1))-INDEX(BP!$A$5:$A$9,MATCH(B1644,BP!$A$5:$A$9,1)))*(B1644-INDEX(BP!$A$5:$A$9,MATCH(B1644,BP!$A$5:$A$9,1)))+INDEX(BP!$C$5:$C$9,MATCH(B1644,BP!$A$5:$A$9,1)),0))</f>
        <v>21</v>
      </c>
      <c r="D1644" s="12" t="str">
        <f aca="false">IF(NOT(ISNUMBER(C1644)),"",INDEX(BP!$F$5:$F$9,MATCH(C1644,BP!$E$5:$E$9,1)))</f>
        <v>ดีมาก</v>
      </c>
      <c r="E1644" s="12" t="n">
        <f aca="false">YEAR(A1644)</f>
        <v>2025</v>
      </c>
      <c r="F1644" s="12" t="n">
        <f aca="false">MONTH(A1644)</f>
        <v>7</v>
      </c>
      <c r="G1644" s="12" t="n">
        <v>22.5</v>
      </c>
      <c r="H1644" s="12" t="n">
        <v>49.7</v>
      </c>
      <c r="I1644" s="12" t="n">
        <v>258</v>
      </c>
      <c r="J1644" s="12" t="n">
        <v>8.5</v>
      </c>
      <c r="K1644" s="12" t="n">
        <v>0</v>
      </c>
      <c r="L1644" s="12" t="s">
        <v>36</v>
      </c>
    </row>
    <row r="1645" customFormat="false" ht="15" hidden="false" customHeight="false" outlineLevel="0" collapsed="false">
      <c r="A1645" s="11" t="n">
        <v>45840</v>
      </c>
      <c r="B1645" s="12" t="n">
        <v>7.9</v>
      </c>
      <c r="C1645" s="12" t="n">
        <f aca="false">IF(NOT(ISNUMBER(B1645)),"",ROUND((INDEX(BP!$D$5:$D$9,MATCH(B1645,BP!$A$5:$A$9,1))-INDEX(BP!$C$5:$C$9,MATCH(B1645,BP!$A$5:$A$9,1)))/(INDEX(BP!$B$5:$B$9,MATCH(B1645,BP!$A$5:$A$9,1))-INDEX(BP!$A$5:$A$9,MATCH(B1645,BP!$A$5:$A$9,1)))*(B1645-INDEX(BP!$A$5:$A$9,MATCH(B1645,BP!$A$5:$A$9,1)))+INDEX(BP!$C$5:$C$9,MATCH(B1645,BP!$A$5:$A$9,1)),0))</f>
        <v>13</v>
      </c>
      <c r="D1645" s="12" t="str">
        <f aca="false">IF(NOT(ISNUMBER(C1645)),"",INDEX(BP!$F$5:$F$9,MATCH(C1645,BP!$E$5:$E$9,1)))</f>
        <v>ดีมาก</v>
      </c>
      <c r="E1645" s="12" t="n">
        <f aca="false">YEAR(A1645)</f>
        <v>2025</v>
      </c>
      <c r="F1645" s="12" t="n">
        <f aca="false">MONTH(A1645)</f>
        <v>7</v>
      </c>
      <c r="G1645" s="12" t="n">
        <v>14.8</v>
      </c>
      <c r="H1645" s="12" t="n">
        <v>39.6</v>
      </c>
      <c r="I1645" s="12" t="n">
        <v>244</v>
      </c>
      <c r="J1645" s="12" t="n">
        <v>7.1</v>
      </c>
      <c r="K1645" s="12" t="n">
        <v>5.2</v>
      </c>
      <c r="L1645" s="12" t="s">
        <v>36</v>
      </c>
    </row>
    <row r="1646" customFormat="false" ht="15" hidden="false" customHeight="false" outlineLevel="0" collapsed="false">
      <c r="A1646" s="11" t="n">
        <v>45841</v>
      </c>
      <c r="B1646" s="12" t="n">
        <v>7.8</v>
      </c>
      <c r="C1646" s="12" t="n">
        <f aca="false">IF(NOT(ISNUMBER(B1646)),"",ROUND((INDEX(BP!$D$5:$D$9,MATCH(B1646,BP!$A$5:$A$9,1))-INDEX(BP!$C$5:$C$9,MATCH(B1646,BP!$A$5:$A$9,1)))/(INDEX(BP!$B$5:$B$9,MATCH(B1646,BP!$A$5:$A$9,1))-INDEX(BP!$A$5:$A$9,MATCH(B1646,BP!$A$5:$A$9,1)))*(B1646-INDEX(BP!$A$5:$A$9,MATCH(B1646,BP!$A$5:$A$9,1)))+INDEX(BP!$C$5:$C$9,MATCH(B1646,BP!$A$5:$A$9,1)),0))</f>
        <v>13</v>
      </c>
      <c r="D1646" s="12" t="str">
        <f aca="false">IF(NOT(ISNUMBER(C1646)),"",INDEX(BP!$F$5:$F$9,MATCH(C1646,BP!$E$5:$E$9,1)))</f>
        <v>ดีมาก</v>
      </c>
      <c r="E1646" s="12" t="n">
        <f aca="false">YEAR(A1646)</f>
        <v>2025</v>
      </c>
      <c r="F1646" s="12" t="n">
        <f aca="false">MONTH(A1646)</f>
        <v>7</v>
      </c>
      <c r="G1646" s="12" t="n">
        <v>16</v>
      </c>
      <c r="H1646" s="12" t="n">
        <v>33.5</v>
      </c>
      <c r="I1646" s="12" t="n">
        <v>246</v>
      </c>
      <c r="J1646" s="12" t="n">
        <v>0.1</v>
      </c>
      <c r="K1646" s="12" t="n">
        <v>0</v>
      </c>
      <c r="L1646" s="12" t="s">
        <v>36</v>
      </c>
    </row>
    <row r="1647" customFormat="false" ht="15" hidden="false" customHeight="false" outlineLevel="0" collapsed="false">
      <c r="A1647" s="11" t="n">
        <v>45842</v>
      </c>
      <c r="B1647" s="12" t="n">
        <v>9</v>
      </c>
      <c r="C1647" s="12" t="n">
        <f aca="false">IF(NOT(ISNUMBER(B1647)),"",ROUND((INDEX(BP!$D$5:$D$9,MATCH(B1647,BP!$A$5:$A$9,1))-INDEX(BP!$C$5:$C$9,MATCH(B1647,BP!$A$5:$A$9,1)))/(INDEX(BP!$B$5:$B$9,MATCH(B1647,BP!$A$5:$A$9,1))-INDEX(BP!$A$5:$A$9,MATCH(B1647,BP!$A$5:$A$9,1)))*(B1647-INDEX(BP!$A$5:$A$9,MATCH(B1647,BP!$A$5:$A$9,1)))+INDEX(BP!$C$5:$C$9,MATCH(B1647,BP!$A$5:$A$9,1)),0))</f>
        <v>15</v>
      </c>
      <c r="D1647" s="12" t="str">
        <f aca="false">IF(NOT(ISNUMBER(C1647)),"",INDEX(BP!$F$5:$F$9,MATCH(C1647,BP!$E$5:$E$9,1)))</f>
        <v>ดีมาก</v>
      </c>
      <c r="E1647" s="12" t="n">
        <f aca="false">YEAR(A1647)</f>
        <v>2025</v>
      </c>
      <c r="F1647" s="12" t="n">
        <f aca="false">MONTH(A1647)</f>
        <v>7</v>
      </c>
      <c r="G1647" s="12" t="n">
        <v>22.9</v>
      </c>
      <c r="H1647" s="12" t="n">
        <v>47.2</v>
      </c>
      <c r="I1647" s="12" t="n">
        <v>248</v>
      </c>
      <c r="J1647" s="12" t="n">
        <v>0.3</v>
      </c>
      <c r="K1647" s="12" t="n">
        <v>0</v>
      </c>
      <c r="L1647" s="12" t="s">
        <v>36</v>
      </c>
    </row>
    <row r="1648" customFormat="false" ht="15" hidden="false" customHeight="false" outlineLevel="0" collapsed="false">
      <c r="A1648" s="11" t="n">
        <v>45843</v>
      </c>
      <c r="B1648" s="12" t="n">
        <v>9.8</v>
      </c>
      <c r="C1648" s="12" t="n">
        <f aca="false">IF(NOT(ISNUMBER(B1648)),"",ROUND((INDEX(BP!$D$5:$D$9,MATCH(B1648,BP!$A$5:$A$9,1))-INDEX(BP!$C$5:$C$9,MATCH(B1648,BP!$A$5:$A$9,1)))/(INDEX(BP!$B$5:$B$9,MATCH(B1648,BP!$A$5:$A$9,1))-INDEX(BP!$A$5:$A$9,MATCH(B1648,BP!$A$5:$A$9,1)))*(B1648-INDEX(BP!$A$5:$A$9,MATCH(B1648,BP!$A$5:$A$9,1)))+INDEX(BP!$C$5:$C$9,MATCH(B1648,BP!$A$5:$A$9,1)),0))</f>
        <v>16</v>
      </c>
      <c r="D1648" s="12" t="str">
        <f aca="false">IF(NOT(ISNUMBER(C1648)),"",INDEX(BP!$F$5:$F$9,MATCH(C1648,BP!$E$5:$E$9,1)))</f>
        <v>ดีมาก</v>
      </c>
      <c r="E1648" s="12" t="n">
        <f aca="false">YEAR(A1648)</f>
        <v>2025</v>
      </c>
      <c r="F1648" s="12" t="n">
        <f aca="false">MONTH(A1648)</f>
        <v>7</v>
      </c>
      <c r="G1648" s="12" t="n">
        <v>22.1</v>
      </c>
      <c r="H1648" s="12" t="n">
        <v>46.8</v>
      </c>
      <c r="I1648" s="12" t="n">
        <v>252</v>
      </c>
      <c r="J1648" s="12" t="n">
        <v>0.2</v>
      </c>
      <c r="K1648" s="12" t="n">
        <v>0</v>
      </c>
      <c r="L1648" s="12" t="s">
        <v>35</v>
      </c>
    </row>
    <row r="1649" customFormat="false" ht="15" hidden="false" customHeight="false" outlineLevel="0" collapsed="false">
      <c r="A1649" s="11" t="n">
        <v>45844</v>
      </c>
      <c r="B1649" s="12" t="n">
        <v>9.8</v>
      </c>
      <c r="C1649" s="12" t="n">
        <f aca="false">IF(NOT(ISNUMBER(B1649)),"",ROUND((INDEX(BP!$D$5:$D$9,MATCH(B1649,BP!$A$5:$A$9,1))-INDEX(BP!$C$5:$C$9,MATCH(B1649,BP!$A$5:$A$9,1)))/(INDEX(BP!$B$5:$B$9,MATCH(B1649,BP!$A$5:$A$9,1))-INDEX(BP!$A$5:$A$9,MATCH(B1649,BP!$A$5:$A$9,1)))*(B1649-INDEX(BP!$A$5:$A$9,MATCH(B1649,BP!$A$5:$A$9,1)))+INDEX(BP!$C$5:$C$9,MATCH(B1649,BP!$A$5:$A$9,1)),0))</f>
        <v>16</v>
      </c>
      <c r="D1649" s="12" t="str">
        <f aca="false">IF(NOT(ISNUMBER(C1649)),"",INDEX(BP!$F$5:$F$9,MATCH(C1649,BP!$E$5:$E$9,1)))</f>
        <v>ดีมาก</v>
      </c>
      <c r="E1649" s="12" t="n">
        <f aca="false">YEAR(A1649)</f>
        <v>2025</v>
      </c>
      <c r="F1649" s="12" t="n">
        <f aca="false">MONTH(A1649)</f>
        <v>7</v>
      </c>
      <c r="G1649" s="12" t="n">
        <v>21.1</v>
      </c>
      <c r="H1649" s="12" t="n">
        <v>43.2</v>
      </c>
      <c r="I1649" s="12" t="n">
        <v>239</v>
      </c>
      <c r="J1649" s="12" t="n">
        <v>1.1</v>
      </c>
      <c r="K1649" s="12" t="n">
        <v>0</v>
      </c>
      <c r="L1649" s="12" t="s">
        <v>35</v>
      </c>
    </row>
    <row r="1650" customFormat="false" ht="15" hidden="false" customHeight="false" outlineLevel="0" collapsed="false">
      <c r="A1650" s="11" t="n">
        <v>45845</v>
      </c>
      <c r="B1650" s="12" t="n">
        <v>11.4</v>
      </c>
      <c r="C1650" s="12" t="n">
        <f aca="false">IF(NOT(ISNUMBER(B1650)),"",ROUND((INDEX(BP!$D$5:$D$9,MATCH(B1650,BP!$A$5:$A$9,1))-INDEX(BP!$C$5:$C$9,MATCH(B1650,BP!$A$5:$A$9,1)))/(INDEX(BP!$B$5:$B$9,MATCH(B1650,BP!$A$5:$A$9,1))-INDEX(BP!$A$5:$A$9,MATCH(B1650,BP!$A$5:$A$9,1)))*(B1650-INDEX(BP!$A$5:$A$9,MATCH(B1650,BP!$A$5:$A$9,1)))+INDEX(BP!$C$5:$C$9,MATCH(B1650,BP!$A$5:$A$9,1)),0))</f>
        <v>19</v>
      </c>
      <c r="D1650" s="12" t="str">
        <f aca="false">IF(NOT(ISNUMBER(C1650)),"",INDEX(BP!$F$5:$F$9,MATCH(C1650,BP!$E$5:$E$9,1)))</f>
        <v>ดีมาก</v>
      </c>
      <c r="E1650" s="12" t="n">
        <f aca="false">YEAR(A1650)</f>
        <v>2025</v>
      </c>
      <c r="F1650" s="12" t="n">
        <f aca="false">MONTH(A1650)</f>
        <v>7</v>
      </c>
      <c r="G1650" s="12" t="n">
        <v>17</v>
      </c>
      <c r="H1650" s="12" t="n">
        <v>33.8</v>
      </c>
      <c r="I1650" s="12" t="n">
        <v>228</v>
      </c>
      <c r="J1650" s="12" t="n">
        <v>0.1</v>
      </c>
      <c r="K1650" s="12" t="n">
        <v>1</v>
      </c>
      <c r="L1650" s="12" t="s">
        <v>36</v>
      </c>
    </row>
    <row r="1651" customFormat="false" ht="15" hidden="false" customHeight="false" outlineLevel="0" collapsed="false">
      <c r="A1651" s="11" t="n">
        <v>45846</v>
      </c>
      <c r="B1651" s="12" t="n">
        <v>9.9</v>
      </c>
      <c r="C1651" s="12" t="n">
        <f aca="false">IF(NOT(ISNUMBER(B1651)),"",ROUND((INDEX(BP!$D$5:$D$9,MATCH(B1651,BP!$A$5:$A$9,1))-INDEX(BP!$C$5:$C$9,MATCH(B1651,BP!$A$5:$A$9,1)))/(INDEX(BP!$B$5:$B$9,MATCH(B1651,BP!$A$5:$A$9,1))-INDEX(BP!$A$5:$A$9,MATCH(B1651,BP!$A$5:$A$9,1)))*(B1651-INDEX(BP!$A$5:$A$9,MATCH(B1651,BP!$A$5:$A$9,1)))+INDEX(BP!$C$5:$C$9,MATCH(B1651,BP!$A$5:$A$9,1)),0))</f>
        <v>17</v>
      </c>
      <c r="D1651" s="12" t="str">
        <f aca="false">IF(NOT(ISNUMBER(C1651)),"",INDEX(BP!$F$5:$F$9,MATCH(C1651,BP!$E$5:$E$9,1)))</f>
        <v>ดีมาก</v>
      </c>
      <c r="E1651" s="12" t="n">
        <f aca="false">YEAR(A1651)</f>
        <v>2025</v>
      </c>
      <c r="F1651" s="12" t="n">
        <f aca="false">MONTH(A1651)</f>
        <v>7</v>
      </c>
      <c r="G1651" s="12" t="n">
        <v>16.2</v>
      </c>
      <c r="H1651" s="12" t="n">
        <v>27.7</v>
      </c>
      <c r="I1651" s="12" t="n">
        <v>225</v>
      </c>
      <c r="J1651" s="12" t="n">
        <v>3</v>
      </c>
      <c r="K1651" s="12" t="n">
        <v>0.2</v>
      </c>
      <c r="L1651" s="12" t="s">
        <v>36</v>
      </c>
    </row>
    <row r="1652" customFormat="false" ht="15" hidden="false" customHeight="false" outlineLevel="0" collapsed="false">
      <c r="A1652" s="11" t="n">
        <v>45847</v>
      </c>
      <c r="B1652" s="12" t="n">
        <v>8.3</v>
      </c>
      <c r="C1652" s="12" t="n">
        <f aca="false">IF(NOT(ISNUMBER(B1652)),"",ROUND((INDEX(BP!$D$5:$D$9,MATCH(B1652,BP!$A$5:$A$9,1))-INDEX(BP!$C$5:$C$9,MATCH(B1652,BP!$A$5:$A$9,1)))/(INDEX(BP!$B$5:$B$9,MATCH(B1652,BP!$A$5:$A$9,1))-INDEX(BP!$A$5:$A$9,MATCH(B1652,BP!$A$5:$A$9,1)))*(B1652-INDEX(BP!$A$5:$A$9,MATCH(B1652,BP!$A$5:$A$9,1)))+INDEX(BP!$C$5:$C$9,MATCH(B1652,BP!$A$5:$A$9,1)),0))</f>
        <v>14</v>
      </c>
      <c r="D1652" s="12" t="str">
        <f aca="false">IF(NOT(ISNUMBER(C1652)),"",INDEX(BP!$F$5:$F$9,MATCH(C1652,BP!$E$5:$E$9,1)))</f>
        <v>ดีมาก</v>
      </c>
      <c r="E1652" s="12" t="n">
        <f aca="false">YEAR(A1652)</f>
        <v>2025</v>
      </c>
      <c r="F1652" s="12" t="n">
        <f aca="false">MONTH(A1652)</f>
        <v>7</v>
      </c>
      <c r="G1652" s="12" t="n">
        <v>15.5</v>
      </c>
      <c r="H1652" s="12" t="n">
        <v>36</v>
      </c>
      <c r="I1652" s="12" t="n">
        <v>243</v>
      </c>
      <c r="J1652" s="12" t="n">
        <v>0.3</v>
      </c>
      <c r="K1652" s="12" t="n">
        <v>0</v>
      </c>
      <c r="L1652" s="12" t="s">
        <v>36</v>
      </c>
    </row>
    <row r="1653" customFormat="false" ht="15" hidden="false" customHeight="false" outlineLevel="0" collapsed="false">
      <c r="A1653" s="11" t="n">
        <v>45848</v>
      </c>
      <c r="B1653" s="12" t="n">
        <v>10.3</v>
      </c>
      <c r="C1653" s="12" t="n">
        <f aca="false">IF(NOT(ISNUMBER(B1653)),"",ROUND((INDEX(BP!$D$5:$D$9,MATCH(B1653,BP!$A$5:$A$9,1))-INDEX(BP!$C$5:$C$9,MATCH(B1653,BP!$A$5:$A$9,1)))/(INDEX(BP!$B$5:$B$9,MATCH(B1653,BP!$A$5:$A$9,1))-INDEX(BP!$A$5:$A$9,MATCH(B1653,BP!$A$5:$A$9,1)))*(B1653-INDEX(BP!$A$5:$A$9,MATCH(B1653,BP!$A$5:$A$9,1)))+INDEX(BP!$C$5:$C$9,MATCH(B1653,BP!$A$5:$A$9,1)),0))</f>
        <v>17</v>
      </c>
      <c r="D1653" s="12" t="str">
        <f aca="false">IF(NOT(ISNUMBER(C1653)),"",INDEX(BP!$F$5:$F$9,MATCH(C1653,BP!$E$5:$E$9,1)))</f>
        <v>ดีมาก</v>
      </c>
      <c r="E1653" s="12" t="n">
        <f aca="false">YEAR(A1653)</f>
        <v>2025</v>
      </c>
      <c r="F1653" s="12" t="n">
        <f aca="false">MONTH(A1653)</f>
        <v>7</v>
      </c>
      <c r="G1653" s="12" t="n">
        <v>22.2</v>
      </c>
      <c r="H1653" s="12" t="n">
        <v>45.7</v>
      </c>
      <c r="I1653" s="12" t="n">
        <v>260</v>
      </c>
      <c r="J1653" s="12" t="n">
        <v>0.3</v>
      </c>
      <c r="K1653" s="12" t="n">
        <v>1.8</v>
      </c>
      <c r="L1653" s="12" t="s">
        <v>34</v>
      </c>
    </row>
    <row r="1654" customFormat="false" ht="15" hidden="false" customHeight="false" outlineLevel="0" collapsed="false">
      <c r="A1654" s="11" t="n">
        <v>45849</v>
      </c>
      <c r="B1654" s="12" t="n">
        <v>9.8</v>
      </c>
      <c r="C1654" s="12" t="n">
        <f aca="false">IF(NOT(ISNUMBER(B1654)),"",ROUND((INDEX(BP!$D$5:$D$9,MATCH(B1654,BP!$A$5:$A$9,1))-INDEX(BP!$C$5:$C$9,MATCH(B1654,BP!$A$5:$A$9,1)))/(INDEX(BP!$B$5:$B$9,MATCH(B1654,BP!$A$5:$A$9,1))-INDEX(BP!$A$5:$A$9,MATCH(B1654,BP!$A$5:$A$9,1)))*(B1654-INDEX(BP!$A$5:$A$9,MATCH(B1654,BP!$A$5:$A$9,1)))+INDEX(BP!$C$5:$C$9,MATCH(B1654,BP!$A$5:$A$9,1)),0))</f>
        <v>16</v>
      </c>
      <c r="D1654" s="12" t="str">
        <f aca="false">IF(NOT(ISNUMBER(C1654)),"",INDEX(BP!$F$5:$F$9,MATCH(C1654,BP!$E$5:$E$9,1)))</f>
        <v>ดีมาก</v>
      </c>
      <c r="E1654" s="12" t="n">
        <f aca="false">YEAR(A1654)</f>
        <v>2025</v>
      </c>
      <c r="F1654" s="12" t="n">
        <f aca="false">MONTH(A1654)</f>
        <v>7</v>
      </c>
      <c r="G1654" s="12" t="n">
        <v>24.6</v>
      </c>
      <c r="H1654" s="12" t="n">
        <v>50.8</v>
      </c>
      <c r="I1654" s="12" t="n">
        <v>258</v>
      </c>
      <c r="J1654" s="12" t="n">
        <v>0</v>
      </c>
      <c r="K1654" s="12" t="n">
        <v>0</v>
      </c>
      <c r="L1654" s="12" t="s">
        <v>34</v>
      </c>
    </row>
    <row r="1655" customFormat="false" ht="15" hidden="false" customHeight="false" outlineLevel="0" collapsed="false">
      <c r="A1655" s="11" t="n">
        <v>45850</v>
      </c>
      <c r="B1655" s="12" t="n">
        <v>10.1</v>
      </c>
      <c r="C1655" s="12" t="n">
        <f aca="false">IF(NOT(ISNUMBER(B1655)),"",ROUND((INDEX(BP!$D$5:$D$9,MATCH(B1655,BP!$A$5:$A$9,1))-INDEX(BP!$C$5:$C$9,MATCH(B1655,BP!$A$5:$A$9,1)))/(INDEX(BP!$B$5:$B$9,MATCH(B1655,BP!$A$5:$A$9,1))-INDEX(BP!$A$5:$A$9,MATCH(B1655,BP!$A$5:$A$9,1)))*(B1655-INDEX(BP!$A$5:$A$9,MATCH(B1655,BP!$A$5:$A$9,1)))+INDEX(BP!$C$5:$C$9,MATCH(B1655,BP!$A$5:$A$9,1)),0))</f>
        <v>17</v>
      </c>
      <c r="D1655" s="12" t="str">
        <f aca="false">IF(NOT(ISNUMBER(C1655)),"",INDEX(BP!$F$5:$F$9,MATCH(C1655,BP!$E$5:$E$9,1)))</f>
        <v>ดีมาก</v>
      </c>
      <c r="E1655" s="12" t="n">
        <f aca="false">YEAR(A1655)</f>
        <v>2025</v>
      </c>
      <c r="F1655" s="12" t="n">
        <f aca="false">MONTH(A1655)</f>
        <v>7</v>
      </c>
      <c r="G1655" s="12" t="n">
        <v>21.2</v>
      </c>
      <c r="H1655" s="12" t="n">
        <v>57.2</v>
      </c>
      <c r="I1655" s="12" t="n">
        <v>249</v>
      </c>
      <c r="J1655" s="12" t="n">
        <v>0.9</v>
      </c>
      <c r="K1655" s="12" t="n">
        <v>3.6</v>
      </c>
      <c r="L1655" s="12" t="s">
        <v>35</v>
      </c>
    </row>
    <row r="1656" customFormat="false" ht="15" hidden="false" customHeight="false" outlineLevel="0" collapsed="false">
      <c r="A1656" s="11" t="n">
        <v>45851</v>
      </c>
      <c r="B1656" s="12" t="n">
        <v>11.6</v>
      </c>
      <c r="C1656" s="12" t="n">
        <f aca="false">IF(NOT(ISNUMBER(B1656)),"",ROUND((INDEX(BP!$D$5:$D$9,MATCH(B1656,BP!$A$5:$A$9,1))-INDEX(BP!$C$5:$C$9,MATCH(B1656,BP!$A$5:$A$9,1)))/(INDEX(BP!$B$5:$B$9,MATCH(B1656,BP!$A$5:$A$9,1))-INDEX(BP!$A$5:$A$9,MATCH(B1656,BP!$A$5:$A$9,1)))*(B1656-INDEX(BP!$A$5:$A$9,MATCH(B1656,BP!$A$5:$A$9,1)))+INDEX(BP!$C$5:$C$9,MATCH(B1656,BP!$A$5:$A$9,1)),0))</f>
        <v>19</v>
      </c>
      <c r="D1656" s="12" t="str">
        <f aca="false">IF(NOT(ISNUMBER(C1656)),"",INDEX(BP!$F$5:$F$9,MATCH(C1656,BP!$E$5:$E$9,1)))</f>
        <v>ดีมาก</v>
      </c>
      <c r="E1656" s="12" t="n">
        <f aca="false">YEAR(A1656)</f>
        <v>2025</v>
      </c>
      <c r="F1656" s="12" t="n">
        <f aca="false">MONTH(A1656)</f>
        <v>7</v>
      </c>
      <c r="G1656" s="12" t="n">
        <v>25.4</v>
      </c>
      <c r="H1656" s="12" t="n">
        <v>55.1</v>
      </c>
      <c r="I1656" s="12" t="n">
        <v>248</v>
      </c>
      <c r="J1656" s="12" t="n">
        <v>1.2</v>
      </c>
      <c r="K1656" s="12" t="n">
        <v>0</v>
      </c>
      <c r="L1656" s="12" t="s">
        <v>35</v>
      </c>
    </row>
    <row r="1657" customFormat="false" ht="15" hidden="false" customHeight="false" outlineLevel="0" collapsed="false">
      <c r="A1657" s="11" t="n">
        <v>45852</v>
      </c>
      <c r="B1657" s="12" t="n">
        <v>11.4</v>
      </c>
      <c r="C1657" s="12" t="n">
        <f aca="false">IF(NOT(ISNUMBER(B1657)),"",ROUND((INDEX(BP!$D$5:$D$9,MATCH(B1657,BP!$A$5:$A$9,1))-INDEX(BP!$C$5:$C$9,MATCH(B1657,BP!$A$5:$A$9,1)))/(INDEX(BP!$B$5:$B$9,MATCH(B1657,BP!$A$5:$A$9,1))-INDEX(BP!$A$5:$A$9,MATCH(B1657,BP!$A$5:$A$9,1)))*(B1657-INDEX(BP!$A$5:$A$9,MATCH(B1657,BP!$A$5:$A$9,1)))+INDEX(BP!$C$5:$C$9,MATCH(B1657,BP!$A$5:$A$9,1)),0))</f>
        <v>19</v>
      </c>
      <c r="D1657" s="12" t="str">
        <f aca="false">IF(NOT(ISNUMBER(C1657)),"",INDEX(BP!$F$5:$F$9,MATCH(C1657,BP!$E$5:$E$9,1)))</f>
        <v>ดีมาก</v>
      </c>
      <c r="E1657" s="12" t="n">
        <f aca="false">YEAR(A1657)</f>
        <v>2025</v>
      </c>
      <c r="F1657" s="12" t="n">
        <f aca="false">MONTH(A1657)</f>
        <v>7</v>
      </c>
      <c r="G1657" s="12" t="n">
        <v>19.8</v>
      </c>
      <c r="H1657" s="12" t="n">
        <v>39.2</v>
      </c>
      <c r="I1657" s="12" t="n">
        <v>239</v>
      </c>
      <c r="J1657" s="12" t="n">
        <v>2.3</v>
      </c>
      <c r="K1657" s="12" t="n">
        <v>0</v>
      </c>
      <c r="L1657" s="12" t="s">
        <v>36</v>
      </c>
    </row>
    <row r="1658" customFormat="false" ht="15" hidden="false" customHeight="false" outlineLevel="0" collapsed="false">
      <c r="A1658" s="11" t="n">
        <v>45853</v>
      </c>
      <c r="B1658" s="12" t="n">
        <v>9.7</v>
      </c>
      <c r="C1658" s="12" t="n">
        <f aca="false">IF(NOT(ISNUMBER(B1658)),"",ROUND((INDEX(BP!$D$5:$D$9,MATCH(B1658,BP!$A$5:$A$9,1))-INDEX(BP!$C$5:$C$9,MATCH(B1658,BP!$A$5:$A$9,1)))/(INDEX(BP!$B$5:$B$9,MATCH(B1658,BP!$A$5:$A$9,1))-INDEX(BP!$A$5:$A$9,MATCH(B1658,BP!$A$5:$A$9,1)))*(B1658-INDEX(BP!$A$5:$A$9,MATCH(B1658,BP!$A$5:$A$9,1)))+INDEX(BP!$C$5:$C$9,MATCH(B1658,BP!$A$5:$A$9,1)),0))</f>
        <v>16</v>
      </c>
      <c r="D1658" s="12" t="str">
        <f aca="false">IF(NOT(ISNUMBER(C1658)),"",INDEX(BP!$F$5:$F$9,MATCH(C1658,BP!$E$5:$E$9,1)))</f>
        <v>ดีมาก</v>
      </c>
      <c r="E1658" s="12" t="n">
        <f aca="false">YEAR(A1658)</f>
        <v>2025</v>
      </c>
      <c r="F1658" s="12" t="n">
        <f aca="false">MONTH(A1658)</f>
        <v>7</v>
      </c>
      <c r="G1658" s="12" t="n">
        <v>19.4</v>
      </c>
      <c r="H1658" s="12" t="n">
        <v>41.4</v>
      </c>
      <c r="I1658" s="12" t="n">
        <v>228</v>
      </c>
      <c r="J1658" s="12" t="n">
        <v>3.4</v>
      </c>
      <c r="K1658" s="12" t="n">
        <v>4</v>
      </c>
      <c r="L1658" s="12" t="s">
        <v>36</v>
      </c>
    </row>
    <row r="1659" customFormat="false" ht="15" hidden="false" customHeight="false" outlineLevel="0" collapsed="false">
      <c r="A1659" s="11" t="n">
        <v>45854</v>
      </c>
      <c r="B1659" s="12" t="n">
        <v>8.2</v>
      </c>
      <c r="C1659" s="12" t="n">
        <f aca="false">IF(NOT(ISNUMBER(B1659)),"",ROUND((INDEX(BP!$D$5:$D$9,MATCH(B1659,BP!$A$5:$A$9,1))-INDEX(BP!$C$5:$C$9,MATCH(B1659,BP!$A$5:$A$9,1)))/(INDEX(BP!$B$5:$B$9,MATCH(B1659,BP!$A$5:$A$9,1))-INDEX(BP!$A$5:$A$9,MATCH(B1659,BP!$A$5:$A$9,1)))*(B1659-INDEX(BP!$A$5:$A$9,MATCH(B1659,BP!$A$5:$A$9,1)))+INDEX(BP!$C$5:$C$9,MATCH(B1659,BP!$A$5:$A$9,1)),0))</f>
        <v>14</v>
      </c>
      <c r="D1659" s="12" t="str">
        <f aca="false">IF(NOT(ISNUMBER(C1659)),"",INDEX(BP!$F$5:$F$9,MATCH(C1659,BP!$E$5:$E$9,1)))</f>
        <v>ดีมาก</v>
      </c>
      <c r="E1659" s="12" t="n">
        <f aca="false">YEAR(A1659)</f>
        <v>2025</v>
      </c>
      <c r="F1659" s="12" t="n">
        <f aca="false">MONTH(A1659)</f>
        <v>7</v>
      </c>
      <c r="G1659" s="12" t="n">
        <v>17.9</v>
      </c>
      <c r="H1659" s="12" t="n">
        <v>38.9</v>
      </c>
      <c r="I1659" s="12" t="n">
        <v>235</v>
      </c>
      <c r="J1659" s="12" t="n">
        <v>0.9</v>
      </c>
      <c r="K1659" s="12" t="n">
        <v>2.6</v>
      </c>
      <c r="L1659" s="12" t="s">
        <v>36</v>
      </c>
    </row>
    <row r="1660" customFormat="false" ht="15" hidden="false" customHeight="false" outlineLevel="0" collapsed="false">
      <c r="A1660" s="11" t="n">
        <v>45855</v>
      </c>
      <c r="B1660" s="12" t="n">
        <v>8.6</v>
      </c>
      <c r="C1660" s="12" t="n">
        <f aca="false">IF(NOT(ISNUMBER(B1660)),"",ROUND((INDEX(BP!$D$5:$D$9,MATCH(B1660,BP!$A$5:$A$9,1))-INDEX(BP!$C$5:$C$9,MATCH(B1660,BP!$A$5:$A$9,1)))/(INDEX(BP!$B$5:$B$9,MATCH(B1660,BP!$A$5:$A$9,1))-INDEX(BP!$A$5:$A$9,MATCH(B1660,BP!$A$5:$A$9,1)))*(B1660-INDEX(BP!$A$5:$A$9,MATCH(B1660,BP!$A$5:$A$9,1)))+INDEX(BP!$C$5:$C$9,MATCH(B1660,BP!$A$5:$A$9,1)),0))</f>
        <v>14</v>
      </c>
      <c r="D1660" s="12" t="str">
        <f aca="false">IF(NOT(ISNUMBER(C1660)),"",INDEX(BP!$F$5:$F$9,MATCH(C1660,BP!$E$5:$E$9,1)))</f>
        <v>ดีมาก</v>
      </c>
      <c r="E1660" s="12" t="n">
        <f aca="false">YEAR(A1660)</f>
        <v>2025</v>
      </c>
      <c r="F1660" s="12" t="n">
        <f aca="false">MONTH(A1660)</f>
        <v>7</v>
      </c>
      <c r="G1660" s="12" t="n">
        <v>13.1</v>
      </c>
      <c r="H1660" s="12" t="n">
        <v>36</v>
      </c>
      <c r="I1660" s="12" t="n">
        <v>107</v>
      </c>
      <c r="J1660" s="12" t="n">
        <v>2.3</v>
      </c>
      <c r="K1660" s="12" t="n">
        <v>0</v>
      </c>
      <c r="L1660" s="12" t="s">
        <v>36</v>
      </c>
    </row>
    <row r="1661" customFormat="false" ht="15" hidden="false" customHeight="false" outlineLevel="0" collapsed="false">
      <c r="A1661" s="11" t="n">
        <v>45856</v>
      </c>
      <c r="B1661" s="12" t="n">
        <v>11.5</v>
      </c>
      <c r="C1661" s="12" t="n">
        <f aca="false">IF(NOT(ISNUMBER(B1661)),"",ROUND((INDEX(BP!$D$5:$D$9,MATCH(B1661,BP!$A$5:$A$9,1))-INDEX(BP!$C$5:$C$9,MATCH(B1661,BP!$A$5:$A$9,1)))/(INDEX(BP!$B$5:$B$9,MATCH(B1661,BP!$A$5:$A$9,1))-INDEX(BP!$A$5:$A$9,MATCH(B1661,BP!$A$5:$A$9,1)))*(B1661-INDEX(BP!$A$5:$A$9,MATCH(B1661,BP!$A$5:$A$9,1)))+INDEX(BP!$C$5:$C$9,MATCH(B1661,BP!$A$5:$A$9,1)),0))</f>
        <v>19</v>
      </c>
      <c r="D1661" s="12" t="str">
        <f aca="false">IF(NOT(ISNUMBER(C1661)),"",INDEX(BP!$F$5:$F$9,MATCH(C1661,BP!$E$5:$E$9,1)))</f>
        <v>ดีมาก</v>
      </c>
      <c r="E1661" s="12" t="n">
        <f aca="false">YEAR(A1661)</f>
        <v>2025</v>
      </c>
      <c r="F1661" s="12" t="n">
        <f aca="false">MONTH(A1661)</f>
        <v>7</v>
      </c>
      <c r="G1661" s="12" t="n">
        <v>13.9</v>
      </c>
      <c r="H1661" s="12" t="n">
        <v>32.8</v>
      </c>
      <c r="I1661" s="12" t="n">
        <v>276</v>
      </c>
      <c r="J1661" s="12" t="n">
        <v>1.3</v>
      </c>
      <c r="K1661" s="12" t="n">
        <v>0</v>
      </c>
      <c r="L1661" s="12" t="s">
        <v>36</v>
      </c>
    </row>
    <row r="1662" customFormat="false" ht="15" hidden="false" customHeight="false" outlineLevel="0" collapsed="false">
      <c r="A1662" s="11" t="n">
        <v>45857</v>
      </c>
      <c r="B1662" s="12" t="n">
        <v>11.7</v>
      </c>
      <c r="C1662" s="12" t="n">
        <f aca="false">IF(NOT(ISNUMBER(B1662)),"",ROUND((INDEX(BP!$D$5:$D$9,MATCH(B1662,BP!$A$5:$A$9,1))-INDEX(BP!$C$5:$C$9,MATCH(B1662,BP!$A$5:$A$9,1)))/(INDEX(BP!$B$5:$B$9,MATCH(B1662,BP!$A$5:$A$9,1))-INDEX(BP!$A$5:$A$9,MATCH(B1662,BP!$A$5:$A$9,1)))*(B1662-INDEX(BP!$A$5:$A$9,MATCH(B1662,BP!$A$5:$A$9,1)))+INDEX(BP!$C$5:$C$9,MATCH(B1662,BP!$A$5:$A$9,1)),0))</f>
        <v>20</v>
      </c>
      <c r="D1662" s="12" t="str">
        <f aca="false">IF(NOT(ISNUMBER(C1662)),"",INDEX(BP!$F$5:$F$9,MATCH(C1662,BP!$E$5:$E$9,1)))</f>
        <v>ดีมาก</v>
      </c>
      <c r="E1662" s="12" t="n">
        <f aca="false">YEAR(A1662)</f>
        <v>2025</v>
      </c>
      <c r="F1662" s="12" t="n">
        <f aca="false">MONTH(A1662)</f>
        <v>7</v>
      </c>
      <c r="G1662" s="12" t="n">
        <v>19.3</v>
      </c>
      <c r="H1662" s="12" t="n">
        <v>42.5</v>
      </c>
      <c r="I1662" s="12" t="n">
        <v>219</v>
      </c>
      <c r="J1662" s="12" t="n">
        <v>0.2</v>
      </c>
      <c r="K1662" s="12" t="n">
        <v>0</v>
      </c>
      <c r="L1662" s="12" t="s">
        <v>35</v>
      </c>
    </row>
    <row r="1663" customFormat="false" ht="15" hidden="false" customHeight="false" outlineLevel="0" collapsed="false">
      <c r="A1663" s="11" t="n">
        <v>45858</v>
      </c>
      <c r="B1663" s="12" t="n">
        <v>12</v>
      </c>
      <c r="C1663" s="12" t="n">
        <f aca="false">IF(NOT(ISNUMBER(B1663)),"",ROUND((INDEX(BP!$D$5:$D$9,MATCH(B1663,BP!$A$5:$A$9,1))-INDEX(BP!$C$5:$C$9,MATCH(B1663,BP!$A$5:$A$9,1)))/(INDEX(BP!$B$5:$B$9,MATCH(B1663,BP!$A$5:$A$9,1))-INDEX(BP!$A$5:$A$9,MATCH(B1663,BP!$A$5:$A$9,1)))*(B1663-INDEX(BP!$A$5:$A$9,MATCH(B1663,BP!$A$5:$A$9,1)))+INDEX(BP!$C$5:$C$9,MATCH(B1663,BP!$A$5:$A$9,1)),0))</f>
        <v>20</v>
      </c>
      <c r="D1663" s="12" t="str">
        <f aca="false">IF(NOT(ISNUMBER(C1663)),"",INDEX(BP!$F$5:$F$9,MATCH(C1663,BP!$E$5:$E$9,1)))</f>
        <v>ดีมาก</v>
      </c>
      <c r="E1663" s="12" t="n">
        <f aca="false">YEAR(A1663)</f>
        <v>2025</v>
      </c>
      <c r="F1663" s="12" t="n">
        <f aca="false">MONTH(A1663)</f>
        <v>7</v>
      </c>
      <c r="G1663" s="12" t="n">
        <v>19.3</v>
      </c>
      <c r="H1663" s="12" t="n">
        <v>40.3</v>
      </c>
      <c r="I1663" s="12" t="n">
        <v>234</v>
      </c>
      <c r="J1663" s="12" t="n">
        <v>5.4</v>
      </c>
      <c r="K1663" s="12" t="n">
        <v>12.6</v>
      </c>
      <c r="L1663" s="12" t="s">
        <v>35</v>
      </c>
    </row>
    <row r="1664" customFormat="false" ht="15" hidden="false" customHeight="false" outlineLevel="0" collapsed="false">
      <c r="A1664" s="11" t="n">
        <v>45859</v>
      </c>
      <c r="B1664" s="12" t="n">
        <v>11.2</v>
      </c>
      <c r="C1664" s="12" t="n">
        <f aca="false">IF(NOT(ISNUMBER(B1664)),"",ROUND((INDEX(BP!$D$5:$D$9,MATCH(B1664,BP!$A$5:$A$9,1))-INDEX(BP!$C$5:$C$9,MATCH(B1664,BP!$A$5:$A$9,1)))/(INDEX(BP!$B$5:$B$9,MATCH(B1664,BP!$A$5:$A$9,1))-INDEX(BP!$A$5:$A$9,MATCH(B1664,BP!$A$5:$A$9,1)))*(B1664-INDEX(BP!$A$5:$A$9,MATCH(B1664,BP!$A$5:$A$9,1)))+INDEX(BP!$C$5:$C$9,MATCH(B1664,BP!$A$5:$A$9,1)),0))</f>
        <v>19</v>
      </c>
      <c r="D1664" s="12" t="str">
        <f aca="false">IF(NOT(ISNUMBER(C1664)),"",INDEX(BP!$F$5:$F$9,MATCH(C1664,BP!$E$5:$E$9,1)))</f>
        <v>ดีมาก</v>
      </c>
      <c r="E1664" s="12" t="n">
        <f aca="false">YEAR(A1664)</f>
        <v>2025</v>
      </c>
      <c r="F1664" s="12" t="n">
        <f aca="false">MONTH(A1664)</f>
        <v>7</v>
      </c>
      <c r="G1664" s="12" t="n">
        <v>17.9</v>
      </c>
      <c r="H1664" s="12" t="n">
        <v>37.8</v>
      </c>
      <c r="I1664" s="12" t="n">
        <v>226</v>
      </c>
      <c r="J1664" s="12" t="n">
        <v>0.7</v>
      </c>
      <c r="K1664" s="12" t="n">
        <v>0</v>
      </c>
      <c r="L1664" s="12" t="s">
        <v>36</v>
      </c>
    </row>
    <row r="1665" customFormat="false" ht="15" hidden="false" customHeight="false" outlineLevel="0" collapsed="false">
      <c r="A1665" s="11" t="n">
        <v>45860</v>
      </c>
      <c r="B1665" s="12" t="n">
        <v>11.3</v>
      </c>
      <c r="C1665" s="12" t="n">
        <f aca="false">IF(NOT(ISNUMBER(B1665)),"",ROUND((INDEX(BP!$D$5:$D$9,MATCH(B1665,BP!$A$5:$A$9,1))-INDEX(BP!$C$5:$C$9,MATCH(B1665,BP!$A$5:$A$9,1)))/(INDEX(BP!$B$5:$B$9,MATCH(B1665,BP!$A$5:$A$9,1))-INDEX(BP!$A$5:$A$9,MATCH(B1665,BP!$A$5:$A$9,1)))*(B1665-INDEX(BP!$A$5:$A$9,MATCH(B1665,BP!$A$5:$A$9,1)))+INDEX(BP!$C$5:$C$9,MATCH(B1665,BP!$A$5:$A$9,1)),0))</f>
        <v>19</v>
      </c>
      <c r="D1665" s="12" t="str">
        <f aca="false">IF(NOT(ISNUMBER(C1665)),"",INDEX(BP!$F$5:$F$9,MATCH(C1665,BP!$E$5:$E$9,1)))</f>
        <v>ดีมาก</v>
      </c>
      <c r="E1665" s="12" t="n">
        <f aca="false">YEAR(A1665)</f>
        <v>2025</v>
      </c>
      <c r="F1665" s="12" t="n">
        <f aca="false">MONTH(A1665)</f>
        <v>7</v>
      </c>
      <c r="G1665" s="12" t="n">
        <v>21</v>
      </c>
      <c r="H1665" s="12" t="n">
        <v>46.8</v>
      </c>
      <c r="I1665" s="12" t="n">
        <v>242</v>
      </c>
      <c r="J1665" s="12" t="n">
        <v>0</v>
      </c>
      <c r="K1665" s="12" t="n">
        <v>0</v>
      </c>
      <c r="L1665" s="12" t="s">
        <v>36</v>
      </c>
    </row>
    <row r="1666" customFormat="false" ht="15" hidden="false" customHeight="false" outlineLevel="0" collapsed="false">
      <c r="A1666" s="11" t="n">
        <v>45861</v>
      </c>
      <c r="B1666" s="12" t="n">
        <v>11.5</v>
      </c>
      <c r="C1666" s="12" t="n">
        <f aca="false">IF(NOT(ISNUMBER(B1666)),"",ROUND((INDEX(BP!$D$5:$D$9,MATCH(B1666,BP!$A$5:$A$9,1))-INDEX(BP!$C$5:$C$9,MATCH(B1666,BP!$A$5:$A$9,1)))/(INDEX(BP!$B$5:$B$9,MATCH(B1666,BP!$A$5:$A$9,1))-INDEX(BP!$A$5:$A$9,MATCH(B1666,BP!$A$5:$A$9,1)))*(B1666-INDEX(BP!$A$5:$A$9,MATCH(B1666,BP!$A$5:$A$9,1)))+INDEX(BP!$C$5:$C$9,MATCH(B1666,BP!$A$5:$A$9,1)),0))</f>
        <v>19</v>
      </c>
      <c r="D1666" s="12" t="str">
        <f aca="false">IF(NOT(ISNUMBER(C1666)),"",INDEX(BP!$F$5:$F$9,MATCH(C1666,BP!$E$5:$E$9,1)))</f>
        <v>ดีมาก</v>
      </c>
      <c r="E1666" s="12" t="n">
        <f aca="false">YEAR(A1666)</f>
        <v>2025</v>
      </c>
      <c r="F1666" s="12" t="n">
        <f aca="false">MONTH(A1666)</f>
        <v>7</v>
      </c>
      <c r="G1666" s="12" t="n">
        <v>23.2</v>
      </c>
      <c r="H1666" s="12" t="n">
        <v>48.6</v>
      </c>
      <c r="I1666" s="12" t="n">
        <v>252</v>
      </c>
      <c r="J1666" s="12" t="n">
        <v>0</v>
      </c>
      <c r="K1666" s="12" t="n">
        <v>0</v>
      </c>
      <c r="L1666" s="12" t="s">
        <v>36</v>
      </c>
    </row>
    <row r="1667" customFormat="false" ht="15" hidden="false" customHeight="false" outlineLevel="0" collapsed="false">
      <c r="A1667" s="11" t="n">
        <v>45862</v>
      </c>
      <c r="B1667" s="12" t="n">
        <v>10.7</v>
      </c>
      <c r="C1667" s="12" t="n">
        <f aca="false">IF(NOT(ISNUMBER(B1667)),"",ROUND((INDEX(BP!$D$5:$D$9,MATCH(B1667,BP!$A$5:$A$9,1))-INDEX(BP!$C$5:$C$9,MATCH(B1667,BP!$A$5:$A$9,1)))/(INDEX(BP!$B$5:$B$9,MATCH(B1667,BP!$A$5:$A$9,1))-INDEX(BP!$A$5:$A$9,MATCH(B1667,BP!$A$5:$A$9,1)))*(B1667-INDEX(BP!$A$5:$A$9,MATCH(B1667,BP!$A$5:$A$9,1)))+INDEX(BP!$C$5:$C$9,MATCH(B1667,BP!$A$5:$A$9,1)),0))</f>
        <v>18</v>
      </c>
      <c r="D1667" s="12" t="str">
        <f aca="false">IF(NOT(ISNUMBER(C1667)),"",INDEX(BP!$F$5:$F$9,MATCH(C1667,BP!$E$5:$E$9,1)))</f>
        <v>ดีมาก</v>
      </c>
      <c r="E1667" s="12" t="n">
        <f aca="false">YEAR(A1667)</f>
        <v>2025</v>
      </c>
      <c r="F1667" s="12" t="n">
        <f aca="false">MONTH(A1667)</f>
        <v>7</v>
      </c>
      <c r="G1667" s="12" t="n">
        <v>24</v>
      </c>
      <c r="H1667" s="12" t="n">
        <v>48.6</v>
      </c>
      <c r="I1667" s="12" t="n">
        <v>257</v>
      </c>
      <c r="J1667" s="12" t="n">
        <v>0</v>
      </c>
      <c r="K1667" s="12" t="n">
        <v>0</v>
      </c>
      <c r="L1667" s="12" t="s">
        <v>36</v>
      </c>
    </row>
    <row r="1668" customFormat="false" ht="15" hidden="false" customHeight="false" outlineLevel="0" collapsed="false">
      <c r="A1668" s="11" t="n">
        <v>45863</v>
      </c>
      <c r="B1668" s="12" t="n">
        <v>11.3</v>
      </c>
      <c r="C1668" s="12" t="n">
        <f aca="false">IF(NOT(ISNUMBER(B1668)),"",ROUND((INDEX(BP!$D$5:$D$9,MATCH(B1668,BP!$A$5:$A$9,1))-INDEX(BP!$C$5:$C$9,MATCH(B1668,BP!$A$5:$A$9,1)))/(INDEX(BP!$B$5:$B$9,MATCH(B1668,BP!$A$5:$A$9,1))-INDEX(BP!$A$5:$A$9,MATCH(B1668,BP!$A$5:$A$9,1)))*(B1668-INDEX(BP!$A$5:$A$9,MATCH(B1668,BP!$A$5:$A$9,1)))+INDEX(BP!$C$5:$C$9,MATCH(B1668,BP!$A$5:$A$9,1)),0))</f>
        <v>19</v>
      </c>
      <c r="D1668" s="12" t="str">
        <f aca="false">IF(NOT(ISNUMBER(C1668)),"",INDEX(BP!$F$5:$F$9,MATCH(C1668,BP!$E$5:$E$9,1)))</f>
        <v>ดีมาก</v>
      </c>
      <c r="E1668" s="12" t="n">
        <f aca="false">YEAR(A1668)</f>
        <v>2025</v>
      </c>
      <c r="F1668" s="12" t="n">
        <f aca="false">MONTH(A1668)</f>
        <v>7</v>
      </c>
      <c r="G1668" s="12" t="n">
        <v>23.4</v>
      </c>
      <c r="H1668" s="12" t="n">
        <v>46.8</v>
      </c>
      <c r="I1668" s="12" t="n">
        <v>258</v>
      </c>
      <c r="J1668" s="12" t="n">
        <v>0.1</v>
      </c>
      <c r="K1668" s="12" t="n">
        <v>0</v>
      </c>
      <c r="L1668" s="12" t="s">
        <v>36</v>
      </c>
    </row>
    <row r="1669" customFormat="false" ht="15" hidden="false" customHeight="false" outlineLevel="0" collapsed="false">
      <c r="A1669" s="11" t="n">
        <v>45864</v>
      </c>
      <c r="B1669" s="12" t="n">
        <v>12.1</v>
      </c>
      <c r="C1669" s="12" t="n">
        <f aca="false">IF(NOT(ISNUMBER(B1669)),"",ROUND((INDEX(BP!$D$5:$D$9,MATCH(B1669,BP!$A$5:$A$9,1))-INDEX(BP!$C$5:$C$9,MATCH(B1669,BP!$A$5:$A$9,1)))/(INDEX(BP!$B$5:$B$9,MATCH(B1669,BP!$A$5:$A$9,1))-INDEX(BP!$A$5:$A$9,MATCH(B1669,BP!$A$5:$A$9,1)))*(B1669-INDEX(BP!$A$5:$A$9,MATCH(B1669,BP!$A$5:$A$9,1)))+INDEX(BP!$C$5:$C$9,MATCH(B1669,BP!$A$5:$A$9,1)),0))</f>
        <v>20</v>
      </c>
      <c r="D1669" s="12" t="str">
        <f aca="false">IF(NOT(ISNUMBER(C1669)),"",INDEX(BP!$F$5:$F$9,MATCH(C1669,BP!$E$5:$E$9,1)))</f>
        <v>ดีมาก</v>
      </c>
      <c r="E1669" s="12" t="n">
        <f aca="false">YEAR(A1669)</f>
        <v>2025</v>
      </c>
      <c r="F1669" s="12" t="n">
        <f aca="false">MONTH(A1669)</f>
        <v>7</v>
      </c>
      <c r="G1669" s="12" t="n">
        <v>27.5</v>
      </c>
      <c r="H1669" s="12" t="n">
        <v>55.8</v>
      </c>
      <c r="I1669" s="12" t="n">
        <v>248</v>
      </c>
      <c r="J1669" s="12" t="n">
        <v>0</v>
      </c>
      <c r="K1669" s="12" t="n">
        <v>0</v>
      </c>
      <c r="L1669" s="12" t="s">
        <v>35</v>
      </c>
    </row>
    <row r="1670" customFormat="false" ht="15" hidden="false" customHeight="false" outlineLevel="0" collapsed="false">
      <c r="A1670" s="11" t="n">
        <v>45865</v>
      </c>
      <c r="B1670" s="12" t="n">
        <v>11.8</v>
      </c>
      <c r="C1670" s="12" t="n">
        <f aca="false">IF(NOT(ISNUMBER(B1670)),"",ROUND((INDEX(BP!$D$5:$D$9,MATCH(B1670,BP!$A$5:$A$9,1))-INDEX(BP!$C$5:$C$9,MATCH(B1670,BP!$A$5:$A$9,1)))/(INDEX(BP!$B$5:$B$9,MATCH(B1670,BP!$A$5:$A$9,1))-INDEX(BP!$A$5:$A$9,MATCH(B1670,BP!$A$5:$A$9,1)))*(B1670-INDEX(BP!$A$5:$A$9,MATCH(B1670,BP!$A$5:$A$9,1)))+INDEX(BP!$C$5:$C$9,MATCH(B1670,BP!$A$5:$A$9,1)),0))</f>
        <v>20</v>
      </c>
      <c r="D1670" s="12" t="str">
        <f aca="false">IF(NOT(ISNUMBER(C1670)),"",INDEX(BP!$F$5:$F$9,MATCH(C1670,BP!$E$5:$E$9,1)))</f>
        <v>ดีมาก</v>
      </c>
      <c r="E1670" s="12" t="n">
        <f aca="false">YEAR(A1670)</f>
        <v>2025</v>
      </c>
      <c r="F1670" s="12" t="n">
        <f aca="false">MONTH(A1670)</f>
        <v>7</v>
      </c>
      <c r="G1670" s="12" t="n">
        <v>24.3</v>
      </c>
      <c r="H1670" s="12" t="n">
        <v>52.6</v>
      </c>
      <c r="I1670" s="12" t="n">
        <v>243</v>
      </c>
      <c r="J1670" s="12" t="n">
        <v>0</v>
      </c>
      <c r="K1670" s="12" t="n">
        <v>0</v>
      </c>
      <c r="L1670" s="12" t="s">
        <v>35</v>
      </c>
    </row>
    <row r="1671" customFormat="false" ht="15" hidden="false" customHeight="false" outlineLevel="0" collapsed="false">
      <c r="A1671" s="11" t="n">
        <v>45866</v>
      </c>
      <c r="B1671" s="12" t="n">
        <v>10.7</v>
      </c>
      <c r="C1671" s="12" t="n">
        <f aca="false">IF(NOT(ISNUMBER(B1671)),"",ROUND((INDEX(BP!$D$5:$D$9,MATCH(B1671,BP!$A$5:$A$9,1))-INDEX(BP!$C$5:$C$9,MATCH(B1671,BP!$A$5:$A$9,1)))/(INDEX(BP!$B$5:$B$9,MATCH(B1671,BP!$A$5:$A$9,1))-INDEX(BP!$A$5:$A$9,MATCH(B1671,BP!$A$5:$A$9,1)))*(B1671-INDEX(BP!$A$5:$A$9,MATCH(B1671,BP!$A$5:$A$9,1)))+INDEX(BP!$C$5:$C$9,MATCH(B1671,BP!$A$5:$A$9,1)),0))</f>
        <v>18</v>
      </c>
      <c r="D1671" s="12" t="str">
        <f aca="false">IF(NOT(ISNUMBER(C1671)),"",INDEX(BP!$F$5:$F$9,MATCH(C1671,BP!$E$5:$E$9,1)))</f>
        <v>ดีมาก</v>
      </c>
      <c r="E1671" s="12" t="n">
        <f aca="false">YEAR(A1671)</f>
        <v>2025</v>
      </c>
      <c r="F1671" s="12" t="n">
        <f aca="false">MONTH(A1671)</f>
        <v>7</v>
      </c>
      <c r="G1671" s="12" t="n">
        <v>22.8</v>
      </c>
      <c r="H1671" s="12" t="n">
        <v>46.4</v>
      </c>
      <c r="I1671" s="12" t="n">
        <v>243</v>
      </c>
      <c r="J1671" s="12" t="n">
        <v>0</v>
      </c>
      <c r="K1671" s="12" t="n">
        <v>0</v>
      </c>
      <c r="L1671" s="12" t="s">
        <v>34</v>
      </c>
    </row>
    <row r="1672" customFormat="false" ht="15" hidden="false" customHeight="false" outlineLevel="0" collapsed="false">
      <c r="A1672" s="11" t="n">
        <v>45867</v>
      </c>
      <c r="B1672" s="12" t="n">
        <v>11.1</v>
      </c>
      <c r="C1672" s="12" t="n">
        <f aca="false">IF(NOT(ISNUMBER(B1672)),"",ROUND((INDEX(BP!$D$5:$D$9,MATCH(B1672,BP!$A$5:$A$9,1))-INDEX(BP!$C$5:$C$9,MATCH(B1672,BP!$A$5:$A$9,1)))/(INDEX(BP!$B$5:$B$9,MATCH(B1672,BP!$A$5:$A$9,1))-INDEX(BP!$A$5:$A$9,MATCH(B1672,BP!$A$5:$A$9,1)))*(B1672-INDEX(BP!$A$5:$A$9,MATCH(B1672,BP!$A$5:$A$9,1)))+INDEX(BP!$C$5:$C$9,MATCH(B1672,BP!$A$5:$A$9,1)),0))</f>
        <v>19</v>
      </c>
      <c r="D1672" s="12" t="str">
        <f aca="false">IF(NOT(ISNUMBER(C1672)),"",INDEX(BP!$F$5:$F$9,MATCH(C1672,BP!$E$5:$E$9,1)))</f>
        <v>ดีมาก</v>
      </c>
      <c r="E1672" s="12" t="n">
        <f aca="false">YEAR(A1672)</f>
        <v>2025</v>
      </c>
      <c r="F1672" s="12" t="n">
        <f aca="false">MONTH(A1672)</f>
        <v>7</v>
      </c>
      <c r="G1672" s="12" t="n">
        <v>21.9</v>
      </c>
      <c r="H1672" s="12" t="n">
        <v>45.4</v>
      </c>
      <c r="I1672" s="12" t="n">
        <v>244</v>
      </c>
      <c r="J1672" s="12" t="n">
        <v>0</v>
      </c>
      <c r="K1672" s="12" t="n">
        <v>0</v>
      </c>
      <c r="L1672" s="12" t="s">
        <v>36</v>
      </c>
    </row>
    <row r="1673" customFormat="false" ht="15" hidden="false" customHeight="false" outlineLevel="0" collapsed="false">
      <c r="A1673" s="11" t="n">
        <v>45868</v>
      </c>
      <c r="B1673" s="12" t="n">
        <v>11.6</v>
      </c>
      <c r="C1673" s="12" t="n">
        <f aca="false">IF(NOT(ISNUMBER(B1673)),"",ROUND((INDEX(BP!$D$5:$D$9,MATCH(B1673,BP!$A$5:$A$9,1))-INDEX(BP!$C$5:$C$9,MATCH(B1673,BP!$A$5:$A$9,1)))/(INDEX(BP!$B$5:$B$9,MATCH(B1673,BP!$A$5:$A$9,1))-INDEX(BP!$A$5:$A$9,MATCH(B1673,BP!$A$5:$A$9,1)))*(B1673-INDEX(BP!$A$5:$A$9,MATCH(B1673,BP!$A$5:$A$9,1)))+INDEX(BP!$C$5:$C$9,MATCH(B1673,BP!$A$5:$A$9,1)),0))</f>
        <v>19</v>
      </c>
      <c r="D1673" s="12" t="str">
        <f aca="false">IF(NOT(ISNUMBER(C1673)),"",INDEX(BP!$F$5:$F$9,MATCH(C1673,BP!$E$5:$E$9,1)))</f>
        <v>ดีมาก</v>
      </c>
      <c r="E1673" s="12" t="n">
        <f aca="false">YEAR(A1673)</f>
        <v>2025</v>
      </c>
      <c r="F1673" s="12" t="n">
        <f aca="false">MONTH(A1673)</f>
        <v>7</v>
      </c>
      <c r="G1673" s="12" t="n">
        <v>14.1</v>
      </c>
      <c r="H1673" s="12" t="n">
        <v>36.7</v>
      </c>
      <c r="I1673" s="12" t="n">
        <v>219</v>
      </c>
      <c r="J1673" s="12" t="n">
        <v>2.7</v>
      </c>
      <c r="K1673" s="12" t="n">
        <v>0</v>
      </c>
      <c r="L1673" s="12" t="s">
        <v>36</v>
      </c>
    </row>
    <row r="1674" customFormat="false" ht="15" hidden="false" customHeight="false" outlineLevel="0" collapsed="false">
      <c r="A1674" s="11" t="n">
        <v>45869</v>
      </c>
      <c r="B1674" s="12" t="n">
        <v>11.9</v>
      </c>
      <c r="C1674" s="12" t="n">
        <f aca="false">IF(NOT(ISNUMBER(B1674)),"",ROUND((INDEX(BP!$D$5:$D$9,MATCH(B1674,BP!$A$5:$A$9,1))-INDEX(BP!$C$5:$C$9,MATCH(B1674,BP!$A$5:$A$9,1)))/(INDEX(BP!$B$5:$B$9,MATCH(B1674,BP!$A$5:$A$9,1))-INDEX(BP!$A$5:$A$9,MATCH(B1674,BP!$A$5:$A$9,1)))*(B1674-INDEX(BP!$A$5:$A$9,MATCH(B1674,BP!$A$5:$A$9,1)))+INDEX(BP!$C$5:$C$9,MATCH(B1674,BP!$A$5:$A$9,1)),0))</f>
        <v>20</v>
      </c>
      <c r="D1674" s="12" t="str">
        <f aca="false">IF(NOT(ISNUMBER(C1674)),"",INDEX(BP!$F$5:$F$9,MATCH(C1674,BP!$E$5:$E$9,1)))</f>
        <v>ดีมาก</v>
      </c>
      <c r="E1674" s="12" t="n">
        <f aca="false">YEAR(A1674)</f>
        <v>2025</v>
      </c>
      <c r="F1674" s="12" t="n">
        <f aca="false">MONTH(A1674)</f>
        <v>7</v>
      </c>
      <c r="G1674" s="12" t="n">
        <v>15.6</v>
      </c>
      <c r="H1674" s="12" t="n">
        <v>38.9</v>
      </c>
      <c r="I1674" s="12" t="n">
        <v>120</v>
      </c>
      <c r="J1674" s="12" t="n">
        <v>5.5</v>
      </c>
      <c r="K1674" s="12" t="n">
        <v>0</v>
      </c>
      <c r="L1674" s="12" t="s">
        <v>36</v>
      </c>
    </row>
    <row r="1675" customFormat="false" ht="15" hidden="false" customHeight="false" outlineLevel="0" collapsed="false">
      <c r="A1675" s="11" t="n">
        <v>45870</v>
      </c>
      <c r="B1675" s="12" t="n">
        <v>12.7</v>
      </c>
      <c r="C1675" s="12" t="n">
        <f aca="false">IF(NOT(ISNUMBER(B1675)),"",ROUND((INDEX(BP!$D$5:$D$9,MATCH(B1675,BP!$A$5:$A$9,1))-INDEX(BP!$C$5:$C$9,MATCH(B1675,BP!$A$5:$A$9,1)))/(INDEX(BP!$B$5:$B$9,MATCH(B1675,BP!$A$5:$A$9,1))-INDEX(BP!$A$5:$A$9,MATCH(B1675,BP!$A$5:$A$9,1)))*(B1675-INDEX(BP!$A$5:$A$9,MATCH(B1675,BP!$A$5:$A$9,1)))+INDEX(BP!$C$5:$C$9,MATCH(B1675,BP!$A$5:$A$9,1)),0))</f>
        <v>21</v>
      </c>
      <c r="D1675" s="12" t="str">
        <f aca="false">IF(NOT(ISNUMBER(C1675)),"",INDEX(BP!$F$5:$F$9,MATCH(C1675,BP!$E$5:$E$9,1)))</f>
        <v>ดีมาก</v>
      </c>
      <c r="E1675" s="12" t="n">
        <f aca="false">YEAR(A1675)</f>
        <v>2025</v>
      </c>
      <c r="F1675" s="12" t="n">
        <f aca="false">MONTH(A1675)</f>
        <v>8</v>
      </c>
      <c r="G1675" s="12" t="n">
        <v>16</v>
      </c>
      <c r="H1675" s="12" t="n">
        <v>33.1</v>
      </c>
      <c r="I1675" s="12" t="n">
        <v>161</v>
      </c>
      <c r="J1675" s="12" t="n">
        <v>15.5</v>
      </c>
      <c r="K1675" s="12" t="n">
        <v>0</v>
      </c>
      <c r="L1675" s="12" t="s">
        <v>36</v>
      </c>
    </row>
    <row r="1676" customFormat="false" ht="15" hidden="false" customHeight="false" outlineLevel="0" collapsed="false">
      <c r="A1676" s="11" t="n">
        <v>45871</v>
      </c>
      <c r="B1676" s="12" t="n">
        <v>14.3</v>
      </c>
      <c r="C1676" s="12" t="n">
        <f aca="false">IF(NOT(ISNUMBER(B1676)),"",ROUND((INDEX(BP!$D$5:$D$9,MATCH(B1676,BP!$A$5:$A$9,1))-INDEX(BP!$C$5:$C$9,MATCH(B1676,BP!$A$5:$A$9,1)))/(INDEX(BP!$B$5:$B$9,MATCH(B1676,BP!$A$5:$A$9,1))-INDEX(BP!$A$5:$A$9,MATCH(B1676,BP!$A$5:$A$9,1)))*(B1676-INDEX(BP!$A$5:$A$9,MATCH(B1676,BP!$A$5:$A$9,1)))+INDEX(BP!$C$5:$C$9,MATCH(B1676,BP!$A$5:$A$9,1)),0))</f>
        <v>24</v>
      </c>
      <c r="D1676" s="12" t="str">
        <f aca="false">IF(NOT(ISNUMBER(C1676)),"",INDEX(BP!$F$5:$F$9,MATCH(C1676,BP!$E$5:$E$9,1)))</f>
        <v>ดีมาก</v>
      </c>
      <c r="E1676" s="12" t="n">
        <f aca="false">YEAR(A1676)</f>
        <v>2025</v>
      </c>
      <c r="F1676" s="12" t="n">
        <f aca="false">MONTH(A1676)</f>
        <v>8</v>
      </c>
      <c r="G1676" s="12" t="n">
        <v>10.6</v>
      </c>
      <c r="H1676" s="12" t="n">
        <v>31.7</v>
      </c>
      <c r="I1676" s="12" t="n">
        <v>138</v>
      </c>
      <c r="J1676" s="12" t="n">
        <v>9.6</v>
      </c>
      <c r="K1676" s="12" t="n">
        <v>12.6</v>
      </c>
      <c r="L1676" s="12" t="s">
        <v>35</v>
      </c>
    </row>
    <row r="1677" customFormat="false" ht="15" hidden="false" customHeight="false" outlineLevel="0" collapsed="false">
      <c r="A1677" s="11" t="n">
        <v>45872</v>
      </c>
      <c r="B1677" s="12" t="n">
        <v>12.9</v>
      </c>
      <c r="C1677" s="12" t="n">
        <f aca="false">IF(NOT(ISNUMBER(B1677)),"",ROUND((INDEX(BP!$D$5:$D$9,MATCH(B1677,BP!$A$5:$A$9,1))-INDEX(BP!$C$5:$C$9,MATCH(B1677,BP!$A$5:$A$9,1)))/(INDEX(BP!$B$5:$B$9,MATCH(B1677,BP!$A$5:$A$9,1))-INDEX(BP!$A$5:$A$9,MATCH(B1677,BP!$A$5:$A$9,1)))*(B1677-INDEX(BP!$A$5:$A$9,MATCH(B1677,BP!$A$5:$A$9,1)))+INDEX(BP!$C$5:$C$9,MATCH(B1677,BP!$A$5:$A$9,1)),0))</f>
        <v>22</v>
      </c>
      <c r="D1677" s="12" t="str">
        <f aca="false">IF(NOT(ISNUMBER(C1677)),"",INDEX(BP!$F$5:$F$9,MATCH(C1677,BP!$E$5:$E$9,1)))</f>
        <v>ดีมาก</v>
      </c>
      <c r="E1677" s="12" t="n">
        <f aca="false">YEAR(A1677)</f>
        <v>2025</v>
      </c>
      <c r="F1677" s="12" t="n">
        <f aca="false">MONTH(A1677)</f>
        <v>8</v>
      </c>
      <c r="G1677" s="12" t="n">
        <v>15.5</v>
      </c>
      <c r="H1677" s="12" t="n">
        <v>29.5</v>
      </c>
      <c r="I1677" s="12" t="n">
        <v>229</v>
      </c>
      <c r="J1677" s="12" t="n">
        <v>5.4</v>
      </c>
      <c r="K1677" s="12" t="n">
        <v>0</v>
      </c>
      <c r="L1677" s="12" t="s">
        <v>35</v>
      </c>
    </row>
    <row r="1678" customFormat="false" ht="15" hidden="false" customHeight="false" outlineLevel="0" collapsed="false">
      <c r="A1678" s="11" t="n">
        <v>45873</v>
      </c>
      <c r="B1678" s="12" t="n">
        <v>11</v>
      </c>
      <c r="C1678" s="12" t="n">
        <f aca="false">IF(NOT(ISNUMBER(B1678)),"",ROUND((INDEX(BP!$D$5:$D$9,MATCH(B1678,BP!$A$5:$A$9,1))-INDEX(BP!$C$5:$C$9,MATCH(B1678,BP!$A$5:$A$9,1)))/(INDEX(BP!$B$5:$B$9,MATCH(B1678,BP!$A$5:$A$9,1))-INDEX(BP!$A$5:$A$9,MATCH(B1678,BP!$A$5:$A$9,1)))*(B1678-INDEX(BP!$A$5:$A$9,MATCH(B1678,BP!$A$5:$A$9,1)))+INDEX(BP!$C$5:$C$9,MATCH(B1678,BP!$A$5:$A$9,1)),0))</f>
        <v>18</v>
      </c>
      <c r="D1678" s="12" t="str">
        <f aca="false">IF(NOT(ISNUMBER(C1678)),"",INDEX(BP!$F$5:$F$9,MATCH(C1678,BP!$E$5:$E$9,1)))</f>
        <v>ดีมาก</v>
      </c>
      <c r="E1678" s="12" t="n">
        <f aca="false">YEAR(A1678)</f>
        <v>2025</v>
      </c>
      <c r="F1678" s="12" t="n">
        <f aca="false">MONTH(A1678)</f>
        <v>8</v>
      </c>
      <c r="G1678" s="12" t="n">
        <v>14</v>
      </c>
      <c r="H1678" s="12" t="n">
        <v>33.1</v>
      </c>
      <c r="I1678" s="12" t="n">
        <v>52</v>
      </c>
      <c r="J1678" s="12" t="n">
        <v>7.5</v>
      </c>
      <c r="K1678" s="12" t="n">
        <v>0</v>
      </c>
      <c r="L1678" s="12" t="s">
        <v>36</v>
      </c>
    </row>
    <row r="1679" customFormat="false" ht="15" hidden="false" customHeight="false" outlineLevel="0" collapsed="false">
      <c r="A1679" s="11" t="n">
        <v>45874</v>
      </c>
      <c r="B1679" s="12" t="n">
        <v>10.9</v>
      </c>
      <c r="C1679" s="12" t="n">
        <f aca="false">IF(NOT(ISNUMBER(B1679)),"",ROUND((INDEX(BP!$D$5:$D$9,MATCH(B1679,BP!$A$5:$A$9,1))-INDEX(BP!$C$5:$C$9,MATCH(B1679,BP!$A$5:$A$9,1)))/(INDEX(BP!$B$5:$B$9,MATCH(B1679,BP!$A$5:$A$9,1))-INDEX(BP!$A$5:$A$9,MATCH(B1679,BP!$A$5:$A$9,1)))*(B1679-INDEX(BP!$A$5:$A$9,MATCH(B1679,BP!$A$5:$A$9,1)))+INDEX(BP!$C$5:$C$9,MATCH(B1679,BP!$A$5:$A$9,1)),0))</f>
        <v>18</v>
      </c>
      <c r="D1679" s="12" t="str">
        <f aca="false">IF(NOT(ISNUMBER(C1679)),"",INDEX(BP!$F$5:$F$9,MATCH(C1679,BP!$E$5:$E$9,1)))</f>
        <v>ดีมาก</v>
      </c>
      <c r="E1679" s="12" t="n">
        <f aca="false">YEAR(A1679)</f>
        <v>2025</v>
      </c>
      <c r="F1679" s="12" t="n">
        <f aca="false">MONTH(A1679)</f>
        <v>8</v>
      </c>
      <c r="G1679" s="12" t="n">
        <v>16.6</v>
      </c>
      <c r="H1679" s="12" t="n">
        <v>36</v>
      </c>
      <c r="I1679" s="12" t="n">
        <v>223</v>
      </c>
      <c r="J1679" s="12" t="n">
        <v>2.9</v>
      </c>
      <c r="K1679" s="12" t="n">
        <v>0</v>
      </c>
      <c r="L1679" s="12" t="s">
        <v>36</v>
      </c>
    </row>
    <row r="1680" customFormat="false" ht="15" hidden="false" customHeight="false" outlineLevel="0" collapsed="false">
      <c r="A1680" s="11" t="n">
        <v>45875</v>
      </c>
      <c r="B1680" s="12" t="n">
        <v>10.6</v>
      </c>
      <c r="C1680" s="12" t="n">
        <f aca="false">IF(NOT(ISNUMBER(B1680)),"",ROUND((INDEX(BP!$D$5:$D$9,MATCH(B1680,BP!$A$5:$A$9,1))-INDEX(BP!$C$5:$C$9,MATCH(B1680,BP!$A$5:$A$9,1)))/(INDEX(BP!$B$5:$B$9,MATCH(B1680,BP!$A$5:$A$9,1))-INDEX(BP!$A$5:$A$9,MATCH(B1680,BP!$A$5:$A$9,1)))*(B1680-INDEX(BP!$A$5:$A$9,MATCH(B1680,BP!$A$5:$A$9,1)))+INDEX(BP!$C$5:$C$9,MATCH(B1680,BP!$A$5:$A$9,1)),0))</f>
        <v>18</v>
      </c>
      <c r="D1680" s="12" t="str">
        <f aca="false">IF(NOT(ISNUMBER(C1680)),"",INDEX(BP!$F$5:$F$9,MATCH(C1680,BP!$E$5:$E$9,1)))</f>
        <v>ดีมาก</v>
      </c>
      <c r="E1680" s="12" t="n">
        <f aca="false">YEAR(A1680)</f>
        <v>2025</v>
      </c>
      <c r="F1680" s="12" t="n">
        <f aca="false">MONTH(A1680)</f>
        <v>8</v>
      </c>
      <c r="G1680" s="12" t="n">
        <v>13.1</v>
      </c>
      <c r="H1680" s="12" t="n">
        <v>31.7</v>
      </c>
      <c r="I1680" s="12" t="n">
        <v>219</v>
      </c>
      <c r="J1680" s="12" t="n">
        <v>9.3</v>
      </c>
      <c r="K1680" s="12" t="n">
        <v>1.6</v>
      </c>
      <c r="L1680" s="12" t="s">
        <v>36</v>
      </c>
    </row>
    <row r="1681" customFormat="false" ht="15" hidden="false" customHeight="false" outlineLevel="0" collapsed="false">
      <c r="A1681" s="11" t="n">
        <v>45876</v>
      </c>
      <c r="B1681" s="12" t="n">
        <v>9.8</v>
      </c>
      <c r="C1681" s="12" t="n">
        <f aca="false">IF(NOT(ISNUMBER(B1681)),"",ROUND((INDEX(BP!$D$5:$D$9,MATCH(B1681,BP!$A$5:$A$9,1))-INDEX(BP!$C$5:$C$9,MATCH(B1681,BP!$A$5:$A$9,1)))/(INDEX(BP!$B$5:$B$9,MATCH(B1681,BP!$A$5:$A$9,1))-INDEX(BP!$A$5:$A$9,MATCH(B1681,BP!$A$5:$A$9,1)))*(B1681-INDEX(BP!$A$5:$A$9,MATCH(B1681,BP!$A$5:$A$9,1)))+INDEX(BP!$C$5:$C$9,MATCH(B1681,BP!$A$5:$A$9,1)),0))</f>
        <v>16</v>
      </c>
      <c r="D1681" s="12" t="str">
        <f aca="false">IF(NOT(ISNUMBER(C1681)),"",INDEX(BP!$F$5:$F$9,MATCH(C1681,BP!$E$5:$E$9,1)))</f>
        <v>ดีมาก</v>
      </c>
      <c r="E1681" s="12" t="n">
        <f aca="false">YEAR(A1681)</f>
        <v>2025</v>
      </c>
      <c r="F1681" s="12" t="n">
        <f aca="false">MONTH(A1681)</f>
        <v>8</v>
      </c>
      <c r="G1681" s="12" t="n">
        <v>8.4</v>
      </c>
      <c r="H1681" s="12" t="n">
        <v>22</v>
      </c>
      <c r="I1681" s="12" t="n">
        <v>129</v>
      </c>
      <c r="J1681" s="12" t="n">
        <v>15.2</v>
      </c>
      <c r="K1681" s="12" t="n">
        <v>7.6</v>
      </c>
      <c r="L1681" s="12" t="s">
        <v>36</v>
      </c>
    </row>
    <row r="1682" customFormat="false" ht="15" hidden="false" customHeight="false" outlineLevel="0" collapsed="false">
      <c r="A1682" s="11" t="n">
        <v>45877</v>
      </c>
      <c r="B1682" s="12" t="n">
        <v>11</v>
      </c>
      <c r="C1682" s="12" t="n">
        <f aca="false">IF(NOT(ISNUMBER(B1682)),"",ROUND((INDEX(BP!$D$5:$D$9,MATCH(B1682,BP!$A$5:$A$9,1))-INDEX(BP!$C$5:$C$9,MATCH(B1682,BP!$A$5:$A$9,1)))/(INDEX(BP!$B$5:$B$9,MATCH(B1682,BP!$A$5:$A$9,1))-INDEX(BP!$A$5:$A$9,MATCH(B1682,BP!$A$5:$A$9,1)))*(B1682-INDEX(BP!$A$5:$A$9,MATCH(B1682,BP!$A$5:$A$9,1)))+INDEX(BP!$C$5:$C$9,MATCH(B1682,BP!$A$5:$A$9,1)),0))</f>
        <v>18</v>
      </c>
      <c r="D1682" s="12" t="str">
        <f aca="false">IF(NOT(ISNUMBER(C1682)),"",INDEX(BP!$F$5:$F$9,MATCH(C1682,BP!$E$5:$E$9,1)))</f>
        <v>ดีมาก</v>
      </c>
      <c r="E1682" s="12" t="n">
        <f aca="false">YEAR(A1682)</f>
        <v>2025</v>
      </c>
      <c r="F1682" s="12" t="n">
        <f aca="false">MONTH(A1682)</f>
        <v>8</v>
      </c>
      <c r="G1682" s="12" t="n">
        <v>13</v>
      </c>
      <c r="H1682" s="12" t="n">
        <v>31</v>
      </c>
      <c r="I1682" s="12" t="n">
        <v>196</v>
      </c>
      <c r="J1682" s="12" t="n">
        <v>6.5</v>
      </c>
      <c r="K1682" s="12" t="n">
        <v>26</v>
      </c>
      <c r="L1682" s="12" t="s">
        <v>36</v>
      </c>
    </row>
    <row r="1683" customFormat="false" ht="15" hidden="false" customHeight="false" outlineLevel="0" collapsed="false">
      <c r="A1683" s="11" t="n">
        <v>45878</v>
      </c>
      <c r="B1683" s="12" t="n">
        <v>11</v>
      </c>
      <c r="C1683" s="12" t="n">
        <f aca="false">IF(NOT(ISNUMBER(B1683)),"",ROUND((INDEX(BP!$D$5:$D$9,MATCH(B1683,BP!$A$5:$A$9,1))-INDEX(BP!$C$5:$C$9,MATCH(B1683,BP!$A$5:$A$9,1)))/(INDEX(BP!$B$5:$B$9,MATCH(B1683,BP!$A$5:$A$9,1))-INDEX(BP!$A$5:$A$9,MATCH(B1683,BP!$A$5:$A$9,1)))*(B1683-INDEX(BP!$A$5:$A$9,MATCH(B1683,BP!$A$5:$A$9,1)))+INDEX(BP!$C$5:$C$9,MATCH(B1683,BP!$A$5:$A$9,1)),0))</f>
        <v>18</v>
      </c>
      <c r="D1683" s="12" t="str">
        <f aca="false">IF(NOT(ISNUMBER(C1683)),"",INDEX(BP!$F$5:$F$9,MATCH(C1683,BP!$E$5:$E$9,1)))</f>
        <v>ดีมาก</v>
      </c>
      <c r="E1683" s="12" t="n">
        <f aca="false">YEAR(A1683)</f>
        <v>2025</v>
      </c>
      <c r="F1683" s="12" t="n">
        <f aca="false">MONTH(A1683)</f>
        <v>8</v>
      </c>
      <c r="G1683" s="12" t="n">
        <v>14.8</v>
      </c>
      <c r="H1683" s="12" t="n">
        <v>31</v>
      </c>
      <c r="I1683" s="12" t="n">
        <v>250</v>
      </c>
      <c r="J1683" s="12" t="n">
        <v>9.7</v>
      </c>
      <c r="K1683" s="12" t="n">
        <v>0</v>
      </c>
      <c r="L1683" s="12" t="s">
        <v>35</v>
      </c>
    </row>
    <row r="1684" customFormat="false" ht="15" hidden="false" customHeight="false" outlineLevel="0" collapsed="false">
      <c r="A1684" s="11" t="n">
        <v>45879</v>
      </c>
      <c r="B1684" s="12" t="n">
        <v>10.9</v>
      </c>
      <c r="C1684" s="12" t="n">
        <f aca="false">IF(NOT(ISNUMBER(B1684)),"",ROUND((INDEX(BP!$D$5:$D$9,MATCH(B1684,BP!$A$5:$A$9,1))-INDEX(BP!$C$5:$C$9,MATCH(B1684,BP!$A$5:$A$9,1)))/(INDEX(BP!$B$5:$B$9,MATCH(B1684,BP!$A$5:$A$9,1))-INDEX(BP!$A$5:$A$9,MATCH(B1684,BP!$A$5:$A$9,1)))*(B1684-INDEX(BP!$A$5:$A$9,MATCH(B1684,BP!$A$5:$A$9,1)))+INDEX(BP!$C$5:$C$9,MATCH(B1684,BP!$A$5:$A$9,1)),0))</f>
        <v>18</v>
      </c>
      <c r="D1684" s="12" t="str">
        <f aca="false">IF(NOT(ISNUMBER(C1684)),"",INDEX(BP!$F$5:$F$9,MATCH(C1684,BP!$E$5:$E$9,1)))</f>
        <v>ดีมาก</v>
      </c>
      <c r="E1684" s="12" t="n">
        <f aca="false">YEAR(A1684)</f>
        <v>2025</v>
      </c>
      <c r="F1684" s="12" t="n">
        <f aca="false">MONTH(A1684)</f>
        <v>8</v>
      </c>
      <c r="G1684" s="12" t="n">
        <v>21.3</v>
      </c>
      <c r="H1684" s="12" t="n">
        <v>43.9</v>
      </c>
      <c r="I1684" s="12" t="n">
        <v>240</v>
      </c>
      <c r="J1684" s="12" t="n">
        <v>0.9</v>
      </c>
      <c r="K1684" s="12" t="n">
        <v>1</v>
      </c>
      <c r="L1684" s="12" t="s">
        <v>35</v>
      </c>
    </row>
    <row r="1685" customFormat="false" ht="15" hidden="false" customHeight="false" outlineLevel="0" collapsed="false">
      <c r="A1685" s="11" t="n">
        <v>45880</v>
      </c>
      <c r="B1685" s="12" t="n">
        <v>9.5</v>
      </c>
      <c r="C1685" s="12" t="n">
        <f aca="false">IF(NOT(ISNUMBER(B1685)),"",ROUND((INDEX(BP!$D$5:$D$9,MATCH(B1685,BP!$A$5:$A$9,1))-INDEX(BP!$C$5:$C$9,MATCH(B1685,BP!$A$5:$A$9,1)))/(INDEX(BP!$B$5:$B$9,MATCH(B1685,BP!$A$5:$A$9,1))-INDEX(BP!$A$5:$A$9,MATCH(B1685,BP!$A$5:$A$9,1)))*(B1685-INDEX(BP!$A$5:$A$9,MATCH(B1685,BP!$A$5:$A$9,1)))+INDEX(BP!$C$5:$C$9,MATCH(B1685,BP!$A$5:$A$9,1)),0))</f>
        <v>16</v>
      </c>
      <c r="D1685" s="12" t="str">
        <f aca="false">IF(NOT(ISNUMBER(C1685)),"",INDEX(BP!$F$5:$F$9,MATCH(C1685,BP!$E$5:$E$9,1)))</f>
        <v>ดีมาก</v>
      </c>
      <c r="E1685" s="12" t="n">
        <f aca="false">YEAR(A1685)</f>
        <v>2025</v>
      </c>
      <c r="F1685" s="12" t="n">
        <f aca="false">MONTH(A1685)</f>
        <v>8</v>
      </c>
      <c r="G1685" s="12" t="n">
        <v>19.1</v>
      </c>
      <c r="H1685" s="12" t="n">
        <v>42.1</v>
      </c>
      <c r="I1685" s="12" t="n">
        <v>229</v>
      </c>
      <c r="J1685" s="12" t="n">
        <v>0.5</v>
      </c>
      <c r="K1685" s="12" t="n">
        <v>0</v>
      </c>
      <c r="L1685" s="12" t="s">
        <v>36</v>
      </c>
    </row>
    <row r="1686" customFormat="false" ht="15" hidden="false" customHeight="false" outlineLevel="0" collapsed="false">
      <c r="A1686" s="11" t="n">
        <v>45881</v>
      </c>
      <c r="B1686" s="12" t="n">
        <v>8.1</v>
      </c>
      <c r="C1686" s="12" t="n">
        <f aca="false">IF(NOT(ISNUMBER(B1686)),"",ROUND((INDEX(BP!$D$5:$D$9,MATCH(B1686,BP!$A$5:$A$9,1))-INDEX(BP!$C$5:$C$9,MATCH(B1686,BP!$A$5:$A$9,1)))/(INDEX(BP!$B$5:$B$9,MATCH(B1686,BP!$A$5:$A$9,1))-INDEX(BP!$A$5:$A$9,MATCH(B1686,BP!$A$5:$A$9,1)))*(B1686-INDEX(BP!$A$5:$A$9,MATCH(B1686,BP!$A$5:$A$9,1)))+INDEX(BP!$C$5:$C$9,MATCH(B1686,BP!$A$5:$A$9,1)),0))</f>
        <v>14</v>
      </c>
      <c r="D1686" s="12" t="str">
        <f aca="false">IF(NOT(ISNUMBER(C1686)),"",INDEX(BP!$F$5:$F$9,MATCH(C1686,BP!$E$5:$E$9,1)))</f>
        <v>ดีมาก</v>
      </c>
      <c r="E1686" s="12" t="n">
        <f aca="false">YEAR(A1686)</f>
        <v>2025</v>
      </c>
      <c r="F1686" s="12" t="n">
        <f aca="false">MONTH(A1686)</f>
        <v>8</v>
      </c>
      <c r="G1686" s="12" t="n">
        <v>20.6</v>
      </c>
      <c r="H1686" s="12" t="n">
        <v>43.6</v>
      </c>
      <c r="I1686" s="12" t="n">
        <v>247</v>
      </c>
      <c r="J1686" s="12" t="n">
        <v>0.1</v>
      </c>
      <c r="K1686" s="12" t="n">
        <v>7</v>
      </c>
      <c r="L1686" s="12" t="s">
        <v>34</v>
      </c>
    </row>
    <row r="1687" customFormat="false" ht="15" hidden="false" customHeight="false" outlineLevel="0" collapsed="false">
      <c r="A1687" s="11" t="n">
        <v>45882</v>
      </c>
      <c r="B1687" s="12" t="n">
        <v>8.3</v>
      </c>
      <c r="C1687" s="12" t="n">
        <f aca="false">IF(NOT(ISNUMBER(B1687)),"",ROUND((INDEX(BP!$D$5:$D$9,MATCH(B1687,BP!$A$5:$A$9,1))-INDEX(BP!$C$5:$C$9,MATCH(B1687,BP!$A$5:$A$9,1)))/(INDEX(BP!$B$5:$B$9,MATCH(B1687,BP!$A$5:$A$9,1))-INDEX(BP!$A$5:$A$9,MATCH(B1687,BP!$A$5:$A$9,1)))*(B1687-INDEX(BP!$A$5:$A$9,MATCH(B1687,BP!$A$5:$A$9,1)))+INDEX(BP!$C$5:$C$9,MATCH(B1687,BP!$A$5:$A$9,1)),0))</f>
        <v>14</v>
      </c>
      <c r="D1687" s="12" t="str">
        <f aca="false">IF(NOT(ISNUMBER(C1687)),"",INDEX(BP!$F$5:$F$9,MATCH(C1687,BP!$E$5:$E$9,1)))</f>
        <v>ดีมาก</v>
      </c>
      <c r="E1687" s="12" t="n">
        <f aca="false">YEAR(A1687)</f>
        <v>2025</v>
      </c>
      <c r="F1687" s="12" t="n">
        <f aca="false">MONTH(A1687)</f>
        <v>8</v>
      </c>
      <c r="G1687" s="12" t="n">
        <v>18</v>
      </c>
      <c r="H1687" s="12" t="n">
        <v>41.4</v>
      </c>
      <c r="I1687" s="12" t="n">
        <v>242</v>
      </c>
      <c r="J1687" s="12" t="n">
        <v>0.4</v>
      </c>
      <c r="K1687" s="12" t="n">
        <v>2</v>
      </c>
      <c r="L1687" s="12" t="s">
        <v>36</v>
      </c>
    </row>
    <row r="1688" customFormat="false" ht="15" hidden="false" customHeight="false" outlineLevel="0" collapsed="false">
      <c r="A1688" s="11" t="n">
        <v>45883</v>
      </c>
      <c r="B1688" s="12" t="n">
        <v>9.7</v>
      </c>
      <c r="C1688" s="12" t="n">
        <f aca="false">IF(NOT(ISNUMBER(B1688)),"",ROUND((INDEX(BP!$D$5:$D$9,MATCH(B1688,BP!$A$5:$A$9,1))-INDEX(BP!$C$5:$C$9,MATCH(B1688,BP!$A$5:$A$9,1)))/(INDEX(BP!$B$5:$B$9,MATCH(B1688,BP!$A$5:$A$9,1))-INDEX(BP!$A$5:$A$9,MATCH(B1688,BP!$A$5:$A$9,1)))*(B1688-INDEX(BP!$A$5:$A$9,MATCH(B1688,BP!$A$5:$A$9,1)))+INDEX(BP!$C$5:$C$9,MATCH(B1688,BP!$A$5:$A$9,1)),0))</f>
        <v>16</v>
      </c>
      <c r="D1688" s="12" t="str">
        <f aca="false">IF(NOT(ISNUMBER(C1688)),"",INDEX(BP!$F$5:$F$9,MATCH(C1688,BP!$E$5:$E$9,1)))</f>
        <v>ดีมาก</v>
      </c>
      <c r="E1688" s="12" t="n">
        <f aca="false">YEAR(A1688)</f>
        <v>2025</v>
      </c>
      <c r="F1688" s="12" t="n">
        <f aca="false">MONTH(A1688)</f>
        <v>8</v>
      </c>
      <c r="G1688" s="12" t="n">
        <v>19.7</v>
      </c>
      <c r="H1688" s="12" t="n">
        <v>43.9</v>
      </c>
      <c r="I1688" s="12" t="n">
        <v>253</v>
      </c>
      <c r="J1688" s="12" t="n">
        <v>0.3</v>
      </c>
      <c r="K1688" s="12" t="n">
        <v>5.4</v>
      </c>
      <c r="L1688" s="12" t="s">
        <v>36</v>
      </c>
    </row>
    <row r="1689" customFormat="false" ht="15" hidden="false" customHeight="false" outlineLevel="0" collapsed="false">
      <c r="A1689" s="11" t="n">
        <v>45884</v>
      </c>
      <c r="B1689" s="12" t="n">
        <v>7.4</v>
      </c>
      <c r="C1689" s="12" t="n">
        <f aca="false">IF(NOT(ISNUMBER(B1689)),"",ROUND((INDEX(BP!$D$5:$D$9,MATCH(B1689,BP!$A$5:$A$9,1))-INDEX(BP!$C$5:$C$9,MATCH(B1689,BP!$A$5:$A$9,1)))/(INDEX(BP!$B$5:$B$9,MATCH(B1689,BP!$A$5:$A$9,1))-INDEX(BP!$A$5:$A$9,MATCH(B1689,BP!$A$5:$A$9,1)))*(B1689-INDEX(BP!$A$5:$A$9,MATCH(B1689,BP!$A$5:$A$9,1)))+INDEX(BP!$C$5:$C$9,MATCH(B1689,BP!$A$5:$A$9,1)),0))</f>
        <v>12</v>
      </c>
      <c r="D1689" s="12" t="str">
        <f aca="false">IF(NOT(ISNUMBER(C1689)),"",INDEX(BP!$F$5:$F$9,MATCH(C1689,BP!$E$5:$E$9,1)))</f>
        <v>ดีมาก</v>
      </c>
      <c r="E1689" s="12" t="n">
        <f aca="false">YEAR(A1689)</f>
        <v>2025</v>
      </c>
      <c r="F1689" s="12" t="n">
        <f aca="false">MONTH(A1689)</f>
        <v>8</v>
      </c>
      <c r="G1689" s="12" t="n">
        <v>22.1</v>
      </c>
      <c r="H1689" s="12" t="n">
        <v>50.4</v>
      </c>
      <c r="I1689" s="12" t="n">
        <v>251</v>
      </c>
      <c r="J1689" s="12" t="n">
        <v>0.7</v>
      </c>
      <c r="K1689" s="12" t="n">
        <v>1</v>
      </c>
      <c r="L1689" s="12" t="s">
        <v>36</v>
      </c>
    </row>
    <row r="1690" customFormat="false" ht="15" hidden="false" customHeight="false" outlineLevel="0" collapsed="false">
      <c r="A1690" s="11" t="n">
        <v>45885</v>
      </c>
      <c r="B1690" s="12" t="n">
        <v>9.1</v>
      </c>
      <c r="C1690" s="12" t="n">
        <f aca="false">IF(NOT(ISNUMBER(B1690)),"",ROUND((INDEX(BP!$D$5:$D$9,MATCH(B1690,BP!$A$5:$A$9,1))-INDEX(BP!$C$5:$C$9,MATCH(B1690,BP!$A$5:$A$9,1)))/(INDEX(BP!$B$5:$B$9,MATCH(B1690,BP!$A$5:$A$9,1))-INDEX(BP!$A$5:$A$9,MATCH(B1690,BP!$A$5:$A$9,1)))*(B1690-INDEX(BP!$A$5:$A$9,MATCH(B1690,BP!$A$5:$A$9,1)))+INDEX(BP!$C$5:$C$9,MATCH(B1690,BP!$A$5:$A$9,1)),0))</f>
        <v>15</v>
      </c>
      <c r="D1690" s="12" t="str">
        <f aca="false">IF(NOT(ISNUMBER(C1690)),"",INDEX(BP!$F$5:$F$9,MATCH(C1690,BP!$E$5:$E$9,1)))</f>
        <v>ดีมาก</v>
      </c>
      <c r="E1690" s="12" t="n">
        <f aca="false">YEAR(A1690)</f>
        <v>2025</v>
      </c>
      <c r="F1690" s="12" t="n">
        <f aca="false">MONTH(A1690)</f>
        <v>8</v>
      </c>
      <c r="G1690" s="12" t="n">
        <v>17.4</v>
      </c>
      <c r="H1690" s="12" t="n">
        <v>41.4</v>
      </c>
      <c r="I1690" s="12" t="n">
        <v>256</v>
      </c>
      <c r="J1690" s="12" t="n">
        <v>0</v>
      </c>
      <c r="K1690" s="12" t="n">
        <v>0.2</v>
      </c>
      <c r="L1690" s="12" t="s">
        <v>35</v>
      </c>
    </row>
    <row r="1691" customFormat="false" ht="15" hidden="false" customHeight="false" outlineLevel="0" collapsed="false">
      <c r="A1691" s="11" t="n">
        <v>45886</v>
      </c>
      <c r="B1691" s="12" t="n">
        <v>12</v>
      </c>
      <c r="C1691" s="12" t="n">
        <f aca="false">IF(NOT(ISNUMBER(B1691)),"",ROUND((INDEX(BP!$D$5:$D$9,MATCH(B1691,BP!$A$5:$A$9,1))-INDEX(BP!$C$5:$C$9,MATCH(B1691,BP!$A$5:$A$9,1)))/(INDEX(BP!$B$5:$B$9,MATCH(B1691,BP!$A$5:$A$9,1))-INDEX(BP!$A$5:$A$9,MATCH(B1691,BP!$A$5:$A$9,1)))*(B1691-INDEX(BP!$A$5:$A$9,MATCH(B1691,BP!$A$5:$A$9,1)))+INDEX(BP!$C$5:$C$9,MATCH(B1691,BP!$A$5:$A$9,1)),0))</f>
        <v>20</v>
      </c>
      <c r="D1691" s="12" t="str">
        <f aca="false">IF(NOT(ISNUMBER(C1691)),"",INDEX(BP!$F$5:$F$9,MATCH(C1691,BP!$E$5:$E$9,1)))</f>
        <v>ดีมาก</v>
      </c>
      <c r="E1691" s="12" t="n">
        <f aca="false">YEAR(A1691)</f>
        <v>2025</v>
      </c>
      <c r="F1691" s="12" t="n">
        <f aca="false">MONTH(A1691)</f>
        <v>8</v>
      </c>
      <c r="G1691" s="12" t="n">
        <v>13.8</v>
      </c>
      <c r="H1691" s="12" t="n">
        <v>35.6</v>
      </c>
      <c r="I1691" s="12" t="n">
        <v>113</v>
      </c>
      <c r="J1691" s="12" t="n">
        <v>0.3</v>
      </c>
      <c r="K1691" s="12" t="n">
        <v>0</v>
      </c>
      <c r="L1691" s="12" t="s">
        <v>35</v>
      </c>
    </row>
    <row r="1692" customFormat="false" ht="15" hidden="false" customHeight="false" outlineLevel="0" collapsed="false">
      <c r="A1692" s="11" t="n">
        <v>45887</v>
      </c>
      <c r="B1692" s="12" t="n">
        <v>13.7</v>
      </c>
      <c r="C1692" s="12" t="n">
        <f aca="false">IF(NOT(ISNUMBER(B1692)),"",ROUND((INDEX(BP!$D$5:$D$9,MATCH(B1692,BP!$A$5:$A$9,1))-INDEX(BP!$C$5:$C$9,MATCH(B1692,BP!$A$5:$A$9,1)))/(INDEX(BP!$B$5:$B$9,MATCH(B1692,BP!$A$5:$A$9,1))-INDEX(BP!$A$5:$A$9,MATCH(B1692,BP!$A$5:$A$9,1)))*(B1692-INDEX(BP!$A$5:$A$9,MATCH(B1692,BP!$A$5:$A$9,1)))+INDEX(BP!$C$5:$C$9,MATCH(B1692,BP!$A$5:$A$9,1)),0))</f>
        <v>23</v>
      </c>
      <c r="D1692" s="12" t="str">
        <f aca="false">IF(NOT(ISNUMBER(C1692)),"",INDEX(BP!$F$5:$F$9,MATCH(C1692,BP!$E$5:$E$9,1)))</f>
        <v>ดีมาก</v>
      </c>
      <c r="E1692" s="12" t="n">
        <f aca="false">YEAR(A1692)</f>
        <v>2025</v>
      </c>
      <c r="F1692" s="12" t="n">
        <f aca="false">MONTH(A1692)</f>
        <v>8</v>
      </c>
      <c r="G1692" s="12" t="n">
        <v>11.8</v>
      </c>
      <c r="H1692" s="12" t="n">
        <v>32.4</v>
      </c>
      <c r="I1692" s="12" t="n">
        <v>116</v>
      </c>
      <c r="J1692" s="12" t="n">
        <v>2.7</v>
      </c>
      <c r="K1692" s="12" t="n">
        <v>1.2</v>
      </c>
      <c r="L1692" s="12" t="s">
        <v>36</v>
      </c>
    </row>
    <row r="1693" customFormat="false" ht="15" hidden="false" customHeight="false" outlineLevel="0" collapsed="false">
      <c r="A1693" s="11" t="n">
        <v>45888</v>
      </c>
      <c r="B1693" s="12" t="n">
        <v>14.1</v>
      </c>
      <c r="C1693" s="12" t="n">
        <f aca="false">IF(NOT(ISNUMBER(B1693)),"",ROUND((INDEX(BP!$D$5:$D$9,MATCH(B1693,BP!$A$5:$A$9,1))-INDEX(BP!$C$5:$C$9,MATCH(B1693,BP!$A$5:$A$9,1)))/(INDEX(BP!$B$5:$B$9,MATCH(B1693,BP!$A$5:$A$9,1))-INDEX(BP!$A$5:$A$9,MATCH(B1693,BP!$A$5:$A$9,1)))*(B1693-INDEX(BP!$A$5:$A$9,MATCH(B1693,BP!$A$5:$A$9,1)))+INDEX(BP!$C$5:$C$9,MATCH(B1693,BP!$A$5:$A$9,1)),0))</f>
        <v>24</v>
      </c>
      <c r="D1693" s="12" t="str">
        <f aca="false">IF(NOT(ISNUMBER(C1693)),"",INDEX(BP!$F$5:$F$9,MATCH(C1693,BP!$E$5:$E$9,1)))</f>
        <v>ดีมาก</v>
      </c>
      <c r="E1693" s="12" t="n">
        <f aca="false">YEAR(A1693)</f>
        <v>2025</v>
      </c>
      <c r="F1693" s="12" t="n">
        <f aca="false">MONTH(A1693)</f>
        <v>8</v>
      </c>
      <c r="G1693" s="12" t="n">
        <v>14.4</v>
      </c>
      <c r="H1693" s="12" t="n">
        <v>33.5</v>
      </c>
      <c r="I1693" s="12" t="n">
        <v>107</v>
      </c>
      <c r="J1693" s="12" t="n">
        <v>2.1</v>
      </c>
      <c r="K1693" s="12" t="n">
        <v>26.4</v>
      </c>
      <c r="L1693" s="12" t="s">
        <v>36</v>
      </c>
    </row>
    <row r="1694" customFormat="false" ht="15" hidden="false" customHeight="false" outlineLevel="0" collapsed="false">
      <c r="A1694" s="11" t="n">
        <v>45889</v>
      </c>
      <c r="B1694" s="12" t="n">
        <v>11.4</v>
      </c>
      <c r="C1694" s="12" t="n">
        <f aca="false">IF(NOT(ISNUMBER(B1694)),"",ROUND((INDEX(BP!$D$5:$D$9,MATCH(B1694,BP!$A$5:$A$9,1))-INDEX(BP!$C$5:$C$9,MATCH(B1694,BP!$A$5:$A$9,1)))/(INDEX(BP!$B$5:$B$9,MATCH(B1694,BP!$A$5:$A$9,1))-INDEX(BP!$A$5:$A$9,MATCH(B1694,BP!$A$5:$A$9,1)))*(B1694-INDEX(BP!$A$5:$A$9,MATCH(B1694,BP!$A$5:$A$9,1)))+INDEX(BP!$C$5:$C$9,MATCH(B1694,BP!$A$5:$A$9,1)),0))</f>
        <v>19</v>
      </c>
      <c r="D1694" s="12" t="str">
        <f aca="false">IF(NOT(ISNUMBER(C1694)),"",INDEX(BP!$F$5:$F$9,MATCH(C1694,BP!$E$5:$E$9,1)))</f>
        <v>ดีมาก</v>
      </c>
      <c r="E1694" s="12" t="n">
        <f aca="false">YEAR(A1694)</f>
        <v>2025</v>
      </c>
      <c r="F1694" s="12" t="n">
        <f aca="false">MONTH(A1694)</f>
        <v>8</v>
      </c>
      <c r="G1694" s="12" t="n">
        <v>13</v>
      </c>
      <c r="H1694" s="12" t="n">
        <v>28.4</v>
      </c>
      <c r="I1694" s="12" t="n">
        <v>227</v>
      </c>
      <c r="J1694" s="12" t="n">
        <v>9.5</v>
      </c>
      <c r="K1694" s="12" t="n">
        <v>26.8</v>
      </c>
      <c r="L1694" s="12" t="s">
        <v>36</v>
      </c>
    </row>
    <row r="1695" customFormat="false" ht="15" hidden="false" customHeight="false" outlineLevel="0" collapsed="false">
      <c r="A1695" s="11" t="n">
        <v>45890</v>
      </c>
      <c r="B1695" s="12" t="n">
        <v>10.1</v>
      </c>
      <c r="C1695" s="12" t="n">
        <f aca="false">IF(NOT(ISNUMBER(B1695)),"",ROUND((INDEX(BP!$D$5:$D$9,MATCH(B1695,BP!$A$5:$A$9,1))-INDEX(BP!$C$5:$C$9,MATCH(B1695,BP!$A$5:$A$9,1)))/(INDEX(BP!$B$5:$B$9,MATCH(B1695,BP!$A$5:$A$9,1))-INDEX(BP!$A$5:$A$9,MATCH(B1695,BP!$A$5:$A$9,1)))*(B1695-INDEX(BP!$A$5:$A$9,MATCH(B1695,BP!$A$5:$A$9,1)))+INDEX(BP!$C$5:$C$9,MATCH(B1695,BP!$A$5:$A$9,1)),0))</f>
        <v>17</v>
      </c>
      <c r="D1695" s="12" t="str">
        <f aca="false">IF(NOT(ISNUMBER(C1695)),"",INDEX(BP!$F$5:$F$9,MATCH(C1695,BP!$E$5:$E$9,1)))</f>
        <v>ดีมาก</v>
      </c>
      <c r="E1695" s="12" t="n">
        <f aca="false">YEAR(A1695)</f>
        <v>2025</v>
      </c>
      <c r="F1695" s="12" t="n">
        <f aca="false">MONTH(A1695)</f>
        <v>8</v>
      </c>
      <c r="G1695" s="12" t="n">
        <v>14.2</v>
      </c>
      <c r="H1695" s="12" t="n">
        <v>38.5</v>
      </c>
      <c r="I1695" s="12" t="n">
        <v>206</v>
      </c>
      <c r="J1695" s="12" t="n">
        <v>13.9</v>
      </c>
      <c r="K1695" s="12" t="n">
        <v>13.8</v>
      </c>
      <c r="L1695" s="12" t="s">
        <v>36</v>
      </c>
    </row>
    <row r="1696" customFormat="false" ht="15" hidden="false" customHeight="false" outlineLevel="0" collapsed="false">
      <c r="A1696" s="11" t="n">
        <v>45891</v>
      </c>
      <c r="B1696" s="12" t="n">
        <v>7.8</v>
      </c>
      <c r="C1696" s="12" t="n">
        <f aca="false">IF(NOT(ISNUMBER(B1696)),"",ROUND((INDEX(BP!$D$5:$D$9,MATCH(B1696,BP!$A$5:$A$9,1))-INDEX(BP!$C$5:$C$9,MATCH(B1696,BP!$A$5:$A$9,1)))/(INDEX(BP!$B$5:$B$9,MATCH(B1696,BP!$A$5:$A$9,1))-INDEX(BP!$A$5:$A$9,MATCH(B1696,BP!$A$5:$A$9,1)))*(B1696-INDEX(BP!$A$5:$A$9,MATCH(B1696,BP!$A$5:$A$9,1)))+INDEX(BP!$C$5:$C$9,MATCH(B1696,BP!$A$5:$A$9,1)),0))</f>
        <v>13</v>
      </c>
      <c r="D1696" s="12" t="str">
        <f aca="false">IF(NOT(ISNUMBER(C1696)),"",INDEX(BP!$F$5:$F$9,MATCH(C1696,BP!$E$5:$E$9,1)))</f>
        <v>ดีมาก</v>
      </c>
      <c r="E1696" s="12" t="n">
        <f aca="false">YEAR(A1696)</f>
        <v>2025</v>
      </c>
      <c r="F1696" s="12" t="n">
        <f aca="false">MONTH(A1696)</f>
        <v>8</v>
      </c>
      <c r="G1696" s="12" t="n">
        <v>10.7</v>
      </c>
      <c r="H1696" s="12" t="n">
        <v>37.1</v>
      </c>
      <c r="I1696" s="12" t="n">
        <v>276</v>
      </c>
      <c r="J1696" s="12" t="n">
        <v>8.7</v>
      </c>
      <c r="K1696" s="12" t="n">
        <v>0</v>
      </c>
      <c r="L1696" s="12" t="s">
        <v>36</v>
      </c>
    </row>
    <row r="1697" customFormat="false" ht="15" hidden="false" customHeight="false" outlineLevel="0" collapsed="false">
      <c r="A1697" s="11" t="n">
        <v>45892</v>
      </c>
      <c r="B1697" s="12" t="n">
        <v>8.5</v>
      </c>
      <c r="C1697" s="12" t="n">
        <f aca="false">IF(NOT(ISNUMBER(B1697)),"",ROUND((INDEX(BP!$D$5:$D$9,MATCH(B1697,BP!$A$5:$A$9,1))-INDEX(BP!$C$5:$C$9,MATCH(B1697,BP!$A$5:$A$9,1)))/(INDEX(BP!$B$5:$B$9,MATCH(B1697,BP!$A$5:$A$9,1))-INDEX(BP!$A$5:$A$9,MATCH(B1697,BP!$A$5:$A$9,1)))*(B1697-INDEX(BP!$A$5:$A$9,MATCH(B1697,BP!$A$5:$A$9,1)))+INDEX(BP!$C$5:$C$9,MATCH(B1697,BP!$A$5:$A$9,1)),0))</f>
        <v>14</v>
      </c>
      <c r="D1697" s="12" t="str">
        <f aca="false">IF(NOT(ISNUMBER(C1697)),"",INDEX(BP!$F$5:$F$9,MATCH(C1697,BP!$E$5:$E$9,1)))</f>
        <v>ดีมาก</v>
      </c>
      <c r="E1697" s="12" t="n">
        <f aca="false">YEAR(A1697)</f>
        <v>2025</v>
      </c>
      <c r="F1697" s="12" t="n">
        <f aca="false">MONTH(A1697)</f>
        <v>8</v>
      </c>
      <c r="G1697" s="12" t="n">
        <v>16.3</v>
      </c>
      <c r="H1697" s="12" t="n">
        <v>35.3</v>
      </c>
      <c r="I1697" s="12" t="n">
        <v>250</v>
      </c>
      <c r="J1697" s="12" t="n">
        <v>16.4</v>
      </c>
      <c r="K1697" s="12" t="n">
        <v>1.6</v>
      </c>
      <c r="L1697" s="12" t="s">
        <v>35</v>
      </c>
    </row>
    <row r="1698" customFormat="false" ht="15" hidden="false" customHeight="false" outlineLevel="0" collapsed="false">
      <c r="A1698" s="11" t="n">
        <v>45893</v>
      </c>
      <c r="B1698" s="12" t="n">
        <v>7.1</v>
      </c>
      <c r="C1698" s="12" t="n">
        <f aca="false">IF(NOT(ISNUMBER(B1698)),"",ROUND((INDEX(BP!$D$5:$D$9,MATCH(B1698,BP!$A$5:$A$9,1))-INDEX(BP!$C$5:$C$9,MATCH(B1698,BP!$A$5:$A$9,1)))/(INDEX(BP!$B$5:$B$9,MATCH(B1698,BP!$A$5:$A$9,1))-INDEX(BP!$A$5:$A$9,MATCH(B1698,BP!$A$5:$A$9,1)))*(B1698-INDEX(BP!$A$5:$A$9,MATCH(B1698,BP!$A$5:$A$9,1)))+INDEX(BP!$C$5:$C$9,MATCH(B1698,BP!$A$5:$A$9,1)),0))</f>
        <v>12</v>
      </c>
      <c r="D1698" s="12" t="str">
        <f aca="false">IF(NOT(ISNUMBER(C1698)),"",INDEX(BP!$F$5:$F$9,MATCH(C1698,BP!$E$5:$E$9,1)))</f>
        <v>ดีมาก</v>
      </c>
      <c r="E1698" s="12" t="n">
        <f aca="false">YEAR(A1698)</f>
        <v>2025</v>
      </c>
      <c r="F1698" s="12" t="n">
        <f aca="false">MONTH(A1698)</f>
        <v>8</v>
      </c>
      <c r="G1698" s="12" t="n">
        <v>20.2</v>
      </c>
      <c r="H1698" s="12" t="n">
        <v>45.7</v>
      </c>
      <c r="I1698" s="12" t="n">
        <v>246</v>
      </c>
      <c r="J1698" s="12" t="n">
        <v>0.1</v>
      </c>
      <c r="K1698" s="12" t="n">
        <v>0.2</v>
      </c>
      <c r="L1698" s="12" t="s">
        <v>35</v>
      </c>
    </row>
    <row r="1699" customFormat="false" ht="15" hidden="false" customHeight="false" outlineLevel="0" collapsed="false">
      <c r="A1699" s="11" t="n">
        <v>45894</v>
      </c>
      <c r="B1699" s="12" t="n">
        <v>7.6</v>
      </c>
      <c r="C1699" s="12" t="n">
        <f aca="false">IF(NOT(ISNUMBER(B1699)),"",ROUND((INDEX(BP!$D$5:$D$9,MATCH(B1699,BP!$A$5:$A$9,1))-INDEX(BP!$C$5:$C$9,MATCH(B1699,BP!$A$5:$A$9,1)))/(INDEX(BP!$B$5:$B$9,MATCH(B1699,BP!$A$5:$A$9,1))-INDEX(BP!$A$5:$A$9,MATCH(B1699,BP!$A$5:$A$9,1)))*(B1699-INDEX(BP!$A$5:$A$9,MATCH(B1699,BP!$A$5:$A$9,1)))+INDEX(BP!$C$5:$C$9,MATCH(B1699,BP!$A$5:$A$9,1)),0))</f>
        <v>13</v>
      </c>
      <c r="D1699" s="12" t="str">
        <f aca="false">IF(NOT(ISNUMBER(C1699)),"",INDEX(BP!$F$5:$F$9,MATCH(C1699,BP!$E$5:$E$9,1)))</f>
        <v>ดีมาก</v>
      </c>
      <c r="E1699" s="12" t="n">
        <f aca="false">YEAR(A1699)</f>
        <v>2025</v>
      </c>
      <c r="F1699" s="12" t="n">
        <f aca="false">MONTH(A1699)</f>
        <v>8</v>
      </c>
      <c r="G1699" s="12" t="n">
        <v>24.6</v>
      </c>
      <c r="H1699" s="12" t="n">
        <v>53.6</v>
      </c>
      <c r="I1699" s="12" t="n">
        <v>237</v>
      </c>
      <c r="J1699" s="12" t="n">
        <v>0</v>
      </c>
      <c r="K1699" s="12" t="n">
        <v>2.4</v>
      </c>
      <c r="L1699" s="12" t="s">
        <v>36</v>
      </c>
    </row>
    <row r="1700" customFormat="false" ht="15" hidden="false" customHeight="false" outlineLevel="0" collapsed="false">
      <c r="A1700" s="11" t="n">
        <v>45895</v>
      </c>
      <c r="B1700" s="12" t="n">
        <v>9</v>
      </c>
      <c r="C1700" s="12" t="n">
        <f aca="false">IF(NOT(ISNUMBER(B1700)),"",ROUND((INDEX(BP!$D$5:$D$9,MATCH(B1700,BP!$A$5:$A$9,1))-INDEX(BP!$C$5:$C$9,MATCH(B1700,BP!$A$5:$A$9,1)))/(INDEX(BP!$B$5:$B$9,MATCH(B1700,BP!$A$5:$A$9,1))-INDEX(BP!$A$5:$A$9,MATCH(B1700,BP!$A$5:$A$9,1)))*(B1700-INDEX(BP!$A$5:$A$9,MATCH(B1700,BP!$A$5:$A$9,1)))+INDEX(BP!$C$5:$C$9,MATCH(B1700,BP!$A$5:$A$9,1)),0))</f>
        <v>15</v>
      </c>
      <c r="D1700" s="12" t="str">
        <f aca="false">IF(NOT(ISNUMBER(C1700)),"",INDEX(BP!$F$5:$F$9,MATCH(C1700,BP!$E$5:$E$9,1)))</f>
        <v>ดีมาก</v>
      </c>
      <c r="E1700" s="12" t="n">
        <f aca="false">YEAR(A1700)</f>
        <v>2025</v>
      </c>
      <c r="F1700" s="12" t="n">
        <f aca="false">MONTH(A1700)</f>
        <v>8</v>
      </c>
      <c r="G1700" s="12" t="n">
        <v>12.7</v>
      </c>
      <c r="H1700" s="12" t="n">
        <v>29.5</v>
      </c>
      <c r="I1700" s="12" t="n">
        <v>226</v>
      </c>
      <c r="J1700" s="12" t="n">
        <v>0.4</v>
      </c>
      <c r="K1700" s="12" t="n">
        <v>0</v>
      </c>
      <c r="L1700" s="12" t="s">
        <v>36</v>
      </c>
    </row>
    <row r="1701" customFormat="false" ht="15" hidden="false" customHeight="false" outlineLevel="0" collapsed="false">
      <c r="A1701" s="11" t="n">
        <v>45896</v>
      </c>
      <c r="B1701" s="12" t="n">
        <v>10.9</v>
      </c>
      <c r="C1701" s="12" t="n">
        <f aca="false">IF(NOT(ISNUMBER(B1701)),"",ROUND((INDEX(BP!$D$5:$D$9,MATCH(B1701,BP!$A$5:$A$9,1))-INDEX(BP!$C$5:$C$9,MATCH(B1701,BP!$A$5:$A$9,1)))/(INDEX(BP!$B$5:$B$9,MATCH(B1701,BP!$A$5:$A$9,1))-INDEX(BP!$A$5:$A$9,MATCH(B1701,BP!$A$5:$A$9,1)))*(B1701-INDEX(BP!$A$5:$A$9,MATCH(B1701,BP!$A$5:$A$9,1)))+INDEX(BP!$C$5:$C$9,MATCH(B1701,BP!$A$5:$A$9,1)),0))</f>
        <v>18</v>
      </c>
      <c r="D1701" s="12" t="str">
        <f aca="false">IF(NOT(ISNUMBER(C1701)),"",INDEX(BP!$F$5:$F$9,MATCH(C1701,BP!$E$5:$E$9,1)))</f>
        <v>ดีมาก</v>
      </c>
      <c r="E1701" s="12" t="n">
        <f aca="false">YEAR(A1701)</f>
        <v>2025</v>
      </c>
      <c r="F1701" s="12" t="n">
        <f aca="false">MONTH(A1701)</f>
        <v>8</v>
      </c>
      <c r="G1701" s="12" t="n">
        <v>12.5</v>
      </c>
      <c r="H1701" s="12" t="n">
        <v>33.5</v>
      </c>
      <c r="I1701" s="12" t="n">
        <v>77</v>
      </c>
      <c r="J1701" s="12" t="n">
        <v>15.2</v>
      </c>
      <c r="K1701" s="12" t="n">
        <v>0.2</v>
      </c>
      <c r="L1701" s="12" t="s">
        <v>36</v>
      </c>
    </row>
    <row r="1702" customFormat="false" ht="15" hidden="false" customHeight="false" outlineLevel="0" collapsed="false">
      <c r="A1702" s="11" t="n">
        <v>45897</v>
      </c>
      <c r="B1702" s="12" t="n">
        <v>7.8</v>
      </c>
      <c r="C1702" s="12" t="n">
        <f aca="false">IF(NOT(ISNUMBER(B1702)),"",ROUND((INDEX(BP!$D$5:$D$9,MATCH(B1702,BP!$A$5:$A$9,1))-INDEX(BP!$C$5:$C$9,MATCH(B1702,BP!$A$5:$A$9,1)))/(INDEX(BP!$B$5:$B$9,MATCH(B1702,BP!$A$5:$A$9,1))-INDEX(BP!$A$5:$A$9,MATCH(B1702,BP!$A$5:$A$9,1)))*(B1702-INDEX(BP!$A$5:$A$9,MATCH(B1702,BP!$A$5:$A$9,1)))+INDEX(BP!$C$5:$C$9,MATCH(B1702,BP!$A$5:$A$9,1)),0))</f>
        <v>13</v>
      </c>
      <c r="D1702" s="12" t="str">
        <f aca="false">IF(NOT(ISNUMBER(C1702)),"",INDEX(BP!$F$5:$F$9,MATCH(C1702,BP!$E$5:$E$9,1)))</f>
        <v>ดีมาก</v>
      </c>
      <c r="E1702" s="12" t="n">
        <f aca="false">YEAR(A1702)</f>
        <v>2025</v>
      </c>
      <c r="F1702" s="12" t="n">
        <f aca="false">MONTH(A1702)</f>
        <v>8</v>
      </c>
      <c r="G1702" s="12" t="n">
        <v>18.7</v>
      </c>
      <c r="H1702" s="12" t="n">
        <v>45.4</v>
      </c>
      <c r="I1702" s="12" t="n">
        <v>246</v>
      </c>
      <c r="J1702" s="12" t="n">
        <v>1.5</v>
      </c>
      <c r="K1702" s="12" t="n">
        <v>1</v>
      </c>
      <c r="L1702" s="12" t="s">
        <v>36</v>
      </c>
    </row>
    <row r="1703" customFormat="false" ht="15" hidden="false" customHeight="false" outlineLevel="0" collapsed="false">
      <c r="A1703" s="11" t="n">
        <v>45898</v>
      </c>
      <c r="B1703" s="12" t="n">
        <v>7.1</v>
      </c>
      <c r="C1703" s="12" t="n">
        <f aca="false">IF(NOT(ISNUMBER(B1703)),"",ROUND((INDEX(BP!$D$5:$D$9,MATCH(B1703,BP!$A$5:$A$9,1))-INDEX(BP!$C$5:$C$9,MATCH(B1703,BP!$A$5:$A$9,1)))/(INDEX(BP!$B$5:$B$9,MATCH(B1703,BP!$A$5:$A$9,1))-INDEX(BP!$A$5:$A$9,MATCH(B1703,BP!$A$5:$A$9,1)))*(B1703-INDEX(BP!$A$5:$A$9,MATCH(B1703,BP!$A$5:$A$9,1)))+INDEX(BP!$C$5:$C$9,MATCH(B1703,BP!$A$5:$A$9,1)),0))</f>
        <v>12</v>
      </c>
      <c r="D1703" s="12" t="str">
        <f aca="false">IF(NOT(ISNUMBER(C1703)),"",INDEX(BP!$F$5:$F$9,MATCH(C1703,BP!$E$5:$E$9,1)))</f>
        <v>ดีมาก</v>
      </c>
      <c r="E1703" s="12" t="n">
        <f aca="false">YEAR(A1703)</f>
        <v>2025</v>
      </c>
      <c r="F1703" s="12" t="n">
        <f aca="false">MONTH(A1703)</f>
        <v>8</v>
      </c>
      <c r="G1703" s="12" t="n">
        <v>22.8</v>
      </c>
      <c r="H1703" s="12" t="n">
        <v>49.7</v>
      </c>
      <c r="I1703" s="12" t="n">
        <v>246</v>
      </c>
      <c r="J1703" s="12" t="n">
        <v>0</v>
      </c>
      <c r="K1703" s="12" t="n">
        <v>0</v>
      </c>
      <c r="L1703" s="12" t="s">
        <v>36</v>
      </c>
    </row>
    <row r="1704" customFormat="false" ht="15" hidden="false" customHeight="false" outlineLevel="0" collapsed="false">
      <c r="A1704" s="11" t="n">
        <v>45899</v>
      </c>
      <c r="B1704" s="12" t="n">
        <v>6.3</v>
      </c>
      <c r="C1704" s="12" t="n">
        <f aca="false">IF(NOT(ISNUMBER(B1704)),"",ROUND((INDEX(BP!$D$5:$D$9,MATCH(B1704,BP!$A$5:$A$9,1))-INDEX(BP!$C$5:$C$9,MATCH(B1704,BP!$A$5:$A$9,1)))/(INDEX(BP!$B$5:$B$9,MATCH(B1704,BP!$A$5:$A$9,1))-INDEX(BP!$A$5:$A$9,MATCH(B1704,BP!$A$5:$A$9,1)))*(B1704-INDEX(BP!$A$5:$A$9,MATCH(B1704,BP!$A$5:$A$9,1)))+INDEX(BP!$C$5:$C$9,MATCH(B1704,BP!$A$5:$A$9,1)),0))</f>
        <v>11</v>
      </c>
      <c r="D1704" s="12" t="str">
        <f aca="false">IF(NOT(ISNUMBER(C1704)),"",INDEX(BP!$F$5:$F$9,MATCH(C1704,BP!$E$5:$E$9,1)))</f>
        <v>ดีมาก</v>
      </c>
      <c r="E1704" s="12" t="n">
        <f aca="false">YEAR(A1704)</f>
        <v>2025</v>
      </c>
      <c r="F1704" s="12" t="n">
        <f aca="false">MONTH(A1704)</f>
        <v>8</v>
      </c>
      <c r="G1704" s="12" t="n">
        <v>28</v>
      </c>
      <c r="H1704" s="12" t="n">
        <v>60.1</v>
      </c>
      <c r="I1704" s="12" t="n">
        <v>262</v>
      </c>
      <c r="J1704" s="12" t="n">
        <v>1.3</v>
      </c>
      <c r="K1704" s="12" t="n">
        <v>6.8</v>
      </c>
      <c r="L1704" s="12" t="s">
        <v>35</v>
      </c>
    </row>
    <row r="1705" customFormat="false" ht="15" hidden="false" customHeight="false" outlineLevel="0" collapsed="false">
      <c r="A1705" s="11" t="n">
        <v>45900</v>
      </c>
      <c r="B1705" s="12" t="n">
        <v>5.8</v>
      </c>
      <c r="C1705" s="12" t="n">
        <f aca="false">IF(NOT(ISNUMBER(B1705)),"",ROUND((INDEX(BP!$D$5:$D$9,MATCH(B1705,BP!$A$5:$A$9,1))-INDEX(BP!$C$5:$C$9,MATCH(B1705,BP!$A$5:$A$9,1)))/(INDEX(BP!$B$5:$B$9,MATCH(B1705,BP!$A$5:$A$9,1))-INDEX(BP!$A$5:$A$9,MATCH(B1705,BP!$A$5:$A$9,1)))*(B1705-INDEX(BP!$A$5:$A$9,MATCH(B1705,BP!$A$5:$A$9,1)))+INDEX(BP!$C$5:$C$9,MATCH(B1705,BP!$A$5:$A$9,1)),0))</f>
        <v>10</v>
      </c>
      <c r="D1705" s="12" t="str">
        <f aca="false">IF(NOT(ISNUMBER(C1705)),"",INDEX(BP!$F$5:$F$9,MATCH(C1705,BP!$E$5:$E$9,1)))</f>
        <v>ดีมาก</v>
      </c>
      <c r="E1705" s="12" t="n">
        <f aca="false">YEAR(A1705)</f>
        <v>2025</v>
      </c>
      <c r="F1705" s="12" t="n">
        <f aca="false">MONTH(A1705)</f>
        <v>8</v>
      </c>
      <c r="G1705" s="12" t="n">
        <v>26.1</v>
      </c>
      <c r="H1705" s="12" t="n">
        <v>60.1</v>
      </c>
      <c r="I1705" s="12" t="n">
        <v>255</v>
      </c>
      <c r="J1705" s="12" t="n">
        <v>0.4</v>
      </c>
      <c r="K1705" s="12" t="n">
        <v>0.2</v>
      </c>
      <c r="L1705" s="12" t="s">
        <v>35</v>
      </c>
    </row>
    <row r="1706" customFormat="false" ht="15" hidden="false" customHeight="false" outlineLevel="0" collapsed="false">
      <c r="A1706" s="11" t="n">
        <v>45901</v>
      </c>
      <c r="B1706" s="12" t="n">
        <v>5.6</v>
      </c>
      <c r="C1706" s="12" t="n">
        <f aca="false">IF(NOT(ISNUMBER(B1706)),"",ROUND((INDEX(BP!$D$5:$D$9,MATCH(B1706,BP!$A$5:$A$9,1))-INDEX(BP!$C$5:$C$9,MATCH(B1706,BP!$A$5:$A$9,1)))/(INDEX(BP!$B$5:$B$9,MATCH(B1706,BP!$A$5:$A$9,1))-INDEX(BP!$A$5:$A$9,MATCH(B1706,BP!$A$5:$A$9,1)))*(B1706-INDEX(BP!$A$5:$A$9,MATCH(B1706,BP!$A$5:$A$9,1)))+INDEX(BP!$C$5:$C$9,MATCH(B1706,BP!$A$5:$A$9,1)),0))</f>
        <v>9</v>
      </c>
      <c r="D1706" s="12" t="str">
        <f aca="false">IF(NOT(ISNUMBER(C1706)),"",INDEX(BP!$F$5:$F$9,MATCH(C1706,BP!$E$5:$E$9,1)))</f>
        <v>ดีมาก</v>
      </c>
      <c r="E1706" s="12" t="n">
        <f aca="false">YEAR(A1706)</f>
        <v>2025</v>
      </c>
      <c r="F1706" s="12" t="n">
        <f aca="false">MONTH(A1706)</f>
        <v>9</v>
      </c>
      <c r="G1706" s="12" t="n">
        <v>24.8</v>
      </c>
      <c r="H1706" s="12" t="n">
        <v>51.8</v>
      </c>
      <c r="I1706" s="12" t="n">
        <v>245</v>
      </c>
      <c r="J1706" s="12" t="n">
        <v>1.2</v>
      </c>
      <c r="K1706" s="12" t="n">
        <v>1</v>
      </c>
      <c r="L1706" s="12" t="s">
        <v>36</v>
      </c>
    </row>
    <row r="1707" customFormat="false" ht="15" hidden="false" customHeight="false" outlineLevel="0" collapsed="false">
      <c r="A1707" s="11" t="n">
        <v>45902</v>
      </c>
      <c r="B1707" s="12" t="n">
        <v>5.9</v>
      </c>
      <c r="C1707" s="12" t="n">
        <f aca="false">IF(NOT(ISNUMBER(B1707)),"",ROUND((INDEX(BP!$D$5:$D$9,MATCH(B1707,BP!$A$5:$A$9,1))-INDEX(BP!$C$5:$C$9,MATCH(B1707,BP!$A$5:$A$9,1)))/(INDEX(BP!$B$5:$B$9,MATCH(B1707,BP!$A$5:$A$9,1))-INDEX(BP!$A$5:$A$9,MATCH(B1707,BP!$A$5:$A$9,1)))*(B1707-INDEX(BP!$A$5:$A$9,MATCH(B1707,BP!$A$5:$A$9,1)))+INDEX(BP!$C$5:$C$9,MATCH(B1707,BP!$A$5:$A$9,1)),0))</f>
        <v>10</v>
      </c>
      <c r="D1707" s="12" t="str">
        <f aca="false">IF(NOT(ISNUMBER(C1707)),"",INDEX(BP!$F$5:$F$9,MATCH(C1707,BP!$E$5:$E$9,1)))</f>
        <v>ดีมาก</v>
      </c>
      <c r="E1707" s="12" t="n">
        <f aca="false">YEAR(A1707)</f>
        <v>2025</v>
      </c>
      <c r="F1707" s="12" t="n">
        <f aca="false">MONTH(A1707)</f>
        <v>9</v>
      </c>
      <c r="G1707" s="12" t="n">
        <v>16.5</v>
      </c>
      <c r="H1707" s="12" t="n">
        <v>46.4</v>
      </c>
      <c r="I1707" s="12" t="n">
        <v>253</v>
      </c>
      <c r="J1707" s="12" t="n">
        <v>0.1</v>
      </c>
      <c r="K1707" s="12" t="n">
        <v>0</v>
      </c>
      <c r="L1707" s="12" t="s">
        <v>36</v>
      </c>
    </row>
    <row r="1708" customFormat="false" ht="15" hidden="false" customHeight="false" outlineLevel="0" collapsed="false">
      <c r="A1708" s="11" t="n">
        <v>45903</v>
      </c>
      <c r="B1708" s="12" t="n">
        <v>6.1</v>
      </c>
      <c r="C1708" s="12" t="n">
        <f aca="false">IF(NOT(ISNUMBER(B1708)),"",ROUND((INDEX(BP!$D$5:$D$9,MATCH(B1708,BP!$A$5:$A$9,1))-INDEX(BP!$C$5:$C$9,MATCH(B1708,BP!$A$5:$A$9,1)))/(INDEX(BP!$B$5:$B$9,MATCH(B1708,BP!$A$5:$A$9,1))-INDEX(BP!$A$5:$A$9,MATCH(B1708,BP!$A$5:$A$9,1)))*(B1708-INDEX(BP!$A$5:$A$9,MATCH(B1708,BP!$A$5:$A$9,1)))+INDEX(BP!$C$5:$C$9,MATCH(B1708,BP!$A$5:$A$9,1)),0))</f>
        <v>10</v>
      </c>
      <c r="D1708" s="12" t="str">
        <f aca="false">IF(NOT(ISNUMBER(C1708)),"",INDEX(BP!$F$5:$F$9,MATCH(C1708,BP!$E$5:$E$9,1)))</f>
        <v>ดีมาก</v>
      </c>
      <c r="E1708" s="12" t="n">
        <f aca="false">YEAR(A1708)</f>
        <v>2025</v>
      </c>
      <c r="F1708" s="12" t="n">
        <f aca="false">MONTH(A1708)</f>
        <v>9</v>
      </c>
      <c r="G1708" s="12" t="n">
        <v>12.2</v>
      </c>
      <c r="H1708" s="12" t="n">
        <v>36.7</v>
      </c>
      <c r="I1708" s="12" t="n">
        <v>248</v>
      </c>
      <c r="J1708" s="12" t="n">
        <v>8.9</v>
      </c>
      <c r="K1708" s="12" t="n">
        <v>17</v>
      </c>
      <c r="L1708" s="12" t="s">
        <v>36</v>
      </c>
    </row>
    <row r="1709" customFormat="false" ht="15" hidden="false" customHeight="false" outlineLevel="0" collapsed="false">
      <c r="A1709" s="11" t="n">
        <v>45904</v>
      </c>
      <c r="B1709" s="12" t="n">
        <v>5.7</v>
      </c>
      <c r="C1709" s="12" t="n">
        <f aca="false">IF(NOT(ISNUMBER(B1709)),"",ROUND((INDEX(BP!$D$5:$D$9,MATCH(B1709,BP!$A$5:$A$9,1))-INDEX(BP!$C$5:$C$9,MATCH(B1709,BP!$A$5:$A$9,1)))/(INDEX(BP!$B$5:$B$9,MATCH(B1709,BP!$A$5:$A$9,1))-INDEX(BP!$A$5:$A$9,MATCH(B1709,BP!$A$5:$A$9,1)))*(B1709-INDEX(BP!$A$5:$A$9,MATCH(B1709,BP!$A$5:$A$9,1)))+INDEX(BP!$C$5:$C$9,MATCH(B1709,BP!$A$5:$A$9,1)),0))</f>
        <v>10</v>
      </c>
      <c r="D1709" s="12" t="str">
        <f aca="false">IF(NOT(ISNUMBER(C1709)),"",INDEX(BP!$F$5:$F$9,MATCH(C1709,BP!$E$5:$E$9,1)))</f>
        <v>ดีมาก</v>
      </c>
      <c r="E1709" s="12" t="n">
        <f aca="false">YEAR(A1709)</f>
        <v>2025</v>
      </c>
      <c r="F1709" s="12" t="n">
        <f aca="false">MONTH(A1709)</f>
        <v>9</v>
      </c>
      <c r="G1709" s="12" t="n">
        <v>18.9</v>
      </c>
      <c r="H1709" s="12" t="n">
        <v>45.4</v>
      </c>
      <c r="I1709" s="12" t="n">
        <v>239</v>
      </c>
      <c r="J1709" s="12" t="n">
        <v>2.8</v>
      </c>
      <c r="K1709" s="12" t="n">
        <v>4.4</v>
      </c>
      <c r="L1709" s="12" t="s">
        <v>36</v>
      </c>
    </row>
    <row r="1710" customFormat="false" ht="15" hidden="false" customHeight="false" outlineLevel="0" collapsed="false">
      <c r="A1710" s="11" t="n">
        <v>45905</v>
      </c>
      <c r="B1710" s="12" t="n">
        <v>6.4</v>
      </c>
      <c r="C1710" s="12" t="n">
        <f aca="false">IF(NOT(ISNUMBER(B1710)),"",ROUND((INDEX(BP!$D$5:$D$9,MATCH(B1710,BP!$A$5:$A$9,1))-INDEX(BP!$C$5:$C$9,MATCH(B1710,BP!$A$5:$A$9,1)))/(INDEX(BP!$B$5:$B$9,MATCH(B1710,BP!$A$5:$A$9,1))-INDEX(BP!$A$5:$A$9,MATCH(B1710,BP!$A$5:$A$9,1)))*(B1710-INDEX(BP!$A$5:$A$9,MATCH(B1710,BP!$A$5:$A$9,1)))+INDEX(BP!$C$5:$C$9,MATCH(B1710,BP!$A$5:$A$9,1)),0))</f>
        <v>11</v>
      </c>
      <c r="D1710" s="12" t="str">
        <f aca="false">IF(NOT(ISNUMBER(C1710)),"",INDEX(BP!$F$5:$F$9,MATCH(C1710,BP!$E$5:$E$9,1)))</f>
        <v>ดีมาก</v>
      </c>
      <c r="E1710" s="12" t="n">
        <f aca="false">YEAR(A1710)</f>
        <v>2025</v>
      </c>
      <c r="F1710" s="12" t="n">
        <f aca="false">MONTH(A1710)</f>
        <v>9</v>
      </c>
      <c r="G1710" s="12" t="n">
        <v>21.6</v>
      </c>
      <c r="H1710" s="12" t="n">
        <v>46.4</v>
      </c>
      <c r="I1710" s="12" t="n">
        <v>246</v>
      </c>
      <c r="J1710" s="12" t="n">
        <v>0.6</v>
      </c>
      <c r="K1710" s="12" t="n">
        <v>0</v>
      </c>
      <c r="L1710" s="12" t="s">
        <v>36</v>
      </c>
    </row>
    <row r="1711" customFormat="false" ht="15" hidden="false" customHeight="false" outlineLevel="0" collapsed="false">
      <c r="A1711" s="11" t="n">
        <v>45906</v>
      </c>
      <c r="B1711" s="12" t="n">
        <v>7.4</v>
      </c>
      <c r="C1711" s="12" t="n">
        <f aca="false">IF(NOT(ISNUMBER(B1711)),"",ROUND((INDEX(BP!$D$5:$D$9,MATCH(B1711,BP!$A$5:$A$9,1))-INDEX(BP!$C$5:$C$9,MATCH(B1711,BP!$A$5:$A$9,1)))/(INDEX(BP!$B$5:$B$9,MATCH(B1711,BP!$A$5:$A$9,1))-INDEX(BP!$A$5:$A$9,MATCH(B1711,BP!$A$5:$A$9,1)))*(B1711-INDEX(BP!$A$5:$A$9,MATCH(B1711,BP!$A$5:$A$9,1)))+INDEX(BP!$C$5:$C$9,MATCH(B1711,BP!$A$5:$A$9,1)),0))</f>
        <v>12</v>
      </c>
      <c r="D1711" s="12" t="str">
        <f aca="false">IF(NOT(ISNUMBER(C1711)),"",INDEX(BP!$F$5:$F$9,MATCH(C1711,BP!$E$5:$E$9,1)))</f>
        <v>ดีมาก</v>
      </c>
      <c r="E1711" s="12" t="n">
        <f aca="false">YEAR(A1711)</f>
        <v>2025</v>
      </c>
      <c r="F1711" s="12" t="n">
        <f aca="false">MONTH(A1711)</f>
        <v>9</v>
      </c>
      <c r="G1711" s="12" t="n">
        <v>16.6</v>
      </c>
      <c r="H1711" s="12" t="n">
        <v>36.4</v>
      </c>
      <c r="I1711" s="12" t="n">
        <v>240</v>
      </c>
      <c r="J1711" s="12" t="n">
        <v>2.3</v>
      </c>
      <c r="K1711" s="12" t="n">
        <v>0.2</v>
      </c>
      <c r="L1711" s="12" t="s">
        <v>35</v>
      </c>
    </row>
    <row r="1712" customFormat="false" ht="15" hidden="false" customHeight="false" outlineLevel="0" collapsed="false">
      <c r="A1712" s="11" t="n">
        <v>45907</v>
      </c>
      <c r="B1712" s="12" t="n">
        <v>7.3</v>
      </c>
      <c r="C1712" s="12" t="n">
        <f aca="false">IF(NOT(ISNUMBER(B1712)),"",ROUND((INDEX(BP!$D$5:$D$9,MATCH(B1712,BP!$A$5:$A$9,1))-INDEX(BP!$C$5:$C$9,MATCH(B1712,BP!$A$5:$A$9,1)))/(INDEX(BP!$B$5:$B$9,MATCH(B1712,BP!$A$5:$A$9,1))-INDEX(BP!$A$5:$A$9,MATCH(B1712,BP!$A$5:$A$9,1)))*(B1712-INDEX(BP!$A$5:$A$9,MATCH(B1712,BP!$A$5:$A$9,1)))+INDEX(BP!$C$5:$C$9,MATCH(B1712,BP!$A$5:$A$9,1)),0))</f>
        <v>12</v>
      </c>
      <c r="D1712" s="12" t="str">
        <f aca="false">IF(NOT(ISNUMBER(C1712)),"",INDEX(BP!$F$5:$F$9,MATCH(C1712,BP!$E$5:$E$9,1)))</f>
        <v>ดีมาก</v>
      </c>
      <c r="E1712" s="12" t="n">
        <f aca="false">YEAR(A1712)</f>
        <v>2025</v>
      </c>
      <c r="F1712" s="12" t="n">
        <f aca="false">MONTH(A1712)</f>
        <v>9</v>
      </c>
      <c r="G1712" s="12" t="n">
        <v>13.7</v>
      </c>
      <c r="H1712" s="12" t="n">
        <v>34.2</v>
      </c>
      <c r="I1712" s="12" t="n">
        <v>236</v>
      </c>
      <c r="J1712" s="12" t="n">
        <v>7.5</v>
      </c>
      <c r="K1712" s="12" t="n">
        <v>2</v>
      </c>
      <c r="L1712" s="12" t="s">
        <v>35</v>
      </c>
    </row>
    <row r="1713" customFormat="false" ht="15" hidden="false" customHeight="false" outlineLevel="0" collapsed="false">
      <c r="A1713" s="11" t="n">
        <v>45908</v>
      </c>
      <c r="B1713" s="12" t="n">
        <v>7.5</v>
      </c>
      <c r="C1713" s="12" t="n">
        <f aca="false">IF(NOT(ISNUMBER(B1713)),"",ROUND((INDEX(BP!$D$5:$D$9,MATCH(B1713,BP!$A$5:$A$9,1))-INDEX(BP!$C$5:$C$9,MATCH(B1713,BP!$A$5:$A$9,1)))/(INDEX(BP!$B$5:$B$9,MATCH(B1713,BP!$A$5:$A$9,1))-INDEX(BP!$A$5:$A$9,MATCH(B1713,BP!$A$5:$A$9,1)))*(B1713-INDEX(BP!$A$5:$A$9,MATCH(B1713,BP!$A$5:$A$9,1)))+INDEX(BP!$C$5:$C$9,MATCH(B1713,BP!$A$5:$A$9,1)),0))</f>
        <v>13</v>
      </c>
      <c r="D1713" s="12" t="str">
        <f aca="false">IF(NOT(ISNUMBER(C1713)),"",INDEX(BP!$F$5:$F$9,MATCH(C1713,BP!$E$5:$E$9,1)))</f>
        <v>ดีมาก</v>
      </c>
      <c r="E1713" s="12" t="n">
        <f aca="false">YEAR(A1713)</f>
        <v>2025</v>
      </c>
      <c r="F1713" s="12" t="n">
        <f aca="false">MONTH(A1713)</f>
        <v>9</v>
      </c>
      <c r="G1713" s="12" t="n">
        <v>10.2</v>
      </c>
      <c r="H1713" s="12" t="n">
        <v>31.3</v>
      </c>
      <c r="I1713" s="12" t="n">
        <v>180</v>
      </c>
      <c r="J1713" s="12" t="n">
        <v>12.4</v>
      </c>
      <c r="K1713" s="12" t="n">
        <v>14.6</v>
      </c>
      <c r="L1713" s="12" t="s">
        <v>36</v>
      </c>
    </row>
    <row r="1714" customFormat="false" ht="15" hidden="false" customHeight="false" outlineLevel="0" collapsed="false">
      <c r="A1714" s="11" t="n">
        <v>45909</v>
      </c>
      <c r="B1714" s="12" t="n">
        <v>7.1</v>
      </c>
      <c r="C1714" s="12" t="n">
        <f aca="false">IF(NOT(ISNUMBER(B1714)),"",ROUND((INDEX(BP!$D$5:$D$9,MATCH(B1714,BP!$A$5:$A$9,1))-INDEX(BP!$C$5:$C$9,MATCH(B1714,BP!$A$5:$A$9,1)))/(INDEX(BP!$B$5:$B$9,MATCH(B1714,BP!$A$5:$A$9,1))-INDEX(BP!$A$5:$A$9,MATCH(B1714,BP!$A$5:$A$9,1)))*(B1714-INDEX(BP!$A$5:$A$9,MATCH(B1714,BP!$A$5:$A$9,1)))+INDEX(BP!$C$5:$C$9,MATCH(B1714,BP!$A$5:$A$9,1)),0))</f>
        <v>12</v>
      </c>
      <c r="D1714" s="12" t="str">
        <f aca="false">IF(NOT(ISNUMBER(C1714)),"",INDEX(BP!$F$5:$F$9,MATCH(C1714,BP!$E$5:$E$9,1)))</f>
        <v>ดีมาก</v>
      </c>
      <c r="E1714" s="12" t="n">
        <f aca="false">YEAR(A1714)</f>
        <v>2025</v>
      </c>
      <c r="F1714" s="12" t="n">
        <f aca="false">MONTH(A1714)</f>
        <v>9</v>
      </c>
      <c r="G1714" s="12" t="n">
        <v>14.6</v>
      </c>
      <c r="H1714" s="12" t="n">
        <v>27.7</v>
      </c>
      <c r="I1714" s="12" t="n">
        <v>209</v>
      </c>
      <c r="J1714" s="12" t="n">
        <v>6.7</v>
      </c>
      <c r="K1714" s="12" t="n">
        <v>0.2</v>
      </c>
      <c r="L1714" s="12" t="s">
        <v>36</v>
      </c>
    </row>
    <row r="1715" customFormat="false" ht="15" hidden="false" customHeight="false" outlineLevel="0" collapsed="false">
      <c r="A1715" s="11" t="n">
        <v>45910</v>
      </c>
      <c r="B1715" s="12" t="n">
        <v>8.2</v>
      </c>
      <c r="C1715" s="12" t="n">
        <f aca="false">IF(NOT(ISNUMBER(B1715)),"",ROUND((INDEX(BP!$D$5:$D$9,MATCH(B1715,BP!$A$5:$A$9,1))-INDEX(BP!$C$5:$C$9,MATCH(B1715,BP!$A$5:$A$9,1)))/(INDEX(BP!$B$5:$B$9,MATCH(B1715,BP!$A$5:$A$9,1))-INDEX(BP!$A$5:$A$9,MATCH(B1715,BP!$A$5:$A$9,1)))*(B1715-INDEX(BP!$A$5:$A$9,MATCH(B1715,BP!$A$5:$A$9,1)))+INDEX(BP!$C$5:$C$9,MATCH(B1715,BP!$A$5:$A$9,1)),0))</f>
        <v>14</v>
      </c>
      <c r="D1715" s="12" t="str">
        <f aca="false">IF(NOT(ISNUMBER(C1715)),"",INDEX(BP!$F$5:$F$9,MATCH(C1715,BP!$E$5:$E$9,1)))</f>
        <v>ดีมาก</v>
      </c>
      <c r="E1715" s="12" t="n">
        <f aca="false">YEAR(A1715)</f>
        <v>2025</v>
      </c>
      <c r="F1715" s="12" t="n">
        <f aca="false">MONTH(A1715)</f>
        <v>9</v>
      </c>
      <c r="G1715" s="12" t="n">
        <v>9.4</v>
      </c>
      <c r="H1715" s="12" t="n">
        <v>28.1</v>
      </c>
      <c r="I1715" s="12" t="n">
        <v>331</v>
      </c>
      <c r="J1715" s="12" t="n">
        <v>2.9</v>
      </c>
      <c r="K1715" s="12" t="n">
        <v>0.2</v>
      </c>
      <c r="L1715" s="12" t="s">
        <v>36</v>
      </c>
    </row>
    <row r="1716" customFormat="false" ht="15" hidden="false" customHeight="false" outlineLevel="0" collapsed="false">
      <c r="A1716" s="11" t="n">
        <v>45911</v>
      </c>
      <c r="B1716" s="12" t="n">
        <v>9</v>
      </c>
      <c r="C1716" s="12" t="n">
        <f aca="false">IF(NOT(ISNUMBER(B1716)),"",ROUND((INDEX(BP!$D$5:$D$9,MATCH(B1716,BP!$A$5:$A$9,1))-INDEX(BP!$C$5:$C$9,MATCH(B1716,BP!$A$5:$A$9,1)))/(INDEX(BP!$B$5:$B$9,MATCH(B1716,BP!$A$5:$A$9,1))-INDEX(BP!$A$5:$A$9,MATCH(B1716,BP!$A$5:$A$9,1)))*(B1716-INDEX(BP!$A$5:$A$9,MATCH(B1716,BP!$A$5:$A$9,1)))+INDEX(BP!$C$5:$C$9,MATCH(B1716,BP!$A$5:$A$9,1)),0))</f>
        <v>15</v>
      </c>
      <c r="D1716" s="12" t="str">
        <f aca="false">IF(NOT(ISNUMBER(C1716)),"",INDEX(BP!$F$5:$F$9,MATCH(C1716,BP!$E$5:$E$9,1)))</f>
        <v>ดีมาก</v>
      </c>
      <c r="E1716" s="12" t="n">
        <f aca="false">YEAR(A1716)</f>
        <v>2025</v>
      </c>
      <c r="F1716" s="12" t="n">
        <f aca="false">MONTH(A1716)</f>
        <v>9</v>
      </c>
      <c r="G1716" s="12" t="n">
        <v>15.9</v>
      </c>
      <c r="H1716" s="12" t="n">
        <v>43.2</v>
      </c>
      <c r="I1716" s="12" t="n">
        <v>272</v>
      </c>
      <c r="J1716" s="12" t="n">
        <v>3.2</v>
      </c>
      <c r="K1716" s="12" t="n">
        <v>11.6</v>
      </c>
      <c r="L1716" s="12" t="s">
        <v>36</v>
      </c>
    </row>
    <row r="1717" customFormat="false" ht="15" hidden="false" customHeight="false" outlineLevel="0" collapsed="false">
      <c r="A1717" s="11" t="n">
        <v>45912</v>
      </c>
      <c r="B1717" s="12" t="n">
        <v>7.4</v>
      </c>
      <c r="C1717" s="12" t="n">
        <f aca="false">IF(NOT(ISNUMBER(B1717)),"",ROUND((INDEX(BP!$D$5:$D$9,MATCH(B1717,BP!$A$5:$A$9,1))-INDEX(BP!$C$5:$C$9,MATCH(B1717,BP!$A$5:$A$9,1)))/(INDEX(BP!$B$5:$B$9,MATCH(B1717,BP!$A$5:$A$9,1))-INDEX(BP!$A$5:$A$9,MATCH(B1717,BP!$A$5:$A$9,1)))*(B1717-INDEX(BP!$A$5:$A$9,MATCH(B1717,BP!$A$5:$A$9,1)))+INDEX(BP!$C$5:$C$9,MATCH(B1717,BP!$A$5:$A$9,1)),0))</f>
        <v>12</v>
      </c>
      <c r="D1717" s="12" t="str">
        <f aca="false">IF(NOT(ISNUMBER(C1717)),"",INDEX(BP!$F$5:$F$9,MATCH(C1717,BP!$E$5:$E$9,1)))</f>
        <v>ดีมาก</v>
      </c>
      <c r="E1717" s="12" t="n">
        <f aca="false">YEAR(A1717)</f>
        <v>2025</v>
      </c>
      <c r="F1717" s="12" t="n">
        <f aca="false">MONTH(A1717)</f>
        <v>9</v>
      </c>
      <c r="G1717" s="12" t="n">
        <v>17.2</v>
      </c>
      <c r="H1717" s="12" t="n">
        <v>34.9</v>
      </c>
      <c r="I1717" s="12" t="n">
        <v>217</v>
      </c>
      <c r="J1717" s="12" t="n">
        <v>21</v>
      </c>
      <c r="K1717" s="12" t="n">
        <v>1.2</v>
      </c>
      <c r="L1717" s="12" t="s">
        <v>36</v>
      </c>
    </row>
    <row r="1718" customFormat="false" ht="15" hidden="false" customHeight="false" outlineLevel="0" collapsed="false">
      <c r="A1718" s="11" t="n">
        <v>45913</v>
      </c>
      <c r="B1718" s="12" t="n">
        <v>6.7</v>
      </c>
      <c r="C1718" s="12" t="n">
        <f aca="false">IF(NOT(ISNUMBER(B1718)),"",ROUND((INDEX(BP!$D$5:$D$9,MATCH(B1718,BP!$A$5:$A$9,1))-INDEX(BP!$C$5:$C$9,MATCH(B1718,BP!$A$5:$A$9,1)))/(INDEX(BP!$B$5:$B$9,MATCH(B1718,BP!$A$5:$A$9,1))-INDEX(BP!$A$5:$A$9,MATCH(B1718,BP!$A$5:$A$9,1)))*(B1718-INDEX(BP!$A$5:$A$9,MATCH(B1718,BP!$A$5:$A$9,1)))+INDEX(BP!$C$5:$C$9,MATCH(B1718,BP!$A$5:$A$9,1)),0))</f>
        <v>11</v>
      </c>
      <c r="D1718" s="12" t="str">
        <f aca="false">IF(NOT(ISNUMBER(C1718)),"",INDEX(BP!$F$5:$F$9,MATCH(C1718,BP!$E$5:$E$9,1)))</f>
        <v>ดีมาก</v>
      </c>
      <c r="E1718" s="12" t="n">
        <f aca="false">YEAR(A1718)</f>
        <v>2025</v>
      </c>
      <c r="F1718" s="12" t="n">
        <f aca="false">MONTH(A1718)</f>
        <v>9</v>
      </c>
      <c r="G1718" s="12" t="n">
        <v>16.2</v>
      </c>
      <c r="H1718" s="12" t="n">
        <v>32.8</v>
      </c>
      <c r="I1718" s="12" t="n">
        <v>222</v>
      </c>
      <c r="J1718" s="12" t="n">
        <v>11.1</v>
      </c>
      <c r="K1718" s="12" t="n">
        <v>23</v>
      </c>
      <c r="L1718" s="12" t="s">
        <v>35</v>
      </c>
    </row>
    <row r="1719" customFormat="false" ht="15" hidden="false" customHeight="false" outlineLevel="0" collapsed="false">
      <c r="A1719" s="11" t="n">
        <v>45914</v>
      </c>
      <c r="B1719" s="12" t="n">
        <v>6.1</v>
      </c>
      <c r="C1719" s="12" t="n">
        <f aca="false">IF(NOT(ISNUMBER(B1719)),"",ROUND((INDEX(BP!$D$5:$D$9,MATCH(B1719,BP!$A$5:$A$9,1))-INDEX(BP!$C$5:$C$9,MATCH(B1719,BP!$A$5:$A$9,1)))/(INDEX(BP!$B$5:$B$9,MATCH(B1719,BP!$A$5:$A$9,1))-INDEX(BP!$A$5:$A$9,MATCH(B1719,BP!$A$5:$A$9,1)))*(B1719-INDEX(BP!$A$5:$A$9,MATCH(B1719,BP!$A$5:$A$9,1)))+INDEX(BP!$C$5:$C$9,MATCH(B1719,BP!$A$5:$A$9,1)),0))</f>
        <v>10</v>
      </c>
      <c r="D1719" s="12" t="str">
        <f aca="false">IF(NOT(ISNUMBER(C1719)),"",INDEX(BP!$F$5:$F$9,MATCH(C1719,BP!$E$5:$E$9,1)))</f>
        <v>ดีมาก</v>
      </c>
      <c r="E1719" s="12" t="n">
        <f aca="false">YEAR(A1719)</f>
        <v>2025</v>
      </c>
      <c r="F1719" s="12" t="n">
        <f aca="false">MONTH(A1719)</f>
        <v>9</v>
      </c>
      <c r="G1719" s="12" t="n">
        <v>9.9</v>
      </c>
      <c r="H1719" s="12" t="n">
        <v>25.9</v>
      </c>
      <c r="I1719" s="12" t="n">
        <v>246</v>
      </c>
      <c r="J1719" s="12" t="n">
        <v>17.2</v>
      </c>
      <c r="K1719" s="12" t="n">
        <v>8.4</v>
      </c>
      <c r="L1719" s="12" t="s">
        <v>35</v>
      </c>
    </row>
    <row r="1720" customFormat="false" ht="15" hidden="false" customHeight="false" outlineLevel="0" collapsed="false">
      <c r="A1720" s="11" t="n">
        <v>45915</v>
      </c>
      <c r="B1720" s="12" t="n">
        <v>5.7</v>
      </c>
      <c r="C1720" s="12" t="n">
        <f aca="false">IF(NOT(ISNUMBER(B1720)),"",ROUND((INDEX(BP!$D$5:$D$9,MATCH(B1720,BP!$A$5:$A$9,1))-INDEX(BP!$C$5:$C$9,MATCH(B1720,BP!$A$5:$A$9,1)))/(INDEX(BP!$B$5:$B$9,MATCH(B1720,BP!$A$5:$A$9,1))-INDEX(BP!$A$5:$A$9,MATCH(B1720,BP!$A$5:$A$9,1)))*(B1720-INDEX(BP!$A$5:$A$9,MATCH(B1720,BP!$A$5:$A$9,1)))+INDEX(BP!$C$5:$C$9,MATCH(B1720,BP!$A$5:$A$9,1)),0))</f>
        <v>10</v>
      </c>
      <c r="D1720" s="12" t="str">
        <f aca="false">IF(NOT(ISNUMBER(C1720)),"",INDEX(BP!$F$5:$F$9,MATCH(C1720,BP!$E$5:$E$9,1)))</f>
        <v>ดีมาก</v>
      </c>
      <c r="E1720" s="12" t="n">
        <f aca="false">YEAR(A1720)</f>
        <v>2025</v>
      </c>
      <c r="F1720" s="12" t="n">
        <f aca="false">MONTH(A1720)</f>
        <v>9</v>
      </c>
      <c r="G1720" s="12" t="n">
        <v>18</v>
      </c>
      <c r="H1720" s="12" t="n">
        <v>40.3</v>
      </c>
      <c r="I1720" s="12" t="n">
        <v>211</v>
      </c>
      <c r="J1720" s="12" t="n">
        <v>5.7</v>
      </c>
      <c r="K1720" s="12" t="n">
        <v>0.2</v>
      </c>
      <c r="L1720" s="12" t="s">
        <v>36</v>
      </c>
    </row>
    <row r="1721" customFormat="false" ht="15" hidden="false" customHeight="false" outlineLevel="0" collapsed="false">
      <c r="A1721" s="11" t="n">
        <v>45916</v>
      </c>
      <c r="B1721" s="12"/>
      <c r="C1721" s="12" t="str">
        <f aca="false">IF(NOT(ISNUMBER(B1721)),"",ROUND((INDEX(BP!$D$5:$D$9,MATCH(B1721,BP!$A$5:$A$9,1))-INDEX(BP!$C$5:$C$9,MATCH(B1721,BP!$A$5:$A$9,1)))/(INDEX(BP!$B$5:$B$9,MATCH(B1721,BP!$A$5:$A$9,1))-INDEX(BP!$A$5:$A$9,MATCH(B1721,BP!$A$5:$A$9,1)))*(B1721-INDEX(BP!$A$5:$A$9,MATCH(B1721,BP!$A$5:$A$9,1)))+INDEX(BP!$C$5:$C$9,MATCH(B1721,BP!$A$5:$A$9,1)),0))</f>
        <v/>
      </c>
      <c r="D1721" s="12" t="str">
        <f aca="false">IF(NOT(ISNUMBER(C1721)),"",INDEX(BP!$F$5:$F$9,MATCH(C1721,BP!$E$5:$E$9,1)))</f>
        <v/>
      </c>
      <c r="E1721" s="12" t="n">
        <f aca="false">YEAR(A1721)</f>
        <v>2025</v>
      </c>
      <c r="F1721" s="12" t="n">
        <f aca="false">MONTH(A1721)</f>
        <v>9</v>
      </c>
      <c r="G1721" s="12" t="n">
        <v>12.2</v>
      </c>
      <c r="H1721" s="12" t="n">
        <v>23.4</v>
      </c>
      <c r="I1721" s="12" t="n">
        <v>235</v>
      </c>
      <c r="J1721" s="12" t="n">
        <v>0.2</v>
      </c>
      <c r="K1721" s="12" t="n">
        <v>1.6</v>
      </c>
      <c r="L1721" s="12" t="s">
        <v>36</v>
      </c>
    </row>
    <row r="1722" customFormat="false" ht="15" hidden="false" customHeight="false" outlineLevel="0" collapsed="false">
      <c r="A1722" s="11" t="n">
        <v>45917</v>
      </c>
      <c r="B1722" s="12"/>
      <c r="C1722" s="12" t="str">
        <f aca="false">IF(NOT(ISNUMBER(B1722)),"",ROUND((INDEX(BP!$D$5:$D$9,MATCH(B1722,BP!$A$5:$A$9,1))-INDEX(BP!$C$5:$C$9,MATCH(B1722,BP!$A$5:$A$9,1)))/(INDEX(BP!$B$5:$B$9,MATCH(B1722,BP!$A$5:$A$9,1))-INDEX(BP!$A$5:$A$9,MATCH(B1722,BP!$A$5:$A$9,1)))*(B1722-INDEX(BP!$A$5:$A$9,MATCH(B1722,BP!$A$5:$A$9,1)))+INDEX(BP!$C$5:$C$9,MATCH(B1722,BP!$A$5:$A$9,1)),0))</f>
        <v/>
      </c>
      <c r="D1722" s="12" t="str">
        <f aca="false">IF(NOT(ISNUMBER(C1722)),"",INDEX(BP!$F$5:$F$9,MATCH(C1722,BP!$E$5:$E$9,1)))</f>
        <v/>
      </c>
      <c r="E1722" s="12" t="n">
        <f aca="false">YEAR(A1722)</f>
        <v>2025</v>
      </c>
      <c r="F1722" s="12" t="n">
        <f aca="false">MONTH(A1722)</f>
        <v>9</v>
      </c>
      <c r="G1722" s="12" t="n">
        <v>14.3</v>
      </c>
      <c r="H1722" s="12" t="n">
        <v>34.9</v>
      </c>
      <c r="I1722" s="12" t="n">
        <v>236</v>
      </c>
      <c r="J1722" s="12" t="n">
        <v>3.7</v>
      </c>
      <c r="K1722" s="12" t="n">
        <v>1.2</v>
      </c>
      <c r="L1722" s="12" t="s">
        <v>36</v>
      </c>
    </row>
    <row r="1723" customFormat="false" ht="15" hidden="false" customHeight="false" outlineLevel="0" collapsed="false">
      <c r="A1723" s="11" t="n">
        <v>45918</v>
      </c>
      <c r="B1723" s="12"/>
      <c r="C1723" s="12" t="str">
        <f aca="false">IF(NOT(ISNUMBER(B1723)),"",ROUND((INDEX(BP!$D$5:$D$9,MATCH(B1723,BP!$A$5:$A$9,1))-INDEX(BP!$C$5:$C$9,MATCH(B1723,BP!$A$5:$A$9,1)))/(INDEX(BP!$B$5:$B$9,MATCH(B1723,BP!$A$5:$A$9,1))-INDEX(BP!$A$5:$A$9,MATCH(B1723,BP!$A$5:$A$9,1)))*(B1723-INDEX(BP!$A$5:$A$9,MATCH(B1723,BP!$A$5:$A$9,1)))+INDEX(BP!$C$5:$C$9,MATCH(B1723,BP!$A$5:$A$9,1)),0))</f>
        <v/>
      </c>
      <c r="D1723" s="12" t="str">
        <f aca="false">IF(NOT(ISNUMBER(C1723)),"",INDEX(BP!$F$5:$F$9,MATCH(C1723,BP!$E$5:$E$9,1)))</f>
        <v/>
      </c>
      <c r="E1723" s="12" t="n">
        <f aca="false">YEAR(A1723)</f>
        <v>2025</v>
      </c>
      <c r="F1723" s="12" t="n">
        <f aca="false">MONTH(A1723)</f>
        <v>9</v>
      </c>
      <c r="G1723" s="12" t="n">
        <v>13.2</v>
      </c>
      <c r="H1723" s="12" t="n">
        <v>32</v>
      </c>
      <c r="I1723" s="12" t="n">
        <v>246</v>
      </c>
      <c r="J1723" s="12" t="n">
        <v>3.1</v>
      </c>
      <c r="K1723" s="12" t="n">
        <v>0</v>
      </c>
      <c r="L1723" s="12" t="s">
        <v>36</v>
      </c>
    </row>
    <row r="1724" customFormat="false" ht="15" hidden="false" customHeight="false" outlineLevel="0" collapsed="false">
      <c r="A1724" s="11" t="n">
        <v>45919</v>
      </c>
      <c r="B1724" s="12" t="n">
        <v>6.1</v>
      </c>
      <c r="C1724" s="12" t="n">
        <f aca="false">IF(NOT(ISNUMBER(B1724)),"",ROUND((INDEX(BP!$D$5:$D$9,MATCH(B1724,BP!$A$5:$A$9,1))-INDEX(BP!$C$5:$C$9,MATCH(B1724,BP!$A$5:$A$9,1)))/(INDEX(BP!$B$5:$B$9,MATCH(B1724,BP!$A$5:$A$9,1))-INDEX(BP!$A$5:$A$9,MATCH(B1724,BP!$A$5:$A$9,1)))*(B1724-INDEX(BP!$A$5:$A$9,MATCH(B1724,BP!$A$5:$A$9,1)))+INDEX(BP!$C$5:$C$9,MATCH(B1724,BP!$A$5:$A$9,1)),0))</f>
        <v>10</v>
      </c>
      <c r="D1724" s="12" t="str">
        <f aca="false">IF(NOT(ISNUMBER(C1724)),"",INDEX(BP!$F$5:$F$9,MATCH(C1724,BP!$E$5:$E$9,1)))</f>
        <v>ดีมาก</v>
      </c>
      <c r="E1724" s="12" t="n">
        <f aca="false">YEAR(A1724)</f>
        <v>2025</v>
      </c>
      <c r="F1724" s="12" t="n">
        <f aca="false">MONTH(A1724)</f>
        <v>9</v>
      </c>
      <c r="G1724" s="12" t="n">
        <v>17.1</v>
      </c>
      <c r="H1724" s="12" t="n">
        <v>36</v>
      </c>
      <c r="I1724" s="12" t="n">
        <v>251</v>
      </c>
      <c r="J1724" s="12" t="n">
        <v>0</v>
      </c>
      <c r="K1724" s="12" t="n">
        <v>0</v>
      </c>
      <c r="L1724" s="12" t="s">
        <v>36</v>
      </c>
    </row>
    <row r="1725" customFormat="false" ht="15" hidden="false" customHeight="false" outlineLevel="0" collapsed="false">
      <c r="A1725" s="11" t="n">
        <v>45920</v>
      </c>
      <c r="B1725" s="12" t="n">
        <v>6.6</v>
      </c>
      <c r="C1725" s="12" t="n">
        <f aca="false">IF(NOT(ISNUMBER(B1725)),"",ROUND((INDEX(BP!$D$5:$D$9,MATCH(B1725,BP!$A$5:$A$9,1))-INDEX(BP!$C$5:$C$9,MATCH(B1725,BP!$A$5:$A$9,1)))/(INDEX(BP!$B$5:$B$9,MATCH(B1725,BP!$A$5:$A$9,1))-INDEX(BP!$A$5:$A$9,MATCH(B1725,BP!$A$5:$A$9,1)))*(B1725-INDEX(BP!$A$5:$A$9,MATCH(B1725,BP!$A$5:$A$9,1)))+INDEX(BP!$C$5:$C$9,MATCH(B1725,BP!$A$5:$A$9,1)),0))</f>
        <v>11</v>
      </c>
      <c r="D1725" s="12" t="str">
        <f aca="false">IF(NOT(ISNUMBER(C1725)),"",INDEX(BP!$F$5:$F$9,MATCH(C1725,BP!$E$5:$E$9,1)))</f>
        <v>ดีมาก</v>
      </c>
      <c r="E1725" s="12" t="n">
        <f aca="false">YEAR(A1725)</f>
        <v>2025</v>
      </c>
      <c r="F1725" s="12" t="n">
        <f aca="false">MONTH(A1725)</f>
        <v>9</v>
      </c>
      <c r="G1725" s="12" t="n">
        <v>19.1</v>
      </c>
      <c r="H1725" s="12" t="n">
        <v>37.4</v>
      </c>
      <c r="I1725" s="12" t="n">
        <v>243</v>
      </c>
      <c r="J1725" s="12" t="n">
        <v>0</v>
      </c>
      <c r="K1725" s="12" t="n">
        <v>0</v>
      </c>
      <c r="L1725" s="12" t="s">
        <v>35</v>
      </c>
    </row>
    <row r="1726" customFormat="false" ht="15" hidden="false" customHeight="false" outlineLevel="0" collapsed="false">
      <c r="A1726" s="11" t="n">
        <v>45921</v>
      </c>
      <c r="B1726" s="12" t="n">
        <v>7.4</v>
      </c>
      <c r="C1726" s="12" t="n">
        <f aca="false">IF(NOT(ISNUMBER(B1726)),"",ROUND((INDEX(BP!$D$5:$D$9,MATCH(B1726,BP!$A$5:$A$9,1))-INDEX(BP!$C$5:$C$9,MATCH(B1726,BP!$A$5:$A$9,1)))/(INDEX(BP!$B$5:$B$9,MATCH(B1726,BP!$A$5:$A$9,1))-INDEX(BP!$A$5:$A$9,MATCH(B1726,BP!$A$5:$A$9,1)))*(B1726-INDEX(BP!$A$5:$A$9,MATCH(B1726,BP!$A$5:$A$9,1)))+INDEX(BP!$C$5:$C$9,MATCH(B1726,BP!$A$5:$A$9,1)),0))</f>
        <v>12</v>
      </c>
      <c r="D1726" s="12" t="str">
        <f aca="false">IF(NOT(ISNUMBER(C1726)),"",INDEX(BP!$F$5:$F$9,MATCH(C1726,BP!$E$5:$E$9,1)))</f>
        <v>ดีมาก</v>
      </c>
      <c r="E1726" s="12" t="n">
        <f aca="false">YEAR(A1726)</f>
        <v>2025</v>
      </c>
      <c r="F1726" s="12" t="n">
        <f aca="false">MONTH(A1726)</f>
        <v>9</v>
      </c>
      <c r="G1726" s="12" t="n">
        <v>17.8</v>
      </c>
      <c r="H1726" s="12" t="n">
        <v>31.7</v>
      </c>
      <c r="I1726" s="12" t="n">
        <v>241</v>
      </c>
      <c r="J1726" s="12" t="n">
        <v>0</v>
      </c>
      <c r="K1726" s="12" t="n">
        <v>0</v>
      </c>
      <c r="L1726" s="12" t="s">
        <v>35</v>
      </c>
    </row>
    <row r="1727" customFormat="false" ht="15" hidden="false" customHeight="false" outlineLevel="0" collapsed="false">
      <c r="A1727" s="11" t="n">
        <v>45922</v>
      </c>
      <c r="B1727" s="12" t="n">
        <v>9.1</v>
      </c>
      <c r="C1727" s="12" t="n">
        <f aca="false">IF(NOT(ISNUMBER(B1727)),"",ROUND((INDEX(BP!$D$5:$D$9,MATCH(B1727,BP!$A$5:$A$9,1))-INDEX(BP!$C$5:$C$9,MATCH(B1727,BP!$A$5:$A$9,1)))/(INDEX(BP!$B$5:$B$9,MATCH(B1727,BP!$A$5:$A$9,1))-INDEX(BP!$A$5:$A$9,MATCH(B1727,BP!$A$5:$A$9,1)))*(B1727-INDEX(BP!$A$5:$A$9,MATCH(B1727,BP!$A$5:$A$9,1)))+INDEX(BP!$C$5:$C$9,MATCH(B1727,BP!$A$5:$A$9,1)),0))</f>
        <v>15</v>
      </c>
      <c r="D1727" s="12" t="str">
        <f aca="false">IF(NOT(ISNUMBER(C1727)),"",INDEX(BP!$F$5:$F$9,MATCH(C1727,BP!$E$5:$E$9,1)))</f>
        <v>ดีมาก</v>
      </c>
      <c r="E1727" s="12" t="n">
        <f aca="false">YEAR(A1727)</f>
        <v>2025</v>
      </c>
      <c r="F1727" s="12" t="n">
        <f aca="false">MONTH(A1727)</f>
        <v>9</v>
      </c>
      <c r="G1727" s="12" t="n">
        <v>11.7</v>
      </c>
      <c r="H1727" s="12" t="n">
        <v>31.7</v>
      </c>
      <c r="I1727" s="12" t="n">
        <v>271</v>
      </c>
      <c r="J1727" s="12" t="n">
        <v>1.4</v>
      </c>
      <c r="K1727" s="12" t="n">
        <v>0</v>
      </c>
      <c r="L1727" s="12" t="s">
        <v>36</v>
      </c>
    </row>
    <row r="1728" customFormat="false" ht="15" hidden="false" customHeight="false" outlineLevel="0" collapsed="false">
      <c r="A1728" s="11" t="n">
        <v>45923</v>
      </c>
      <c r="B1728" s="12" t="n">
        <v>8.4</v>
      </c>
      <c r="C1728" s="12" t="n">
        <f aca="false">IF(NOT(ISNUMBER(B1728)),"",ROUND((INDEX(BP!$D$5:$D$9,MATCH(B1728,BP!$A$5:$A$9,1))-INDEX(BP!$C$5:$C$9,MATCH(B1728,BP!$A$5:$A$9,1)))/(INDEX(BP!$B$5:$B$9,MATCH(B1728,BP!$A$5:$A$9,1))-INDEX(BP!$A$5:$A$9,MATCH(B1728,BP!$A$5:$A$9,1)))*(B1728-INDEX(BP!$A$5:$A$9,MATCH(B1728,BP!$A$5:$A$9,1)))+INDEX(BP!$C$5:$C$9,MATCH(B1728,BP!$A$5:$A$9,1)),0))</f>
        <v>14</v>
      </c>
      <c r="D1728" s="12" t="str">
        <f aca="false">IF(NOT(ISNUMBER(C1728)),"",INDEX(BP!$F$5:$F$9,MATCH(C1728,BP!$E$5:$E$9,1)))</f>
        <v>ดีมาก</v>
      </c>
      <c r="E1728" s="12" t="n">
        <f aca="false">YEAR(A1728)</f>
        <v>2025</v>
      </c>
      <c r="F1728" s="12" t="n">
        <f aca="false">MONTH(A1728)</f>
        <v>9</v>
      </c>
      <c r="G1728" s="12" t="n">
        <v>22.4</v>
      </c>
      <c r="H1728" s="12" t="n">
        <v>40</v>
      </c>
      <c r="I1728" s="12" t="n">
        <v>250</v>
      </c>
      <c r="J1728" s="12" t="n">
        <v>0.1</v>
      </c>
      <c r="K1728" s="12" t="n">
        <v>0</v>
      </c>
      <c r="L1728" s="12" t="s">
        <v>36</v>
      </c>
    </row>
    <row r="1729" customFormat="false" ht="15" hidden="false" customHeight="false" outlineLevel="0" collapsed="false">
      <c r="A1729" s="11" t="n">
        <v>45924</v>
      </c>
      <c r="B1729" s="12" t="n">
        <v>6.9</v>
      </c>
      <c r="C1729" s="12" t="n">
        <f aca="false">IF(NOT(ISNUMBER(B1729)),"",ROUND((INDEX(BP!$D$5:$D$9,MATCH(B1729,BP!$A$5:$A$9,1))-INDEX(BP!$C$5:$C$9,MATCH(B1729,BP!$A$5:$A$9,1)))/(INDEX(BP!$B$5:$B$9,MATCH(B1729,BP!$A$5:$A$9,1))-INDEX(BP!$A$5:$A$9,MATCH(B1729,BP!$A$5:$A$9,1)))*(B1729-INDEX(BP!$A$5:$A$9,MATCH(B1729,BP!$A$5:$A$9,1)))+INDEX(BP!$C$5:$C$9,MATCH(B1729,BP!$A$5:$A$9,1)),0))</f>
        <v>12</v>
      </c>
      <c r="D1729" s="12" t="str">
        <f aca="false">IF(NOT(ISNUMBER(C1729)),"",INDEX(BP!$F$5:$F$9,MATCH(C1729,BP!$E$5:$E$9,1)))</f>
        <v>ดีมาก</v>
      </c>
      <c r="E1729" s="12" t="n">
        <f aca="false">YEAR(A1729)</f>
        <v>2025</v>
      </c>
      <c r="F1729" s="12" t="n">
        <f aca="false">MONTH(A1729)</f>
        <v>9</v>
      </c>
      <c r="G1729" s="12" t="n">
        <v>26.9</v>
      </c>
      <c r="H1729" s="12" t="n">
        <v>56.5</v>
      </c>
      <c r="I1729" s="12" t="n">
        <v>243</v>
      </c>
      <c r="J1729" s="12" t="n">
        <v>0</v>
      </c>
      <c r="K1729" s="12" t="n">
        <v>0</v>
      </c>
      <c r="L1729" s="12" t="s">
        <v>36</v>
      </c>
    </row>
    <row r="1730" customFormat="false" ht="15" hidden="false" customHeight="false" outlineLevel="0" collapsed="false">
      <c r="A1730" s="11" t="n">
        <v>45925</v>
      </c>
      <c r="B1730" s="12" t="n">
        <v>8.7</v>
      </c>
      <c r="C1730" s="12" t="n">
        <f aca="false">IF(NOT(ISNUMBER(B1730)),"",ROUND((INDEX(BP!$D$5:$D$9,MATCH(B1730,BP!$A$5:$A$9,1))-INDEX(BP!$C$5:$C$9,MATCH(B1730,BP!$A$5:$A$9,1)))/(INDEX(BP!$B$5:$B$9,MATCH(B1730,BP!$A$5:$A$9,1))-INDEX(BP!$A$5:$A$9,MATCH(B1730,BP!$A$5:$A$9,1)))*(B1730-INDEX(BP!$A$5:$A$9,MATCH(B1730,BP!$A$5:$A$9,1)))+INDEX(BP!$C$5:$C$9,MATCH(B1730,BP!$A$5:$A$9,1)),0))</f>
        <v>15</v>
      </c>
      <c r="D1730" s="12" t="str">
        <f aca="false">IF(NOT(ISNUMBER(C1730)),"",INDEX(BP!$F$5:$F$9,MATCH(C1730,BP!$E$5:$E$9,1)))</f>
        <v>ดีมาก</v>
      </c>
      <c r="E1730" s="12" t="n">
        <f aca="false">YEAR(A1730)</f>
        <v>2025</v>
      </c>
      <c r="F1730" s="12" t="n">
        <f aca="false">MONTH(A1730)</f>
        <v>9</v>
      </c>
      <c r="G1730" s="12" t="n">
        <v>24.8</v>
      </c>
      <c r="H1730" s="12" t="n">
        <v>56.5</v>
      </c>
      <c r="I1730" s="12" t="n">
        <v>249</v>
      </c>
      <c r="J1730" s="12" t="n">
        <v>0</v>
      </c>
      <c r="K1730" s="12" t="n">
        <v>0</v>
      </c>
      <c r="L1730" s="12" t="s">
        <v>36</v>
      </c>
    </row>
    <row r="1731" customFormat="false" ht="15" hidden="false" customHeight="false" outlineLevel="0" collapsed="false">
      <c r="A1731" s="11" t="n">
        <v>45926</v>
      </c>
      <c r="B1731" s="12" t="n">
        <v>7.5</v>
      </c>
      <c r="C1731" s="12" t="n">
        <f aca="false">IF(NOT(ISNUMBER(B1731)),"",ROUND((INDEX(BP!$D$5:$D$9,MATCH(B1731,BP!$A$5:$A$9,1))-INDEX(BP!$C$5:$C$9,MATCH(B1731,BP!$A$5:$A$9,1)))/(INDEX(BP!$B$5:$B$9,MATCH(B1731,BP!$A$5:$A$9,1))-INDEX(BP!$A$5:$A$9,MATCH(B1731,BP!$A$5:$A$9,1)))*(B1731-INDEX(BP!$A$5:$A$9,MATCH(B1731,BP!$A$5:$A$9,1)))+INDEX(BP!$C$5:$C$9,MATCH(B1731,BP!$A$5:$A$9,1)),0))</f>
        <v>13</v>
      </c>
      <c r="D1731" s="12" t="str">
        <f aca="false">IF(NOT(ISNUMBER(C1731)),"",INDEX(BP!$F$5:$F$9,MATCH(C1731,BP!$E$5:$E$9,1)))</f>
        <v>ดีมาก</v>
      </c>
      <c r="E1731" s="12" t="n">
        <f aca="false">YEAR(A1731)</f>
        <v>2025</v>
      </c>
      <c r="F1731" s="12" t="n">
        <f aca="false">MONTH(A1731)</f>
        <v>9</v>
      </c>
      <c r="G1731" s="12" t="n">
        <v>12.7</v>
      </c>
      <c r="H1731" s="12" t="n">
        <v>34.9</v>
      </c>
      <c r="I1731" s="12" t="n">
        <v>219</v>
      </c>
      <c r="J1731" s="12" t="n">
        <v>8.9</v>
      </c>
      <c r="K1731" s="12" t="n">
        <v>3.4</v>
      </c>
      <c r="L1731" s="12" t="s">
        <v>36</v>
      </c>
    </row>
    <row r="1732" customFormat="false" ht="15" hidden="false" customHeight="false" outlineLevel="0" collapsed="false">
      <c r="A1732" s="11" t="n">
        <v>45927</v>
      </c>
      <c r="B1732" s="12" t="n">
        <v>7.5</v>
      </c>
      <c r="C1732" s="12" t="n">
        <f aca="false">IF(NOT(ISNUMBER(B1732)),"",ROUND((INDEX(BP!$D$5:$D$9,MATCH(B1732,BP!$A$5:$A$9,1))-INDEX(BP!$C$5:$C$9,MATCH(B1732,BP!$A$5:$A$9,1)))/(INDEX(BP!$B$5:$B$9,MATCH(B1732,BP!$A$5:$A$9,1))-INDEX(BP!$A$5:$A$9,MATCH(B1732,BP!$A$5:$A$9,1)))*(B1732-INDEX(BP!$A$5:$A$9,MATCH(B1732,BP!$A$5:$A$9,1)))+INDEX(BP!$C$5:$C$9,MATCH(B1732,BP!$A$5:$A$9,1)),0))</f>
        <v>13</v>
      </c>
      <c r="D1732" s="12" t="str">
        <f aca="false">IF(NOT(ISNUMBER(C1732)),"",INDEX(BP!$F$5:$F$9,MATCH(C1732,BP!$E$5:$E$9,1)))</f>
        <v>ดีมาก</v>
      </c>
      <c r="E1732" s="12" t="n">
        <f aca="false">YEAR(A1732)</f>
        <v>2025</v>
      </c>
      <c r="F1732" s="12" t="n">
        <f aca="false">MONTH(A1732)</f>
        <v>9</v>
      </c>
      <c r="G1732" s="12" t="n">
        <v>11.2</v>
      </c>
      <c r="H1732" s="12" t="n">
        <v>27.4</v>
      </c>
      <c r="I1732" s="12" t="n">
        <v>254</v>
      </c>
      <c r="J1732" s="12" t="n">
        <v>6.7</v>
      </c>
      <c r="K1732" s="12" t="n">
        <v>0</v>
      </c>
      <c r="L1732" s="12" t="s">
        <v>35</v>
      </c>
    </row>
    <row r="1733" customFormat="false" ht="15" hidden="false" customHeight="false" outlineLevel="0" collapsed="false">
      <c r="A1733" s="11" t="n">
        <v>45928</v>
      </c>
      <c r="B1733" s="12" t="n">
        <v>5.6</v>
      </c>
      <c r="C1733" s="12" t="n">
        <f aca="false">IF(NOT(ISNUMBER(B1733)),"",ROUND((INDEX(BP!$D$5:$D$9,MATCH(B1733,BP!$A$5:$A$9,1))-INDEX(BP!$C$5:$C$9,MATCH(B1733,BP!$A$5:$A$9,1)))/(INDEX(BP!$B$5:$B$9,MATCH(B1733,BP!$A$5:$A$9,1))-INDEX(BP!$A$5:$A$9,MATCH(B1733,BP!$A$5:$A$9,1)))*(B1733-INDEX(BP!$A$5:$A$9,MATCH(B1733,BP!$A$5:$A$9,1)))+INDEX(BP!$C$5:$C$9,MATCH(B1733,BP!$A$5:$A$9,1)),0))</f>
        <v>9</v>
      </c>
      <c r="D1733" s="12" t="str">
        <f aca="false">IF(NOT(ISNUMBER(C1733)),"",INDEX(BP!$F$5:$F$9,MATCH(C1733,BP!$E$5:$E$9,1)))</f>
        <v>ดีมาก</v>
      </c>
      <c r="E1733" s="12" t="n">
        <f aca="false">YEAR(A1733)</f>
        <v>2025</v>
      </c>
      <c r="F1733" s="12" t="n">
        <f aca="false">MONTH(A1733)</f>
        <v>9</v>
      </c>
      <c r="G1733" s="12" t="n">
        <v>16.5</v>
      </c>
      <c r="H1733" s="12" t="n">
        <v>55.1</v>
      </c>
      <c r="I1733" s="12" t="n">
        <v>237</v>
      </c>
      <c r="J1733" s="12" t="n">
        <v>11.6</v>
      </c>
      <c r="K1733" s="12" t="n">
        <v>16.6</v>
      </c>
      <c r="L1733" s="12" t="s">
        <v>35</v>
      </c>
    </row>
    <row r="1734" customFormat="false" ht="15" hidden="false" customHeight="false" outlineLevel="0" collapsed="false">
      <c r="A1734" s="11" t="n">
        <v>45929</v>
      </c>
      <c r="B1734" s="12" t="n">
        <v>5.5</v>
      </c>
      <c r="C1734" s="12" t="n">
        <f aca="false">IF(NOT(ISNUMBER(B1734)),"",ROUND((INDEX(BP!$D$5:$D$9,MATCH(B1734,BP!$A$5:$A$9,1))-INDEX(BP!$C$5:$C$9,MATCH(B1734,BP!$A$5:$A$9,1)))/(INDEX(BP!$B$5:$B$9,MATCH(B1734,BP!$A$5:$A$9,1))-INDEX(BP!$A$5:$A$9,MATCH(B1734,BP!$A$5:$A$9,1)))*(B1734-INDEX(BP!$A$5:$A$9,MATCH(B1734,BP!$A$5:$A$9,1)))+INDEX(BP!$C$5:$C$9,MATCH(B1734,BP!$A$5:$A$9,1)),0))</f>
        <v>9</v>
      </c>
      <c r="D1734" s="12" t="str">
        <f aca="false">IF(NOT(ISNUMBER(C1734)),"",INDEX(BP!$F$5:$F$9,MATCH(C1734,BP!$E$5:$E$9,1)))</f>
        <v>ดีมาก</v>
      </c>
      <c r="E1734" s="12" t="n">
        <f aca="false">YEAR(A1734)</f>
        <v>2025</v>
      </c>
      <c r="F1734" s="12" t="n">
        <f aca="false">MONTH(A1734)</f>
        <v>9</v>
      </c>
      <c r="G1734" s="12" t="n">
        <v>17.6</v>
      </c>
      <c r="H1734" s="12" t="n">
        <v>33.1</v>
      </c>
      <c r="I1734" s="12" t="n">
        <v>217</v>
      </c>
      <c r="J1734" s="12" t="n">
        <v>13.6</v>
      </c>
      <c r="K1734" s="12" t="n">
        <v>18.2</v>
      </c>
      <c r="L1734" s="12" t="s">
        <v>36</v>
      </c>
    </row>
    <row r="1735" customFormat="false" ht="15" hidden="false" customHeight="false" outlineLevel="0" collapsed="false">
      <c r="A1735" s="11" t="n">
        <v>45930</v>
      </c>
      <c r="B1735" s="12" t="n">
        <v>5.7</v>
      </c>
      <c r="C1735" s="12" t="n">
        <f aca="false">IF(NOT(ISNUMBER(B1735)),"",ROUND((INDEX(BP!$D$5:$D$9,MATCH(B1735,BP!$A$5:$A$9,1))-INDEX(BP!$C$5:$C$9,MATCH(B1735,BP!$A$5:$A$9,1)))/(INDEX(BP!$B$5:$B$9,MATCH(B1735,BP!$A$5:$A$9,1))-INDEX(BP!$A$5:$A$9,MATCH(B1735,BP!$A$5:$A$9,1)))*(B1735-INDEX(BP!$A$5:$A$9,MATCH(B1735,BP!$A$5:$A$9,1)))+INDEX(BP!$C$5:$C$9,MATCH(B1735,BP!$A$5:$A$9,1)),0))</f>
        <v>10</v>
      </c>
      <c r="D1735" s="12" t="str">
        <f aca="false">IF(NOT(ISNUMBER(C1735)),"",INDEX(BP!$F$5:$F$9,MATCH(C1735,BP!$E$5:$E$9,1)))</f>
        <v>ดีมาก</v>
      </c>
      <c r="E1735" s="12" t="n">
        <f aca="false">YEAR(A1735)</f>
        <v>2025</v>
      </c>
      <c r="F1735" s="12" t="n">
        <f aca="false">MONTH(A1735)</f>
        <v>9</v>
      </c>
      <c r="G1735" s="12" t="n">
        <v>12.9</v>
      </c>
      <c r="H1735" s="12" t="n">
        <v>23</v>
      </c>
      <c r="I1735" s="12" t="n">
        <v>129</v>
      </c>
      <c r="J1735" s="12" t="n">
        <v>0.1</v>
      </c>
      <c r="K1735" s="12" t="n">
        <v>0</v>
      </c>
      <c r="L1735" s="12" t="s">
        <v>36</v>
      </c>
    </row>
    <row r="1736" customFormat="false" ht="15" hidden="false" customHeight="false" outlineLevel="0" collapsed="false">
      <c r="A1736" s="11" t="n">
        <v>45931</v>
      </c>
      <c r="B1736" s="12" t="n">
        <v>6.6</v>
      </c>
      <c r="C1736" s="12" t="n">
        <f aca="false">IF(NOT(ISNUMBER(B1736)),"",ROUND((INDEX(BP!$D$5:$D$9,MATCH(B1736,BP!$A$5:$A$9,1))-INDEX(BP!$C$5:$C$9,MATCH(B1736,BP!$A$5:$A$9,1)))/(INDEX(BP!$B$5:$B$9,MATCH(B1736,BP!$A$5:$A$9,1))-INDEX(BP!$A$5:$A$9,MATCH(B1736,BP!$A$5:$A$9,1)))*(B1736-INDEX(BP!$A$5:$A$9,MATCH(B1736,BP!$A$5:$A$9,1)))+INDEX(BP!$C$5:$C$9,MATCH(B1736,BP!$A$5:$A$9,1)),0))</f>
        <v>11</v>
      </c>
      <c r="D1736" s="12" t="str">
        <f aca="false">IF(NOT(ISNUMBER(C1736)),"",INDEX(BP!$F$5:$F$9,MATCH(C1736,BP!$E$5:$E$9,1)))</f>
        <v>ดีมาก</v>
      </c>
      <c r="E1736" s="12" t="n">
        <f aca="false">YEAR(A1736)</f>
        <v>2025</v>
      </c>
      <c r="F1736" s="12" t="n">
        <f aca="false">MONTH(A1736)</f>
        <v>10</v>
      </c>
      <c r="G1736" s="12" t="n">
        <v>12.7</v>
      </c>
      <c r="H1736" s="12" t="n">
        <v>24.8</v>
      </c>
      <c r="I1736" s="12" t="n">
        <v>96</v>
      </c>
      <c r="J1736" s="12" t="n">
        <v>19.8</v>
      </c>
      <c r="K1736" s="12" t="n">
        <v>1</v>
      </c>
      <c r="L1736" s="12" t="s">
        <v>36</v>
      </c>
    </row>
    <row r="1737" customFormat="false" ht="15" hidden="false" customHeight="false" outlineLevel="0" collapsed="false">
      <c r="A1737" s="11" t="n">
        <v>45932</v>
      </c>
      <c r="B1737" s="12" t="n">
        <v>8.8</v>
      </c>
      <c r="C1737" s="12" t="n">
        <f aca="false">IF(NOT(ISNUMBER(B1737)),"",ROUND((INDEX(BP!$D$5:$D$9,MATCH(B1737,BP!$A$5:$A$9,1))-INDEX(BP!$C$5:$C$9,MATCH(B1737,BP!$A$5:$A$9,1)))/(INDEX(BP!$B$5:$B$9,MATCH(B1737,BP!$A$5:$A$9,1))-INDEX(BP!$A$5:$A$9,MATCH(B1737,BP!$A$5:$A$9,1)))*(B1737-INDEX(BP!$A$5:$A$9,MATCH(B1737,BP!$A$5:$A$9,1)))+INDEX(BP!$C$5:$C$9,MATCH(B1737,BP!$A$5:$A$9,1)),0))</f>
        <v>15</v>
      </c>
      <c r="D1737" s="12" t="str">
        <f aca="false">IF(NOT(ISNUMBER(C1737)),"",INDEX(BP!$F$5:$F$9,MATCH(C1737,BP!$E$5:$E$9,1)))</f>
        <v>ดีมาก</v>
      </c>
      <c r="E1737" s="12" t="n">
        <f aca="false">YEAR(A1737)</f>
        <v>2025</v>
      </c>
      <c r="F1737" s="12" t="n">
        <f aca="false">MONTH(A1737)</f>
        <v>10</v>
      </c>
      <c r="G1737" s="12" t="n">
        <v>11.4</v>
      </c>
      <c r="H1737" s="12" t="n">
        <v>32.4</v>
      </c>
      <c r="I1737" s="12" t="n">
        <v>336</v>
      </c>
      <c r="J1737" s="12" t="n">
        <v>2</v>
      </c>
      <c r="K1737" s="12" t="n">
        <v>0</v>
      </c>
      <c r="L1737" s="12" t="s">
        <v>36</v>
      </c>
    </row>
    <row r="1738" customFormat="false" ht="15" hidden="false" customHeight="false" outlineLevel="0" collapsed="false">
      <c r="A1738" s="11" t="n">
        <v>45933</v>
      </c>
      <c r="B1738" s="12" t="n">
        <v>8.5</v>
      </c>
      <c r="C1738" s="12" t="n">
        <f aca="false">IF(NOT(ISNUMBER(B1738)),"",ROUND((INDEX(BP!$D$5:$D$9,MATCH(B1738,BP!$A$5:$A$9,1))-INDEX(BP!$C$5:$C$9,MATCH(B1738,BP!$A$5:$A$9,1)))/(INDEX(BP!$B$5:$B$9,MATCH(B1738,BP!$A$5:$A$9,1))-INDEX(BP!$A$5:$A$9,MATCH(B1738,BP!$A$5:$A$9,1)))*(B1738-INDEX(BP!$A$5:$A$9,MATCH(B1738,BP!$A$5:$A$9,1)))+INDEX(BP!$C$5:$C$9,MATCH(B1738,BP!$A$5:$A$9,1)),0))</f>
        <v>14</v>
      </c>
      <c r="D1738" s="12" t="str">
        <f aca="false">IF(NOT(ISNUMBER(C1738)),"",INDEX(BP!$F$5:$F$9,MATCH(C1738,BP!$E$5:$E$9,1)))</f>
        <v>ดีมาก</v>
      </c>
      <c r="E1738" s="12" t="n">
        <f aca="false">YEAR(A1738)</f>
        <v>2025</v>
      </c>
      <c r="F1738" s="12" t="n">
        <f aca="false">MONTH(A1738)</f>
        <v>10</v>
      </c>
      <c r="G1738" s="12" t="n">
        <v>14.1</v>
      </c>
      <c r="H1738" s="12" t="n">
        <v>30.2</v>
      </c>
      <c r="I1738" s="12" t="n">
        <v>238</v>
      </c>
      <c r="J1738" s="12" t="n">
        <v>9.7</v>
      </c>
      <c r="K1738" s="12" t="n">
        <v>2.8</v>
      </c>
      <c r="L1738" s="12" t="s">
        <v>36</v>
      </c>
    </row>
    <row r="1739" customFormat="false" ht="15" hidden="false" customHeight="false" outlineLevel="0" collapsed="false">
      <c r="A1739" s="11" t="n">
        <v>45934</v>
      </c>
      <c r="B1739" s="12" t="n">
        <v>5.6</v>
      </c>
      <c r="C1739" s="12" t="n">
        <f aca="false">IF(NOT(ISNUMBER(B1739)),"",ROUND((INDEX(BP!$D$5:$D$9,MATCH(B1739,BP!$A$5:$A$9,1))-INDEX(BP!$C$5:$C$9,MATCH(B1739,BP!$A$5:$A$9,1)))/(INDEX(BP!$B$5:$B$9,MATCH(B1739,BP!$A$5:$A$9,1))-INDEX(BP!$A$5:$A$9,MATCH(B1739,BP!$A$5:$A$9,1)))*(B1739-INDEX(BP!$A$5:$A$9,MATCH(B1739,BP!$A$5:$A$9,1)))+INDEX(BP!$C$5:$C$9,MATCH(B1739,BP!$A$5:$A$9,1)),0))</f>
        <v>9</v>
      </c>
      <c r="D1739" s="12" t="str">
        <f aca="false">IF(NOT(ISNUMBER(C1739)),"",INDEX(BP!$F$5:$F$9,MATCH(C1739,BP!$E$5:$E$9,1)))</f>
        <v>ดีมาก</v>
      </c>
      <c r="E1739" s="12" t="n">
        <f aca="false">YEAR(A1739)</f>
        <v>2025</v>
      </c>
      <c r="F1739" s="12" t="n">
        <f aca="false">MONTH(A1739)</f>
        <v>10</v>
      </c>
      <c r="G1739" s="12" t="n">
        <v>17.8</v>
      </c>
      <c r="H1739" s="12" t="n">
        <v>36.4</v>
      </c>
      <c r="I1739" s="12" t="n">
        <v>220</v>
      </c>
      <c r="J1739" s="12" t="n">
        <v>5</v>
      </c>
      <c r="K1739" s="12" t="n">
        <v>0</v>
      </c>
      <c r="L1739" s="12" t="s">
        <v>35</v>
      </c>
    </row>
    <row r="1740" customFormat="false" ht="15" hidden="false" customHeight="false" outlineLevel="0" collapsed="false">
      <c r="A1740" s="11" t="n">
        <v>45935</v>
      </c>
      <c r="B1740" s="12" t="n">
        <v>6.4</v>
      </c>
      <c r="C1740" s="12" t="n">
        <f aca="false">IF(NOT(ISNUMBER(B1740)),"",ROUND((INDEX(BP!$D$5:$D$9,MATCH(B1740,BP!$A$5:$A$9,1))-INDEX(BP!$C$5:$C$9,MATCH(B1740,BP!$A$5:$A$9,1)))/(INDEX(BP!$B$5:$B$9,MATCH(B1740,BP!$A$5:$A$9,1))-INDEX(BP!$A$5:$A$9,MATCH(B1740,BP!$A$5:$A$9,1)))*(B1740-INDEX(BP!$A$5:$A$9,MATCH(B1740,BP!$A$5:$A$9,1)))+INDEX(BP!$C$5:$C$9,MATCH(B1740,BP!$A$5:$A$9,1)),0))</f>
        <v>11</v>
      </c>
      <c r="D1740" s="12" t="str">
        <f aca="false">IF(NOT(ISNUMBER(C1740)),"",INDEX(BP!$F$5:$F$9,MATCH(C1740,BP!$E$5:$E$9,1)))</f>
        <v>ดีมาก</v>
      </c>
      <c r="E1740" s="12" t="n">
        <f aca="false">YEAR(A1740)</f>
        <v>2025</v>
      </c>
      <c r="F1740" s="12" t="n">
        <f aca="false">MONTH(A1740)</f>
        <v>10</v>
      </c>
      <c r="G1740" s="12" t="n">
        <v>6.2</v>
      </c>
      <c r="H1740" s="12" t="n">
        <v>21.2</v>
      </c>
      <c r="I1740" s="12" t="n">
        <v>192</v>
      </c>
      <c r="J1740" s="12" t="n">
        <v>1.7</v>
      </c>
      <c r="K1740" s="12" t="n">
        <v>0</v>
      </c>
      <c r="L1740" s="12" t="s">
        <v>35</v>
      </c>
    </row>
    <row r="1741" customFormat="false" ht="15" hidden="false" customHeight="false" outlineLevel="0" collapsed="false">
      <c r="A1741" s="11" t="n">
        <v>45936</v>
      </c>
      <c r="B1741" s="12" t="n">
        <v>8.1</v>
      </c>
      <c r="C1741" s="12" t="n">
        <f aca="false">IF(NOT(ISNUMBER(B1741)),"",ROUND((INDEX(BP!$D$5:$D$9,MATCH(B1741,BP!$A$5:$A$9,1))-INDEX(BP!$C$5:$C$9,MATCH(B1741,BP!$A$5:$A$9,1)))/(INDEX(BP!$B$5:$B$9,MATCH(B1741,BP!$A$5:$A$9,1))-INDEX(BP!$A$5:$A$9,MATCH(B1741,BP!$A$5:$A$9,1)))*(B1741-INDEX(BP!$A$5:$A$9,MATCH(B1741,BP!$A$5:$A$9,1)))+INDEX(BP!$C$5:$C$9,MATCH(B1741,BP!$A$5:$A$9,1)),0))</f>
        <v>14</v>
      </c>
      <c r="D1741" s="12" t="str">
        <f aca="false">IF(NOT(ISNUMBER(C1741)),"",INDEX(BP!$F$5:$F$9,MATCH(C1741,BP!$E$5:$E$9,1)))</f>
        <v>ดีมาก</v>
      </c>
      <c r="E1741" s="12" t="n">
        <f aca="false">YEAR(A1741)</f>
        <v>2025</v>
      </c>
      <c r="F1741" s="12" t="n">
        <f aca="false">MONTH(A1741)</f>
        <v>10</v>
      </c>
      <c r="G1741" s="12" t="n">
        <v>7.6</v>
      </c>
      <c r="H1741" s="12" t="n">
        <v>22.3</v>
      </c>
      <c r="I1741" s="12" t="n">
        <v>323</v>
      </c>
      <c r="J1741" s="12" t="n">
        <v>1.2</v>
      </c>
      <c r="K1741" s="12" t="n">
        <v>1.2</v>
      </c>
      <c r="L1741" s="12" t="s">
        <v>36</v>
      </c>
    </row>
    <row r="1742" customFormat="false" ht="15" hidden="false" customHeight="false" outlineLevel="0" collapsed="false">
      <c r="A1742" s="11" t="n">
        <v>45937</v>
      </c>
      <c r="B1742" s="12" t="n">
        <v>9.1</v>
      </c>
      <c r="C1742" s="12" t="n">
        <f aca="false">IF(NOT(ISNUMBER(B1742)),"",ROUND((INDEX(BP!$D$5:$D$9,MATCH(B1742,BP!$A$5:$A$9,1))-INDEX(BP!$C$5:$C$9,MATCH(B1742,BP!$A$5:$A$9,1)))/(INDEX(BP!$B$5:$B$9,MATCH(B1742,BP!$A$5:$A$9,1))-INDEX(BP!$A$5:$A$9,MATCH(B1742,BP!$A$5:$A$9,1)))*(B1742-INDEX(BP!$A$5:$A$9,MATCH(B1742,BP!$A$5:$A$9,1)))+INDEX(BP!$C$5:$C$9,MATCH(B1742,BP!$A$5:$A$9,1)),0))</f>
        <v>15</v>
      </c>
      <c r="D1742" s="12" t="str">
        <f aca="false">IF(NOT(ISNUMBER(C1742)),"",INDEX(BP!$F$5:$F$9,MATCH(C1742,BP!$E$5:$E$9,1)))</f>
        <v>ดีมาก</v>
      </c>
      <c r="E1742" s="12" t="n">
        <f aca="false">YEAR(A1742)</f>
        <v>2025</v>
      </c>
      <c r="F1742" s="12" t="n">
        <f aca="false">MONTH(A1742)</f>
        <v>10</v>
      </c>
      <c r="G1742" s="12" t="n">
        <v>13.1</v>
      </c>
      <c r="H1742" s="12" t="n">
        <v>31.7</v>
      </c>
      <c r="I1742" s="12" t="n">
        <v>233</v>
      </c>
      <c r="J1742" s="12" t="n">
        <v>9.2</v>
      </c>
      <c r="K1742" s="12" t="n">
        <v>5.8</v>
      </c>
      <c r="L1742" s="12" t="s">
        <v>36</v>
      </c>
    </row>
    <row r="1743" customFormat="false" ht="15" hidden="false" customHeight="false" outlineLevel="0" collapsed="false">
      <c r="A1743" s="11" t="n">
        <v>45938</v>
      </c>
      <c r="B1743" s="12" t="n">
        <v>7.8</v>
      </c>
      <c r="C1743" s="12" t="n">
        <f aca="false">IF(NOT(ISNUMBER(B1743)),"",ROUND((INDEX(BP!$D$5:$D$9,MATCH(B1743,BP!$A$5:$A$9,1))-INDEX(BP!$C$5:$C$9,MATCH(B1743,BP!$A$5:$A$9,1)))/(INDEX(BP!$B$5:$B$9,MATCH(B1743,BP!$A$5:$A$9,1))-INDEX(BP!$A$5:$A$9,MATCH(B1743,BP!$A$5:$A$9,1)))*(B1743-INDEX(BP!$A$5:$A$9,MATCH(B1743,BP!$A$5:$A$9,1)))+INDEX(BP!$C$5:$C$9,MATCH(B1743,BP!$A$5:$A$9,1)),0))</f>
        <v>13</v>
      </c>
      <c r="D1743" s="12" t="str">
        <f aca="false">IF(NOT(ISNUMBER(C1743)),"",INDEX(BP!$F$5:$F$9,MATCH(C1743,BP!$E$5:$E$9,1)))</f>
        <v>ดีมาก</v>
      </c>
      <c r="E1743" s="12" t="n">
        <f aca="false">YEAR(A1743)</f>
        <v>2025</v>
      </c>
      <c r="F1743" s="12" t="n">
        <f aca="false">MONTH(A1743)</f>
        <v>10</v>
      </c>
      <c r="G1743" s="12" t="n">
        <v>15.8</v>
      </c>
      <c r="H1743" s="12" t="n">
        <v>37.4</v>
      </c>
      <c r="I1743" s="12" t="n">
        <v>258</v>
      </c>
      <c r="J1743" s="12" t="n">
        <v>22.6</v>
      </c>
      <c r="K1743" s="12" t="n">
        <v>6.2</v>
      </c>
      <c r="L1743" s="12" t="s">
        <v>36</v>
      </c>
    </row>
    <row r="1744" customFormat="false" ht="15" hidden="false" customHeight="false" outlineLevel="0" collapsed="false">
      <c r="A1744" s="11" t="n">
        <v>45939</v>
      </c>
      <c r="B1744" s="12" t="n">
        <v>7.6</v>
      </c>
      <c r="C1744" s="12" t="n">
        <f aca="false">IF(NOT(ISNUMBER(B1744)),"",ROUND((INDEX(BP!$D$5:$D$9,MATCH(B1744,BP!$A$5:$A$9,1))-INDEX(BP!$C$5:$C$9,MATCH(B1744,BP!$A$5:$A$9,1)))/(INDEX(BP!$B$5:$B$9,MATCH(B1744,BP!$A$5:$A$9,1))-INDEX(BP!$A$5:$A$9,MATCH(B1744,BP!$A$5:$A$9,1)))*(B1744-INDEX(BP!$A$5:$A$9,MATCH(B1744,BP!$A$5:$A$9,1)))+INDEX(BP!$C$5:$C$9,MATCH(B1744,BP!$A$5:$A$9,1)),0))</f>
        <v>13</v>
      </c>
      <c r="D1744" s="12" t="str">
        <f aca="false">IF(NOT(ISNUMBER(C1744)),"",INDEX(BP!$F$5:$F$9,MATCH(C1744,BP!$E$5:$E$9,1)))</f>
        <v>ดีมาก</v>
      </c>
      <c r="E1744" s="12" t="n">
        <f aca="false">YEAR(A1744)</f>
        <v>2025</v>
      </c>
      <c r="F1744" s="12" t="n">
        <f aca="false">MONTH(A1744)</f>
        <v>10</v>
      </c>
      <c r="G1744" s="12" t="n">
        <v>15.7</v>
      </c>
      <c r="H1744" s="12" t="n">
        <v>33.1</v>
      </c>
      <c r="I1744" s="12" t="n">
        <v>266</v>
      </c>
      <c r="J1744" s="12" t="n">
        <v>6.5</v>
      </c>
      <c r="K1744" s="12" t="n">
        <v>0</v>
      </c>
      <c r="L1744" s="12" t="s">
        <v>36</v>
      </c>
    </row>
    <row r="1745" customFormat="false" ht="15" hidden="false" customHeight="false" outlineLevel="0" collapsed="false">
      <c r="A1745" s="11" t="n">
        <v>45940</v>
      </c>
      <c r="B1745" s="12" t="n">
        <v>6.3</v>
      </c>
      <c r="C1745" s="12" t="n">
        <f aca="false">IF(NOT(ISNUMBER(B1745)),"",ROUND((INDEX(BP!$D$5:$D$9,MATCH(B1745,BP!$A$5:$A$9,1))-INDEX(BP!$C$5:$C$9,MATCH(B1745,BP!$A$5:$A$9,1)))/(INDEX(BP!$B$5:$B$9,MATCH(B1745,BP!$A$5:$A$9,1))-INDEX(BP!$A$5:$A$9,MATCH(B1745,BP!$A$5:$A$9,1)))*(B1745-INDEX(BP!$A$5:$A$9,MATCH(B1745,BP!$A$5:$A$9,1)))+INDEX(BP!$C$5:$C$9,MATCH(B1745,BP!$A$5:$A$9,1)),0))</f>
        <v>11</v>
      </c>
      <c r="D1745" s="12" t="str">
        <f aca="false">IF(NOT(ISNUMBER(C1745)),"",INDEX(BP!$F$5:$F$9,MATCH(C1745,BP!$E$5:$E$9,1)))</f>
        <v>ดีมาก</v>
      </c>
      <c r="E1745" s="12" t="n">
        <f aca="false">YEAR(A1745)</f>
        <v>2025</v>
      </c>
      <c r="F1745" s="12" t="n">
        <f aca="false">MONTH(A1745)</f>
        <v>10</v>
      </c>
      <c r="G1745" s="12" t="n">
        <v>12.8</v>
      </c>
      <c r="H1745" s="12" t="n">
        <v>33.5</v>
      </c>
      <c r="I1745" s="12" t="n">
        <v>258</v>
      </c>
      <c r="J1745" s="12" t="n">
        <v>0.9</v>
      </c>
      <c r="K1745" s="12" t="n">
        <v>2.2</v>
      </c>
      <c r="L1745" s="12" t="s">
        <v>36</v>
      </c>
    </row>
    <row r="1746" customFormat="false" ht="15" hidden="false" customHeight="false" outlineLevel="0" collapsed="false">
      <c r="A1746" s="11" t="n">
        <v>45941</v>
      </c>
      <c r="B1746" s="12" t="n">
        <v>6.1</v>
      </c>
      <c r="C1746" s="12" t="n">
        <f aca="false">IF(NOT(ISNUMBER(B1746)),"",ROUND((INDEX(BP!$D$5:$D$9,MATCH(B1746,BP!$A$5:$A$9,1))-INDEX(BP!$C$5:$C$9,MATCH(B1746,BP!$A$5:$A$9,1)))/(INDEX(BP!$B$5:$B$9,MATCH(B1746,BP!$A$5:$A$9,1))-INDEX(BP!$A$5:$A$9,MATCH(B1746,BP!$A$5:$A$9,1)))*(B1746-INDEX(BP!$A$5:$A$9,MATCH(B1746,BP!$A$5:$A$9,1)))+INDEX(BP!$C$5:$C$9,MATCH(B1746,BP!$A$5:$A$9,1)),0))</f>
        <v>10</v>
      </c>
      <c r="D1746" s="12" t="str">
        <f aca="false">IF(NOT(ISNUMBER(C1746)),"",INDEX(BP!$F$5:$F$9,MATCH(C1746,BP!$E$5:$E$9,1)))</f>
        <v>ดีมาก</v>
      </c>
      <c r="E1746" s="12" t="n">
        <f aca="false">YEAR(A1746)</f>
        <v>2025</v>
      </c>
      <c r="F1746" s="12" t="n">
        <f aca="false">MONTH(A1746)</f>
        <v>10</v>
      </c>
      <c r="G1746" s="12" t="n">
        <v>13.9</v>
      </c>
      <c r="H1746" s="12" t="n">
        <v>29.9</v>
      </c>
      <c r="I1746" s="12" t="n">
        <v>237</v>
      </c>
      <c r="J1746" s="12" t="n">
        <v>6.6</v>
      </c>
      <c r="K1746" s="12" t="n">
        <v>10.4</v>
      </c>
      <c r="L1746" s="12" t="s">
        <v>35</v>
      </c>
    </row>
    <row r="1747" customFormat="false" ht="15" hidden="false" customHeight="false" outlineLevel="0" collapsed="false">
      <c r="A1747" s="11" t="n">
        <v>45942</v>
      </c>
      <c r="B1747" s="12" t="n">
        <v>5.8</v>
      </c>
      <c r="C1747" s="12" t="n">
        <f aca="false">IF(NOT(ISNUMBER(B1747)),"",ROUND((INDEX(BP!$D$5:$D$9,MATCH(B1747,BP!$A$5:$A$9,1))-INDEX(BP!$C$5:$C$9,MATCH(B1747,BP!$A$5:$A$9,1)))/(INDEX(BP!$B$5:$B$9,MATCH(B1747,BP!$A$5:$A$9,1))-INDEX(BP!$A$5:$A$9,MATCH(B1747,BP!$A$5:$A$9,1)))*(B1747-INDEX(BP!$A$5:$A$9,MATCH(B1747,BP!$A$5:$A$9,1)))+INDEX(BP!$C$5:$C$9,MATCH(B1747,BP!$A$5:$A$9,1)),0))</f>
        <v>10</v>
      </c>
      <c r="D1747" s="12" t="str">
        <f aca="false">IF(NOT(ISNUMBER(C1747)),"",INDEX(BP!$F$5:$F$9,MATCH(C1747,BP!$E$5:$E$9,1)))</f>
        <v>ดีมาก</v>
      </c>
      <c r="E1747" s="12" t="n">
        <f aca="false">YEAR(A1747)</f>
        <v>2025</v>
      </c>
      <c r="F1747" s="12" t="n">
        <f aca="false">MONTH(A1747)</f>
        <v>10</v>
      </c>
      <c r="G1747" s="12" t="n">
        <v>11.5</v>
      </c>
      <c r="H1747" s="12" t="n">
        <v>23.8</v>
      </c>
      <c r="I1747" s="12" t="n">
        <v>222</v>
      </c>
      <c r="J1747" s="12" t="n">
        <v>9.9</v>
      </c>
      <c r="K1747" s="12" t="n">
        <v>8.8</v>
      </c>
      <c r="L1747" s="12" t="s">
        <v>35</v>
      </c>
    </row>
    <row r="1748" customFormat="false" ht="15" hidden="false" customHeight="false" outlineLevel="0" collapsed="false">
      <c r="A1748" s="11" t="n">
        <v>45943</v>
      </c>
      <c r="B1748" s="12" t="n">
        <v>5.9</v>
      </c>
      <c r="C1748" s="12" t="n">
        <f aca="false">IF(NOT(ISNUMBER(B1748)),"",ROUND((INDEX(BP!$D$5:$D$9,MATCH(B1748,BP!$A$5:$A$9,1))-INDEX(BP!$C$5:$C$9,MATCH(B1748,BP!$A$5:$A$9,1)))/(INDEX(BP!$B$5:$B$9,MATCH(B1748,BP!$A$5:$A$9,1))-INDEX(BP!$A$5:$A$9,MATCH(B1748,BP!$A$5:$A$9,1)))*(B1748-INDEX(BP!$A$5:$A$9,MATCH(B1748,BP!$A$5:$A$9,1)))+INDEX(BP!$C$5:$C$9,MATCH(B1748,BP!$A$5:$A$9,1)),0))</f>
        <v>10</v>
      </c>
      <c r="D1748" s="12" t="str">
        <f aca="false">IF(NOT(ISNUMBER(C1748)),"",INDEX(BP!$F$5:$F$9,MATCH(C1748,BP!$E$5:$E$9,1)))</f>
        <v>ดีมาก</v>
      </c>
      <c r="E1748" s="12" t="n">
        <f aca="false">YEAR(A1748)</f>
        <v>2025</v>
      </c>
      <c r="F1748" s="12" t="n">
        <f aca="false">MONTH(A1748)</f>
        <v>10</v>
      </c>
      <c r="G1748" s="12" t="n">
        <v>12.1</v>
      </c>
      <c r="H1748" s="12" t="n">
        <v>27.7</v>
      </c>
      <c r="I1748" s="12" t="n">
        <v>210</v>
      </c>
      <c r="J1748" s="12" t="n">
        <v>6.6</v>
      </c>
      <c r="K1748" s="12" t="n">
        <v>1.8</v>
      </c>
      <c r="L1748" s="12" t="s">
        <v>34</v>
      </c>
    </row>
    <row r="1749" customFormat="false" ht="15" hidden="false" customHeight="false" outlineLevel="0" collapsed="false">
      <c r="A1749" s="11" t="n">
        <v>45944</v>
      </c>
      <c r="B1749" s="12" t="n">
        <v>6.6</v>
      </c>
      <c r="C1749" s="12" t="n">
        <f aca="false">IF(NOT(ISNUMBER(B1749)),"",ROUND((INDEX(BP!$D$5:$D$9,MATCH(B1749,BP!$A$5:$A$9,1))-INDEX(BP!$C$5:$C$9,MATCH(B1749,BP!$A$5:$A$9,1)))/(INDEX(BP!$B$5:$B$9,MATCH(B1749,BP!$A$5:$A$9,1))-INDEX(BP!$A$5:$A$9,MATCH(B1749,BP!$A$5:$A$9,1)))*(B1749-INDEX(BP!$A$5:$A$9,MATCH(B1749,BP!$A$5:$A$9,1)))+INDEX(BP!$C$5:$C$9,MATCH(B1749,BP!$A$5:$A$9,1)),0))</f>
        <v>11</v>
      </c>
      <c r="D1749" s="12" t="str">
        <f aca="false">IF(NOT(ISNUMBER(C1749)),"",INDEX(BP!$F$5:$F$9,MATCH(C1749,BP!$E$5:$E$9,1)))</f>
        <v>ดีมาก</v>
      </c>
      <c r="E1749" s="12" t="n">
        <f aca="false">YEAR(A1749)</f>
        <v>2025</v>
      </c>
      <c r="F1749" s="12" t="n">
        <f aca="false">MONTH(A1749)</f>
        <v>10</v>
      </c>
      <c r="G1749" s="12" t="n">
        <v>9.1</v>
      </c>
      <c r="H1749" s="12" t="n">
        <v>18.7</v>
      </c>
      <c r="I1749" s="12" t="n">
        <v>153</v>
      </c>
      <c r="J1749" s="12" t="n">
        <v>13.9</v>
      </c>
      <c r="K1749" s="12" t="n">
        <v>0.4</v>
      </c>
      <c r="L1749" s="12" t="s">
        <v>36</v>
      </c>
    </row>
    <row r="1750" customFormat="false" ht="15" hidden="false" customHeight="false" outlineLevel="0" collapsed="false">
      <c r="A1750" s="11" t="n">
        <v>45945</v>
      </c>
      <c r="B1750" s="12" t="n">
        <v>7.1</v>
      </c>
      <c r="C1750" s="12" t="n">
        <f aca="false">IF(NOT(ISNUMBER(B1750)),"",ROUND((INDEX(BP!$D$5:$D$9,MATCH(B1750,BP!$A$5:$A$9,1))-INDEX(BP!$C$5:$C$9,MATCH(B1750,BP!$A$5:$A$9,1)))/(INDEX(BP!$B$5:$B$9,MATCH(B1750,BP!$A$5:$A$9,1))-INDEX(BP!$A$5:$A$9,MATCH(B1750,BP!$A$5:$A$9,1)))*(B1750-INDEX(BP!$A$5:$A$9,MATCH(B1750,BP!$A$5:$A$9,1)))+INDEX(BP!$C$5:$C$9,MATCH(B1750,BP!$A$5:$A$9,1)),0))</f>
        <v>12</v>
      </c>
      <c r="D1750" s="12" t="str">
        <f aca="false">IF(NOT(ISNUMBER(C1750)),"",INDEX(BP!$F$5:$F$9,MATCH(C1750,BP!$E$5:$E$9,1)))</f>
        <v>ดีมาก</v>
      </c>
      <c r="E1750" s="12" t="n">
        <f aca="false">YEAR(A1750)</f>
        <v>2025</v>
      </c>
      <c r="F1750" s="12" t="n">
        <f aca="false">MONTH(A1750)</f>
        <v>10</v>
      </c>
      <c r="G1750" s="12" t="n">
        <v>18.3</v>
      </c>
      <c r="H1750" s="12" t="n">
        <v>39.2</v>
      </c>
      <c r="I1750" s="12" t="n">
        <v>88</v>
      </c>
      <c r="J1750" s="12" t="n">
        <v>4.8</v>
      </c>
      <c r="K1750" s="12" t="n">
        <v>0</v>
      </c>
      <c r="L1750" s="12" t="s">
        <v>36</v>
      </c>
    </row>
    <row r="1751" customFormat="false" ht="15" hidden="false" customHeight="false" outlineLevel="0" collapsed="false">
      <c r="A1751" s="11" t="n">
        <v>45946</v>
      </c>
      <c r="B1751" s="12" t="n">
        <v>8.5</v>
      </c>
      <c r="C1751" s="12" t="n">
        <f aca="false">IF(NOT(ISNUMBER(B1751)),"",ROUND((INDEX(BP!$D$5:$D$9,MATCH(B1751,BP!$A$5:$A$9,1))-INDEX(BP!$C$5:$C$9,MATCH(B1751,BP!$A$5:$A$9,1)))/(INDEX(BP!$B$5:$B$9,MATCH(B1751,BP!$A$5:$A$9,1))-INDEX(BP!$A$5:$A$9,MATCH(B1751,BP!$A$5:$A$9,1)))*(B1751-INDEX(BP!$A$5:$A$9,MATCH(B1751,BP!$A$5:$A$9,1)))+INDEX(BP!$C$5:$C$9,MATCH(B1751,BP!$A$5:$A$9,1)),0))</f>
        <v>14</v>
      </c>
      <c r="D1751" s="12" t="str">
        <f aca="false">IF(NOT(ISNUMBER(C1751)),"",INDEX(BP!$F$5:$F$9,MATCH(C1751,BP!$E$5:$E$9,1)))</f>
        <v>ดีมาก</v>
      </c>
      <c r="E1751" s="12" t="n">
        <f aca="false">YEAR(A1751)</f>
        <v>2025</v>
      </c>
      <c r="F1751" s="12" t="n">
        <f aca="false">MONTH(A1751)</f>
        <v>10</v>
      </c>
      <c r="G1751" s="12" t="n">
        <v>19.4</v>
      </c>
      <c r="H1751" s="12" t="n">
        <v>43.2</v>
      </c>
      <c r="I1751" s="12" t="n">
        <v>69</v>
      </c>
      <c r="J1751" s="12" t="n">
        <v>20.7</v>
      </c>
      <c r="K1751" s="12" t="n">
        <v>17.2</v>
      </c>
      <c r="L1751" s="12" t="s">
        <v>36</v>
      </c>
    </row>
    <row r="1752" customFormat="false" ht="15" hidden="false" customHeight="false" outlineLevel="0" collapsed="false">
      <c r="A1752" s="11" t="n">
        <v>45947</v>
      </c>
      <c r="B1752" s="12" t="n">
        <v>7.6</v>
      </c>
      <c r="C1752" s="12" t="n">
        <f aca="false">IF(NOT(ISNUMBER(B1752)),"",ROUND((INDEX(BP!$D$5:$D$9,MATCH(B1752,BP!$A$5:$A$9,1))-INDEX(BP!$C$5:$C$9,MATCH(B1752,BP!$A$5:$A$9,1)))/(INDEX(BP!$B$5:$B$9,MATCH(B1752,BP!$A$5:$A$9,1))-INDEX(BP!$A$5:$A$9,MATCH(B1752,BP!$A$5:$A$9,1)))*(B1752-INDEX(BP!$A$5:$A$9,MATCH(B1752,BP!$A$5:$A$9,1)))+INDEX(BP!$C$5:$C$9,MATCH(B1752,BP!$A$5:$A$9,1)),0))</f>
        <v>13</v>
      </c>
      <c r="D1752" s="12" t="str">
        <f aca="false">IF(NOT(ISNUMBER(C1752)),"",INDEX(BP!$F$5:$F$9,MATCH(C1752,BP!$E$5:$E$9,1)))</f>
        <v>ดีมาก</v>
      </c>
      <c r="E1752" s="12" t="n">
        <f aca="false">YEAR(A1752)</f>
        <v>2025</v>
      </c>
      <c r="F1752" s="12" t="n">
        <f aca="false">MONTH(A1752)</f>
        <v>10</v>
      </c>
      <c r="G1752" s="12" t="n">
        <v>12.2</v>
      </c>
      <c r="H1752" s="12" t="n">
        <v>33.5</v>
      </c>
      <c r="I1752" s="12" t="n">
        <v>63</v>
      </c>
      <c r="J1752" s="12" t="n">
        <v>19.6</v>
      </c>
      <c r="K1752" s="12" t="n">
        <v>0</v>
      </c>
      <c r="L1752" s="12" t="s">
        <v>36</v>
      </c>
    </row>
    <row r="1753" customFormat="false" ht="15" hidden="false" customHeight="false" outlineLevel="0" collapsed="false">
      <c r="A1753" s="11" t="n">
        <v>45948</v>
      </c>
      <c r="B1753" s="12" t="n">
        <v>6.4</v>
      </c>
      <c r="C1753" s="12" t="n">
        <f aca="false">IF(NOT(ISNUMBER(B1753)),"",ROUND((INDEX(BP!$D$5:$D$9,MATCH(B1753,BP!$A$5:$A$9,1))-INDEX(BP!$C$5:$C$9,MATCH(B1753,BP!$A$5:$A$9,1)))/(INDEX(BP!$B$5:$B$9,MATCH(B1753,BP!$A$5:$A$9,1))-INDEX(BP!$A$5:$A$9,MATCH(B1753,BP!$A$5:$A$9,1)))*(B1753-INDEX(BP!$A$5:$A$9,MATCH(B1753,BP!$A$5:$A$9,1)))+INDEX(BP!$C$5:$C$9,MATCH(B1753,BP!$A$5:$A$9,1)),0))</f>
        <v>11</v>
      </c>
      <c r="D1753" s="12" t="str">
        <f aca="false">IF(NOT(ISNUMBER(C1753)),"",INDEX(BP!$F$5:$F$9,MATCH(C1753,BP!$E$5:$E$9,1)))</f>
        <v>ดีมาก</v>
      </c>
      <c r="E1753" s="12" t="n">
        <f aca="false">YEAR(A1753)</f>
        <v>2025</v>
      </c>
      <c r="F1753" s="12" t="n">
        <f aca="false">MONTH(A1753)</f>
        <v>10</v>
      </c>
      <c r="G1753" s="12" t="n">
        <v>17.7</v>
      </c>
      <c r="H1753" s="12" t="n">
        <v>36.4</v>
      </c>
      <c r="I1753" s="12" t="n">
        <v>18</v>
      </c>
      <c r="J1753" s="12" t="n">
        <v>5.1</v>
      </c>
      <c r="K1753" s="12" t="n">
        <v>0.8</v>
      </c>
      <c r="L1753" s="12" t="s">
        <v>35</v>
      </c>
    </row>
    <row r="1754" customFormat="false" ht="15" hidden="false" customHeight="false" outlineLevel="0" collapsed="false">
      <c r="A1754" s="11" t="n">
        <v>45949</v>
      </c>
      <c r="B1754" s="12" t="n">
        <v>6.9</v>
      </c>
      <c r="C1754" s="12" t="n">
        <f aca="false">IF(NOT(ISNUMBER(B1754)),"",ROUND((INDEX(BP!$D$5:$D$9,MATCH(B1754,BP!$A$5:$A$9,1))-INDEX(BP!$C$5:$C$9,MATCH(B1754,BP!$A$5:$A$9,1)))/(INDEX(BP!$B$5:$B$9,MATCH(B1754,BP!$A$5:$A$9,1))-INDEX(BP!$A$5:$A$9,MATCH(B1754,BP!$A$5:$A$9,1)))*(B1754-INDEX(BP!$A$5:$A$9,MATCH(B1754,BP!$A$5:$A$9,1)))+INDEX(BP!$C$5:$C$9,MATCH(B1754,BP!$A$5:$A$9,1)),0))</f>
        <v>12</v>
      </c>
      <c r="D1754" s="12" t="str">
        <f aca="false">IF(NOT(ISNUMBER(C1754)),"",INDEX(BP!$F$5:$F$9,MATCH(C1754,BP!$E$5:$E$9,1)))</f>
        <v>ดีมาก</v>
      </c>
      <c r="E1754" s="12" t="n">
        <f aca="false">YEAR(A1754)</f>
        <v>2025</v>
      </c>
      <c r="F1754" s="12" t="n">
        <f aca="false">MONTH(A1754)</f>
        <v>10</v>
      </c>
      <c r="G1754" s="12" t="n">
        <v>12.9</v>
      </c>
      <c r="H1754" s="12" t="n">
        <v>30.2</v>
      </c>
      <c r="I1754" s="12" t="n">
        <v>5</v>
      </c>
      <c r="J1754" s="12" t="n">
        <v>9.7</v>
      </c>
      <c r="K1754" s="12" t="n">
        <v>1.2</v>
      </c>
      <c r="L1754" s="12" t="s">
        <v>35</v>
      </c>
    </row>
    <row r="1755" customFormat="false" ht="15" hidden="false" customHeight="false" outlineLevel="0" collapsed="false">
      <c r="A1755" s="11" t="n">
        <v>45950</v>
      </c>
      <c r="B1755" s="12" t="n">
        <v>5.8</v>
      </c>
      <c r="C1755" s="12" t="n">
        <f aca="false">IF(NOT(ISNUMBER(B1755)),"",ROUND((INDEX(BP!$D$5:$D$9,MATCH(B1755,BP!$A$5:$A$9,1))-INDEX(BP!$C$5:$C$9,MATCH(B1755,BP!$A$5:$A$9,1)))/(INDEX(BP!$B$5:$B$9,MATCH(B1755,BP!$A$5:$A$9,1))-INDEX(BP!$A$5:$A$9,MATCH(B1755,BP!$A$5:$A$9,1)))*(B1755-INDEX(BP!$A$5:$A$9,MATCH(B1755,BP!$A$5:$A$9,1)))+INDEX(BP!$C$5:$C$9,MATCH(B1755,BP!$A$5:$A$9,1)),0))</f>
        <v>10</v>
      </c>
      <c r="D1755" s="12" t="str">
        <f aca="false">IF(NOT(ISNUMBER(C1755)),"",INDEX(BP!$F$5:$F$9,MATCH(C1755,BP!$E$5:$E$9,1)))</f>
        <v>ดีมาก</v>
      </c>
      <c r="E1755" s="12" t="n">
        <f aca="false">YEAR(A1755)</f>
        <v>2025</v>
      </c>
      <c r="F1755" s="12" t="n">
        <f aca="false">MONTH(A1755)</f>
        <v>10</v>
      </c>
      <c r="G1755" s="12" t="n">
        <v>16.9</v>
      </c>
      <c r="H1755" s="12" t="n">
        <v>29.9</v>
      </c>
      <c r="I1755" s="12" t="n">
        <v>279</v>
      </c>
      <c r="J1755" s="12" t="n">
        <v>4.7</v>
      </c>
      <c r="K1755" s="12" t="n">
        <v>7.4</v>
      </c>
      <c r="L1755" s="12" t="s">
        <v>36</v>
      </c>
    </row>
    <row r="1756" customFormat="false" ht="15" hidden="false" customHeight="false" outlineLevel="0" collapsed="false">
      <c r="A1756" s="11" t="n">
        <v>45951</v>
      </c>
      <c r="B1756" s="12" t="n">
        <v>5.6</v>
      </c>
      <c r="C1756" s="12" t="n">
        <f aca="false">IF(NOT(ISNUMBER(B1756)),"",ROUND((INDEX(BP!$D$5:$D$9,MATCH(B1756,BP!$A$5:$A$9,1))-INDEX(BP!$C$5:$C$9,MATCH(B1756,BP!$A$5:$A$9,1)))/(INDEX(BP!$B$5:$B$9,MATCH(B1756,BP!$A$5:$A$9,1))-INDEX(BP!$A$5:$A$9,MATCH(B1756,BP!$A$5:$A$9,1)))*(B1756-INDEX(BP!$A$5:$A$9,MATCH(B1756,BP!$A$5:$A$9,1)))+INDEX(BP!$C$5:$C$9,MATCH(B1756,BP!$A$5:$A$9,1)),0))</f>
        <v>9</v>
      </c>
      <c r="D1756" s="12" t="str">
        <f aca="false">IF(NOT(ISNUMBER(C1756)),"",INDEX(BP!$F$5:$F$9,MATCH(C1756,BP!$E$5:$E$9,1)))</f>
        <v>ดีมาก</v>
      </c>
      <c r="E1756" s="12" t="n">
        <f aca="false">YEAR(A1756)</f>
        <v>2025</v>
      </c>
      <c r="F1756" s="12" t="n">
        <f aca="false">MONTH(A1756)</f>
        <v>10</v>
      </c>
      <c r="G1756" s="12" t="n">
        <v>15.8</v>
      </c>
      <c r="H1756" s="12" t="n">
        <v>38.9</v>
      </c>
      <c r="I1756" s="12" t="n">
        <v>300</v>
      </c>
      <c r="J1756" s="12" t="n">
        <v>5.3</v>
      </c>
      <c r="K1756" s="12" t="n">
        <v>13.6</v>
      </c>
      <c r="L1756" s="12" t="s">
        <v>36</v>
      </c>
    </row>
    <row r="1757" customFormat="false" ht="15" hidden="false" customHeight="false" outlineLevel="0" collapsed="false">
      <c r="A1757" s="11" t="n">
        <v>45952</v>
      </c>
      <c r="B1757" s="12" t="n">
        <v>5.6</v>
      </c>
      <c r="C1757" s="12" t="n">
        <f aca="false">IF(NOT(ISNUMBER(B1757)),"",ROUND((INDEX(BP!$D$5:$D$9,MATCH(B1757,BP!$A$5:$A$9,1))-INDEX(BP!$C$5:$C$9,MATCH(B1757,BP!$A$5:$A$9,1)))/(INDEX(BP!$B$5:$B$9,MATCH(B1757,BP!$A$5:$A$9,1))-INDEX(BP!$A$5:$A$9,MATCH(B1757,BP!$A$5:$A$9,1)))*(B1757-INDEX(BP!$A$5:$A$9,MATCH(B1757,BP!$A$5:$A$9,1)))+INDEX(BP!$C$5:$C$9,MATCH(B1757,BP!$A$5:$A$9,1)),0))</f>
        <v>9</v>
      </c>
      <c r="D1757" s="12" t="str">
        <f aca="false">IF(NOT(ISNUMBER(C1757)),"",INDEX(BP!$F$5:$F$9,MATCH(C1757,BP!$E$5:$E$9,1)))</f>
        <v>ดีมาก</v>
      </c>
      <c r="E1757" s="12" t="n">
        <f aca="false">YEAR(A1757)</f>
        <v>2025</v>
      </c>
      <c r="F1757" s="12" t="n">
        <f aca="false">MONTH(A1757)</f>
        <v>10</v>
      </c>
      <c r="G1757" s="12" t="n">
        <v>18.6</v>
      </c>
      <c r="H1757" s="12" t="n">
        <v>37.4</v>
      </c>
      <c r="I1757" s="12" t="n">
        <v>259</v>
      </c>
      <c r="J1757" s="12" t="n">
        <v>11.9</v>
      </c>
      <c r="K1757" s="12" t="n">
        <v>0</v>
      </c>
      <c r="L1757" s="12" t="s">
        <v>36</v>
      </c>
    </row>
    <row r="1758" customFormat="false" ht="15" hidden="false" customHeight="false" outlineLevel="0" collapsed="false">
      <c r="A1758" s="11" t="n">
        <v>45953</v>
      </c>
      <c r="B1758" s="12" t="n">
        <v>6.5</v>
      </c>
      <c r="C1758" s="12" t="n">
        <f aca="false">IF(NOT(ISNUMBER(B1758)),"",ROUND((INDEX(BP!$D$5:$D$9,MATCH(B1758,BP!$A$5:$A$9,1))-INDEX(BP!$C$5:$C$9,MATCH(B1758,BP!$A$5:$A$9,1)))/(INDEX(BP!$B$5:$B$9,MATCH(B1758,BP!$A$5:$A$9,1))-INDEX(BP!$A$5:$A$9,MATCH(B1758,BP!$A$5:$A$9,1)))*(B1758-INDEX(BP!$A$5:$A$9,MATCH(B1758,BP!$A$5:$A$9,1)))+INDEX(BP!$C$5:$C$9,MATCH(B1758,BP!$A$5:$A$9,1)),0))</f>
        <v>11</v>
      </c>
      <c r="D1758" s="12" t="str">
        <f aca="false">IF(NOT(ISNUMBER(C1758)),"",INDEX(BP!$F$5:$F$9,MATCH(C1758,BP!$E$5:$E$9,1)))</f>
        <v>ดีมาก</v>
      </c>
      <c r="E1758" s="12" t="n">
        <f aca="false">YEAR(A1758)</f>
        <v>2025</v>
      </c>
      <c r="F1758" s="12" t="n">
        <f aca="false">MONTH(A1758)</f>
        <v>10</v>
      </c>
      <c r="G1758" s="12" t="n">
        <v>11.3</v>
      </c>
      <c r="H1758" s="12" t="n">
        <v>29.9</v>
      </c>
      <c r="I1758" s="12" t="n">
        <v>329</v>
      </c>
      <c r="J1758" s="12" t="n">
        <v>15.4</v>
      </c>
      <c r="K1758" s="12" t="n">
        <v>22.4</v>
      </c>
      <c r="L1758" s="12" t="s">
        <v>34</v>
      </c>
    </row>
    <row r="1759" customFormat="false" ht="15" hidden="false" customHeight="false" outlineLevel="0" collapsed="false">
      <c r="A1759" s="11" t="n">
        <v>45954</v>
      </c>
      <c r="B1759" s="12" t="n">
        <v>6.3</v>
      </c>
      <c r="C1759" s="12" t="n">
        <f aca="false">IF(NOT(ISNUMBER(B1759)),"",ROUND((INDEX(BP!$D$5:$D$9,MATCH(B1759,BP!$A$5:$A$9,1))-INDEX(BP!$C$5:$C$9,MATCH(B1759,BP!$A$5:$A$9,1)))/(INDEX(BP!$B$5:$B$9,MATCH(B1759,BP!$A$5:$A$9,1))-INDEX(BP!$A$5:$A$9,MATCH(B1759,BP!$A$5:$A$9,1)))*(B1759-INDEX(BP!$A$5:$A$9,MATCH(B1759,BP!$A$5:$A$9,1)))+INDEX(BP!$C$5:$C$9,MATCH(B1759,BP!$A$5:$A$9,1)),0))</f>
        <v>11</v>
      </c>
      <c r="D1759" s="12" t="str">
        <f aca="false">IF(NOT(ISNUMBER(C1759)),"",INDEX(BP!$F$5:$F$9,MATCH(C1759,BP!$E$5:$E$9,1)))</f>
        <v>ดีมาก</v>
      </c>
      <c r="E1759" s="12" t="n">
        <f aca="false">YEAR(A1759)</f>
        <v>2025</v>
      </c>
      <c r="F1759" s="12" t="n">
        <f aca="false">MONTH(A1759)</f>
        <v>10</v>
      </c>
      <c r="G1759" s="12" t="n">
        <v>15</v>
      </c>
      <c r="H1759" s="12" t="n">
        <v>31</v>
      </c>
      <c r="I1759" s="12" t="n">
        <v>329</v>
      </c>
      <c r="J1759" s="12" t="n">
        <v>33.4</v>
      </c>
      <c r="K1759" s="12" t="n">
        <v>20.4</v>
      </c>
      <c r="L1759" s="12" t="s">
        <v>36</v>
      </c>
    </row>
    <row r="1760" customFormat="false" ht="15" hidden="false" customHeight="false" outlineLevel="0" collapsed="false">
      <c r="A1760" s="11" t="n">
        <v>45955</v>
      </c>
      <c r="B1760" s="12" t="n">
        <v>5.7</v>
      </c>
      <c r="C1760" s="12" t="n">
        <f aca="false">IF(NOT(ISNUMBER(B1760)),"",ROUND((INDEX(BP!$D$5:$D$9,MATCH(B1760,BP!$A$5:$A$9,1))-INDEX(BP!$C$5:$C$9,MATCH(B1760,BP!$A$5:$A$9,1)))/(INDEX(BP!$B$5:$B$9,MATCH(B1760,BP!$A$5:$A$9,1))-INDEX(BP!$A$5:$A$9,MATCH(B1760,BP!$A$5:$A$9,1)))*(B1760-INDEX(BP!$A$5:$A$9,MATCH(B1760,BP!$A$5:$A$9,1)))+INDEX(BP!$C$5:$C$9,MATCH(B1760,BP!$A$5:$A$9,1)),0))</f>
        <v>10</v>
      </c>
      <c r="D1760" s="12" t="str">
        <f aca="false">IF(NOT(ISNUMBER(C1760)),"",INDEX(BP!$F$5:$F$9,MATCH(C1760,BP!$E$5:$E$9,1)))</f>
        <v>ดีมาก</v>
      </c>
      <c r="E1760" s="12" t="n">
        <f aca="false">YEAR(A1760)</f>
        <v>2025</v>
      </c>
      <c r="F1760" s="12" t="n">
        <f aca="false">MONTH(A1760)</f>
        <v>10</v>
      </c>
      <c r="G1760" s="12" t="n">
        <v>11.5</v>
      </c>
      <c r="H1760" s="12" t="n">
        <v>24.8</v>
      </c>
      <c r="I1760" s="12" t="n">
        <v>249</v>
      </c>
      <c r="J1760" s="12" t="n">
        <v>23.2</v>
      </c>
      <c r="K1760" s="12" t="n">
        <v>3</v>
      </c>
      <c r="L1760" s="12" t="s">
        <v>35</v>
      </c>
    </row>
    <row r="1761" customFormat="false" ht="15" hidden="false" customHeight="false" outlineLevel="0" collapsed="false">
      <c r="A1761" s="11" t="n">
        <v>45956</v>
      </c>
      <c r="B1761" s="12" t="n">
        <v>5.9</v>
      </c>
      <c r="C1761" s="12" t="n">
        <f aca="false">IF(NOT(ISNUMBER(B1761)),"",ROUND((INDEX(BP!$D$5:$D$9,MATCH(B1761,BP!$A$5:$A$9,1))-INDEX(BP!$C$5:$C$9,MATCH(B1761,BP!$A$5:$A$9,1)))/(INDEX(BP!$B$5:$B$9,MATCH(B1761,BP!$A$5:$A$9,1))-INDEX(BP!$A$5:$A$9,MATCH(B1761,BP!$A$5:$A$9,1)))*(B1761-INDEX(BP!$A$5:$A$9,MATCH(B1761,BP!$A$5:$A$9,1)))+INDEX(BP!$C$5:$C$9,MATCH(B1761,BP!$A$5:$A$9,1)),0))</f>
        <v>10</v>
      </c>
      <c r="D1761" s="12" t="str">
        <f aca="false">IF(NOT(ISNUMBER(C1761)),"",INDEX(BP!$F$5:$F$9,MATCH(C1761,BP!$E$5:$E$9,1)))</f>
        <v>ดีมาก</v>
      </c>
      <c r="E1761" s="12" t="n">
        <f aca="false">YEAR(A1761)</f>
        <v>2025</v>
      </c>
      <c r="F1761" s="12" t="n">
        <f aca="false">MONTH(A1761)</f>
        <v>10</v>
      </c>
      <c r="G1761" s="12" t="n">
        <v>11.5</v>
      </c>
      <c r="H1761" s="12" t="n">
        <v>28.8</v>
      </c>
      <c r="I1761" s="12" t="n">
        <v>293</v>
      </c>
      <c r="J1761" s="12" t="n">
        <v>4.6</v>
      </c>
      <c r="K1761" s="12" t="n">
        <v>10</v>
      </c>
      <c r="L1761" s="12" t="s">
        <v>35</v>
      </c>
    </row>
    <row r="1762" customFormat="false" ht="15" hidden="false" customHeight="false" outlineLevel="0" collapsed="false">
      <c r="A1762" s="11" t="n">
        <v>45957</v>
      </c>
      <c r="B1762" s="12" t="n">
        <v>6.9</v>
      </c>
      <c r="C1762" s="12" t="n">
        <f aca="false">IF(NOT(ISNUMBER(B1762)),"",ROUND((INDEX(BP!$D$5:$D$9,MATCH(B1762,BP!$A$5:$A$9,1))-INDEX(BP!$C$5:$C$9,MATCH(B1762,BP!$A$5:$A$9,1)))/(INDEX(BP!$B$5:$B$9,MATCH(B1762,BP!$A$5:$A$9,1))-INDEX(BP!$A$5:$A$9,MATCH(B1762,BP!$A$5:$A$9,1)))*(B1762-INDEX(BP!$A$5:$A$9,MATCH(B1762,BP!$A$5:$A$9,1)))+INDEX(BP!$C$5:$C$9,MATCH(B1762,BP!$A$5:$A$9,1)),0))</f>
        <v>12</v>
      </c>
      <c r="D1762" s="12" t="str">
        <f aca="false">IF(NOT(ISNUMBER(C1762)),"",INDEX(BP!$F$5:$F$9,MATCH(C1762,BP!$E$5:$E$9,1)))</f>
        <v>ดีมาก</v>
      </c>
      <c r="E1762" s="12" t="n">
        <f aca="false">YEAR(A1762)</f>
        <v>2025</v>
      </c>
      <c r="F1762" s="12" t="n">
        <f aca="false">MONTH(A1762)</f>
        <v>10</v>
      </c>
      <c r="G1762" s="12" t="n">
        <v>12.3</v>
      </c>
      <c r="H1762" s="12" t="n">
        <v>29.2</v>
      </c>
      <c r="I1762" s="12" t="n">
        <v>306</v>
      </c>
      <c r="J1762" s="12" t="n">
        <v>13.8</v>
      </c>
      <c r="K1762" s="12" t="n">
        <v>0</v>
      </c>
      <c r="L1762" s="12" t="s">
        <v>36</v>
      </c>
    </row>
    <row r="1763" customFormat="false" ht="15" hidden="false" customHeight="false" outlineLevel="0" collapsed="false">
      <c r="A1763" s="11" t="n">
        <v>45958</v>
      </c>
      <c r="B1763" s="12" t="n">
        <v>8</v>
      </c>
      <c r="C1763" s="12" t="n">
        <f aca="false">IF(NOT(ISNUMBER(B1763)),"",ROUND((INDEX(BP!$D$5:$D$9,MATCH(B1763,BP!$A$5:$A$9,1))-INDEX(BP!$C$5:$C$9,MATCH(B1763,BP!$A$5:$A$9,1)))/(INDEX(BP!$B$5:$B$9,MATCH(B1763,BP!$A$5:$A$9,1))-INDEX(BP!$A$5:$A$9,MATCH(B1763,BP!$A$5:$A$9,1)))*(B1763-INDEX(BP!$A$5:$A$9,MATCH(B1763,BP!$A$5:$A$9,1)))+INDEX(BP!$C$5:$C$9,MATCH(B1763,BP!$A$5:$A$9,1)),0))</f>
        <v>13</v>
      </c>
      <c r="D1763" s="12" t="str">
        <f aca="false">IF(NOT(ISNUMBER(C1763)),"",INDEX(BP!$F$5:$F$9,MATCH(C1763,BP!$E$5:$E$9,1)))</f>
        <v>ดีมาก</v>
      </c>
      <c r="E1763" s="12" t="n">
        <f aca="false">YEAR(A1763)</f>
        <v>2025</v>
      </c>
      <c r="F1763" s="12" t="n">
        <f aca="false">MONTH(A1763)</f>
        <v>10</v>
      </c>
      <c r="G1763" s="12" t="n">
        <v>14.1</v>
      </c>
      <c r="H1763" s="12" t="n">
        <v>34.2</v>
      </c>
      <c r="I1763" s="12" t="n">
        <v>293</v>
      </c>
      <c r="J1763" s="12" t="n">
        <v>0.4</v>
      </c>
      <c r="K1763" s="12" t="n">
        <v>0</v>
      </c>
      <c r="L1763" s="12" t="s">
        <v>36</v>
      </c>
    </row>
    <row r="1764" customFormat="false" ht="15" hidden="false" customHeight="false" outlineLevel="0" collapsed="false">
      <c r="A1764" s="11" t="n">
        <v>45959</v>
      </c>
      <c r="B1764" s="12" t="n">
        <v>7.4</v>
      </c>
      <c r="C1764" s="12" t="n">
        <f aca="false">IF(NOT(ISNUMBER(B1764)),"",ROUND((INDEX(BP!$D$5:$D$9,MATCH(B1764,BP!$A$5:$A$9,1))-INDEX(BP!$C$5:$C$9,MATCH(B1764,BP!$A$5:$A$9,1)))/(INDEX(BP!$B$5:$B$9,MATCH(B1764,BP!$A$5:$A$9,1))-INDEX(BP!$A$5:$A$9,MATCH(B1764,BP!$A$5:$A$9,1)))*(B1764-INDEX(BP!$A$5:$A$9,MATCH(B1764,BP!$A$5:$A$9,1)))+INDEX(BP!$C$5:$C$9,MATCH(B1764,BP!$A$5:$A$9,1)),0))</f>
        <v>12</v>
      </c>
      <c r="D1764" s="12" t="str">
        <f aca="false">IF(NOT(ISNUMBER(C1764)),"",INDEX(BP!$F$5:$F$9,MATCH(C1764,BP!$E$5:$E$9,1)))</f>
        <v>ดีมาก</v>
      </c>
      <c r="E1764" s="12" t="n">
        <f aca="false">YEAR(A1764)</f>
        <v>2025</v>
      </c>
      <c r="F1764" s="12" t="n">
        <f aca="false">MONTH(A1764)</f>
        <v>10</v>
      </c>
      <c r="G1764" s="12" t="n">
        <v>15.6</v>
      </c>
      <c r="H1764" s="12" t="n">
        <v>32.4</v>
      </c>
      <c r="I1764" s="12" t="n">
        <v>261</v>
      </c>
      <c r="J1764" s="12" t="n">
        <v>3.7</v>
      </c>
      <c r="K1764" s="12" t="n">
        <v>0.6</v>
      </c>
      <c r="L1764" s="12" t="s">
        <v>36</v>
      </c>
    </row>
    <row r="1765" customFormat="false" ht="15" hidden="false" customHeight="false" outlineLevel="0" collapsed="false">
      <c r="A1765" s="11" t="n">
        <v>45960</v>
      </c>
      <c r="B1765" s="12" t="n">
        <v>6.1</v>
      </c>
      <c r="C1765" s="12" t="n">
        <f aca="false">IF(NOT(ISNUMBER(B1765)),"",ROUND((INDEX(BP!$D$5:$D$9,MATCH(B1765,BP!$A$5:$A$9,1))-INDEX(BP!$C$5:$C$9,MATCH(B1765,BP!$A$5:$A$9,1)))/(INDEX(BP!$B$5:$B$9,MATCH(B1765,BP!$A$5:$A$9,1))-INDEX(BP!$A$5:$A$9,MATCH(B1765,BP!$A$5:$A$9,1)))*(B1765-INDEX(BP!$A$5:$A$9,MATCH(B1765,BP!$A$5:$A$9,1)))+INDEX(BP!$C$5:$C$9,MATCH(B1765,BP!$A$5:$A$9,1)),0))</f>
        <v>10</v>
      </c>
      <c r="D1765" s="12" t="str">
        <f aca="false">IF(NOT(ISNUMBER(C1765)),"",INDEX(BP!$F$5:$F$9,MATCH(C1765,BP!$E$5:$E$9,1)))</f>
        <v>ดีมาก</v>
      </c>
      <c r="E1765" s="12" t="n">
        <f aca="false">YEAR(A1765)</f>
        <v>2025</v>
      </c>
      <c r="F1765" s="12" t="n">
        <f aca="false">MONTH(A1765)</f>
        <v>10</v>
      </c>
      <c r="G1765" s="12" t="n">
        <v>20.5</v>
      </c>
      <c r="H1765" s="12" t="n">
        <v>42.1</v>
      </c>
      <c r="I1765" s="12" t="n">
        <v>228</v>
      </c>
      <c r="J1765" s="12" t="n">
        <v>16.1</v>
      </c>
      <c r="K1765" s="12" t="n">
        <v>23.8</v>
      </c>
      <c r="L1765" s="12" t="s">
        <v>36</v>
      </c>
    </row>
    <row r="1766" customFormat="false" ht="15" hidden="false" customHeight="false" outlineLevel="0" collapsed="false">
      <c r="A1766" s="11" t="n">
        <v>45961</v>
      </c>
      <c r="B1766" s="12" t="n">
        <v>5.5</v>
      </c>
      <c r="C1766" s="12" t="n">
        <f aca="false">IF(NOT(ISNUMBER(B1766)),"",ROUND((INDEX(BP!$D$5:$D$9,MATCH(B1766,BP!$A$5:$A$9,1))-INDEX(BP!$C$5:$C$9,MATCH(B1766,BP!$A$5:$A$9,1)))/(INDEX(BP!$B$5:$B$9,MATCH(B1766,BP!$A$5:$A$9,1))-INDEX(BP!$A$5:$A$9,MATCH(B1766,BP!$A$5:$A$9,1)))*(B1766-INDEX(BP!$A$5:$A$9,MATCH(B1766,BP!$A$5:$A$9,1)))+INDEX(BP!$C$5:$C$9,MATCH(B1766,BP!$A$5:$A$9,1)),0))</f>
        <v>9</v>
      </c>
      <c r="D1766" s="12" t="str">
        <f aca="false">IF(NOT(ISNUMBER(C1766)),"",INDEX(BP!$F$5:$F$9,MATCH(C1766,BP!$E$5:$E$9,1)))</f>
        <v>ดีมาก</v>
      </c>
      <c r="E1766" s="12" t="n">
        <f aca="false">YEAR(A1766)</f>
        <v>2025</v>
      </c>
      <c r="F1766" s="12" t="n">
        <f aca="false">MONTH(A1766)</f>
        <v>10</v>
      </c>
      <c r="G1766" s="12" t="n">
        <v>16.1</v>
      </c>
      <c r="H1766" s="12" t="n">
        <v>33.1</v>
      </c>
      <c r="I1766" s="12" t="n">
        <v>227</v>
      </c>
      <c r="J1766" s="12" t="n">
        <v>7.5</v>
      </c>
      <c r="K1766" s="12" t="n">
        <v>3.2</v>
      </c>
      <c r="L1766" s="12" t="s">
        <v>36</v>
      </c>
    </row>
    <row r="1767" customFormat="false" ht="15" hidden="false" customHeight="false" outlineLevel="0" collapsed="false">
      <c r="A1767" s="11" t="n">
        <v>45962</v>
      </c>
      <c r="B1767" s="12" t="n">
        <v>6.9</v>
      </c>
      <c r="C1767" s="12" t="n">
        <f aca="false">IF(NOT(ISNUMBER(B1767)),"",ROUND((INDEX(BP!$D$5:$D$9,MATCH(B1767,BP!$A$5:$A$9,1))-INDEX(BP!$C$5:$C$9,MATCH(B1767,BP!$A$5:$A$9,1)))/(INDEX(BP!$B$5:$B$9,MATCH(B1767,BP!$A$5:$A$9,1))-INDEX(BP!$A$5:$A$9,MATCH(B1767,BP!$A$5:$A$9,1)))*(B1767-INDEX(BP!$A$5:$A$9,MATCH(B1767,BP!$A$5:$A$9,1)))+INDEX(BP!$C$5:$C$9,MATCH(B1767,BP!$A$5:$A$9,1)),0))</f>
        <v>12</v>
      </c>
      <c r="D1767" s="12" t="str">
        <f aca="false">IF(NOT(ISNUMBER(C1767)),"",INDEX(BP!$F$5:$F$9,MATCH(C1767,BP!$E$5:$E$9,1)))</f>
        <v>ดีมาก</v>
      </c>
      <c r="E1767" s="12" t="n">
        <f aca="false">YEAR(A1767)</f>
        <v>2025</v>
      </c>
      <c r="F1767" s="12" t="n">
        <f aca="false">MONTH(A1767)</f>
        <v>11</v>
      </c>
      <c r="G1767" s="12" t="n">
        <v>14.1</v>
      </c>
      <c r="H1767" s="12" t="n">
        <v>29.2</v>
      </c>
      <c r="I1767" s="12" t="n">
        <v>263</v>
      </c>
      <c r="J1767" s="12" t="n">
        <v>2.5</v>
      </c>
      <c r="K1767" s="12" t="n">
        <v>0</v>
      </c>
      <c r="L1767" s="12" t="s">
        <v>35</v>
      </c>
    </row>
    <row r="1768" customFormat="false" ht="15" hidden="false" customHeight="false" outlineLevel="0" collapsed="false">
      <c r="A1768" s="11" t="n">
        <v>45963</v>
      </c>
      <c r="B1768" s="12" t="n">
        <v>9.6</v>
      </c>
      <c r="C1768" s="12" t="n">
        <f aca="false">IF(NOT(ISNUMBER(B1768)),"",ROUND((INDEX(BP!$D$5:$D$9,MATCH(B1768,BP!$A$5:$A$9,1))-INDEX(BP!$C$5:$C$9,MATCH(B1768,BP!$A$5:$A$9,1)))/(INDEX(BP!$B$5:$B$9,MATCH(B1768,BP!$A$5:$A$9,1))-INDEX(BP!$A$5:$A$9,MATCH(B1768,BP!$A$5:$A$9,1)))*(B1768-INDEX(BP!$A$5:$A$9,MATCH(B1768,BP!$A$5:$A$9,1)))+INDEX(BP!$C$5:$C$9,MATCH(B1768,BP!$A$5:$A$9,1)),0))</f>
        <v>16</v>
      </c>
      <c r="D1768" s="12" t="str">
        <f aca="false">IF(NOT(ISNUMBER(C1768)),"",INDEX(BP!$F$5:$F$9,MATCH(C1768,BP!$E$5:$E$9,1)))</f>
        <v>ดีมาก</v>
      </c>
      <c r="E1768" s="12" t="n">
        <f aca="false">YEAR(A1768)</f>
        <v>2025</v>
      </c>
      <c r="F1768" s="12" t="n">
        <f aca="false">MONTH(A1768)</f>
        <v>11</v>
      </c>
      <c r="G1768" s="12" t="n">
        <v>10</v>
      </c>
      <c r="H1768" s="12" t="n">
        <v>24.8</v>
      </c>
      <c r="I1768" s="12" t="n">
        <v>354</v>
      </c>
      <c r="J1768" s="12" t="n">
        <v>14.7</v>
      </c>
      <c r="K1768" s="12" t="n">
        <v>0.8</v>
      </c>
      <c r="L1768" s="12" t="s">
        <v>35</v>
      </c>
    </row>
    <row r="1769" customFormat="false" ht="15" hidden="false" customHeight="false" outlineLevel="0" collapsed="false">
      <c r="A1769" s="11" t="n">
        <v>45964</v>
      </c>
      <c r="B1769" s="12" t="n">
        <v>7</v>
      </c>
      <c r="C1769" s="12" t="n">
        <f aca="false">IF(NOT(ISNUMBER(B1769)),"",ROUND((INDEX(BP!$D$5:$D$9,MATCH(B1769,BP!$A$5:$A$9,1))-INDEX(BP!$C$5:$C$9,MATCH(B1769,BP!$A$5:$A$9,1)))/(INDEX(BP!$B$5:$B$9,MATCH(B1769,BP!$A$5:$A$9,1))-INDEX(BP!$A$5:$A$9,MATCH(B1769,BP!$A$5:$A$9,1)))*(B1769-INDEX(BP!$A$5:$A$9,MATCH(B1769,BP!$A$5:$A$9,1)))+INDEX(BP!$C$5:$C$9,MATCH(B1769,BP!$A$5:$A$9,1)),0))</f>
        <v>12</v>
      </c>
      <c r="D1769" s="12" t="str">
        <f aca="false">IF(NOT(ISNUMBER(C1769)),"",INDEX(BP!$F$5:$F$9,MATCH(C1769,BP!$E$5:$E$9,1)))</f>
        <v>ดีมาก</v>
      </c>
      <c r="E1769" s="12" t="n">
        <f aca="false">YEAR(A1769)</f>
        <v>2025</v>
      </c>
      <c r="F1769" s="12" t="n">
        <f aca="false">MONTH(A1769)</f>
        <v>11</v>
      </c>
      <c r="G1769" s="12" t="n">
        <v>17.1</v>
      </c>
      <c r="H1769" s="12" t="n">
        <v>38.5</v>
      </c>
      <c r="I1769" s="12" t="n">
        <v>260</v>
      </c>
      <c r="J1769" s="12" t="n">
        <v>8.2</v>
      </c>
      <c r="K1769" s="12" t="n">
        <v>0</v>
      </c>
      <c r="L1769" s="12" t="s">
        <v>36</v>
      </c>
    </row>
    <row r="1770" customFormat="false" ht="15" hidden="false" customHeight="false" outlineLevel="0" collapsed="false">
      <c r="A1770" s="11" t="n">
        <v>45965</v>
      </c>
      <c r="B1770" s="12" t="n">
        <v>7.4</v>
      </c>
      <c r="C1770" s="12" t="n">
        <f aca="false">IF(NOT(ISNUMBER(B1770)),"",ROUND((INDEX(BP!$D$5:$D$9,MATCH(B1770,BP!$A$5:$A$9,1))-INDEX(BP!$C$5:$C$9,MATCH(B1770,BP!$A$5:$A$9,1)))/(INDEX(BP!$B$5:$B$9,MATCH(B1770,BP!$A$5:$A$9,1))-INDEX(BP!$A$5:$A$9,MATCH(B1770,BP!$A$5:$A$9,1)))*(B1770-INDEX(BP!$A$5:$A$9,MATCH(B1770,BP!$A$5:$A$9,1)))+INDEX(BP!$C$5:$C$9,MATCH(B1770,BP!$A$5:$A$9,1)),0))</f>
        <v>12</v>
      </c>
      <c r="D1770" s="12" t="str">
        <f aca="false">IF(NOT(ISNUMBER(C1770)),"",INDEX(BP!$F$5:$F$9,MATCH(C1770,BP!$E$5:$E$9,1)))</f>
        <v>ดีมาก</v>
      </c>
      <c r="E1770" s="12" t="n">
        <f aca="false">YEAR(A1770)</f>
        <v>2025</v>
      </c>
      <c r="F1770" s="12" t="n">
        <f aca="false">MONTH(A1770)</f>
        <v>11</v>
      </c>
      <c r="G1770" s="12" t="n">
        <v>13.7</v>
      </c>
      <c r="H1770" s="12" t="n">
        <v>31.3</v>
      </c>
      <c r="I1770" s="12" t="n">
        <v>261</v>
      </c>
      <c r="J1770" s="12" t="n">
        <v>0</v>
      </c>
      <c r="K1770" s="12" t="n">
        <v>0.2</v>
      </c>
      <c r="L1770" s="12" t="s">
        <v>36</v>
      </c>
    </row>
    <row r="1771" customFormat="false" ht="15" hidden="false" customHeight="false" outlineLevel="0" collapsed="false">
      <c r="A1771" s="11" t="n">
        <v>45966</v>
      </c>
      <c r="B1771" s="12" t="n">
        <v>8.1</v>
      </c>
      <c r="C1771" s="12" t="n">
        <f aca="false">IF(NOT(ISNUMBER(B1771)),"",ROUND((INDEX(BP!$D$5:$D$9,MATCH(B1771,BP!$A$5:$A$9,1))-INDEX(BP!$C$5:$C$9,MATCH(B1771,BP!$A$5:$A$9,1)))/(INDEX(BP!$B$5:$B$9,MATCH(B1771,BP!$A$5:$A$9,1))-INDEX(BP!$A$5:$A$9,MATCH(B1771,BP!$A$5:$A$9,1)))*(B1771-INDEX(BP!$A$5:$A$9,MATCH(B1771,BP!$A$5:$A$9,1)))+INDEX(BP!$C$5:$C$9,MATCH(B1771,BP!$A$5:$A$9,1)),0))</f>
        <v>14</v>
      </c>
      <c r="D1771" s="12" t="str">
        <f aca="false">IF(NOT(ISNUMBER(C1771)),"",INDEX(BP!$F$5:$F$9,MATCH(C1771,BP!$E$5:$E$9,1)))</f>
        <v>ดีมาก</v>
      </c>
      <c r="E1771" s="12" t="n">
        <f aca="false">YEAR(A1771)</f>
        <v>2025</v>
      </c>
      <c r="F1771" s="12" t="n">
        <f aca="false">MONTH(A1771)</f>
        <v>11</v>
      </c>
      <c r="G1771" s="12" t="n">
        <v>15</v>
      </c>
      <c r="H1771" s="12" t="n">
        <v>32.4</v>
      </c>
      <c r="I1771" s="12" t="n">
        <v>266</v>
      </c>
      <c r="J1771" s="12" t="n">
        <v>2.3</v>
      </c>
      <c r="K1771" s="12" t="n">
        <v>0.8</v>
      </c>
      <c r="L1771" s="12" t="s">
        <v>36</v>
      </c>
    </row>
    <row r="1772" customFormat="false" ht="15" hidden="false" customHeight="false" outlineLevel="0" collapsed="false">
      <c r="A1772" s="11" t="n">
        <v>45967</v>
      </c>
      <c r="B1772" s="12" t="n">
        <v>6.8</v>
      </c>
      <c r="C1772" s="12" t="n">
        <f aca="false">IF(NOT(ISNUMBER(B1772)),"",ROUND((INDEX(BP!$D$5:$D$9,MATCH(B1772,BP!$A$5:$A$9,1))-INDEX(BP!$C$5:$C$9,MATCH(B1772,BP!$A$5:$A$9,1)))/(INDEX(BP!$B$5:$B$9,MATCH(B1772,BP!$A$5:$A$9,1))-INDEX(BP!$A$5:$A$9,MATCH(B1772,BP!$A$5:$A$9,1)))*(B1772-INDEX(BP!$A$5:$A$9,MATCH(B1772,BP!$A$5:$A$9,1)))+INDEX(BP!$C$5:$C$9,MATCH(B1772,BP!$A$5:$A$9,1)),0))</f>
        <v>11</v>
      </c>
      <c r="D1772" s="12" t="str">
        <f aca="false">IF(NOT(ISNUMBER(C1772)),"",INDEX(BP!$F$5:$F$9,MATCH(C1772,BP!$E$5:$E$9,1)))</f>
        <v>ดีมาก</v>
      </c>
      <c r="E1772" s="12" t="n">
        <f aca="false">YEAR(A1772)</f>
        <v>2025</v>
      </c>
      <c r="F1772" s="12" t="n">
        <f aca="false">MONTH(A1772)</f>
        <v>11</v>
      </c>
      <c r="G1772" s="12" t="n">
        <v>18.6</v>
      </c>
      <c r="H1772" s="12" t="n">
        <v>41.4</v>
      </c>
      <c r="I1772" s="12" t="n">
        <v>251</v>
      </c>
      <c r="J1772" s="12" t="n">
        <v>17.8</v>
      </c>
      <c r="K1772" s="12" t="n">
        <v>21</v>
      </c>
      <c r="L1772" s="12" t="s">
        <v>36</v>
      </c>
    </row>
    <row r="1773" customFormat="false" ht="15" hidden="false" customHeight="false" outlineLevel="0" collapsed="false">
      <c r="A1773" s="11" t="n">
        <v>45968</v>
      </c>
      <c r="B1773" s="12" t="n">
        <v>7</v>
      </c>
      <c r="C1773" s="12" t="n">
        <f aca="false">IF(NOT(ISNUMBER(B1773)),"",ROUND((INDEX(BP!$D$5:$D$9,MATCH(B1773,BP!$A$5:$A$9,1))-INDEX(BP!$C$5:$C$9,MATCH(B1773,BP!$A$5:$A$9,1)))/(INDEX(BP!$B$5:$B$9,MATCH(B1773,BP!$A$5:$A$9,1))-INDEX(BP!$A$5:$A$9,MATCH(B1773,BP!$A$5:$A$9,1)))*(B1773-INDEX(BP!$A$5:$A$9,MATCH(B1773,BP!$A$5:$A$9,1)))+INDEX(BP!$C$5:$C$9,MATCH(B1773,BP!$A$5:$A$9,1)),0))</f>
        <v>12</v>
      </c>
      <c r="D1773" s="12" t="str">
        <f aca="false">IF(NOT(ISNUMBER(C1773)),"",INDEX(BP!$F$5:$F$9,MATCH(C1773,BP!$E$5:$E$9,1)))</f>
        <v>ดีมาก</v>
      </c>
      <c r="E1773" s="12" t="n">
        <f aca="false">YEAR(A1773)</f>
        <v>2025</v>
      </c>
      <c r="F1773" s="12" t="n">
        <f aca="false">MONTH(A1773)</f>
        <v>11</v>
      </c>
      <c r="G1773" s="12" t="n">
        <v>21.5</v>
      </c>
      <c r="H1773" s="12" t="n">
        <v>47.2</v>
      </c>
      <c r="I1773" s="12" t="n">
        <v>243</v>
      </c>
      <c r="J1773" s="12" t="n">
        <v>5.9</v>
      </c>
      <c r="K1773" s="12" t="n">
        <v>0.8</v>
      </c>
      <c r="L1773" s="12" t="s">
        <v>36</v>
      </c>
    </row>
    <row r="1774" customFormat="false" ht="15" hidden="false" customHeight="false" outlineLevel="0" collapsed="false">
      <c r="A1774" s="11" t="n">
        <v>45969</v>
      </c>
      <c r="B1774" s="12" t="n">
        <v>8.2</v>
      </c>
      <c r="C1774" s="12" t="n">
        <f aca="false">IF(NOT(ISNUMBER(B1774)),"",ROUND((INDEX(BP!$D$5:$D$9,MATCH(B1774,BP!$A$5:$A$9,1))-INDEX(BP!$C$5:$C$9,MATCH(B1774,BP!$A$5:$A$9,1)))/(INDEX(BP!$B$5:$B$9,MATCH(B1774,BP!$A$5:$A$9,1))-INDEX(BP!$A$5:$A$9,MATCH(B1774,BP!$A$5:$A$9,1)))*(B1774-INDEX(BP!$A$5:$A$9,MATCH(B1774,BP!$A$5:$A$9,1)))+INDEX(BP!$C$5:$C$9,MATCH(B1774,BP!$A$5:$A$9,1)),0))</f>
        <v>14</v>
      </c>
      <c r="D1774" s="12" t="str">
        <f aca="false">IF(NOT(ISNUMBER(C1774)),"",INDEX(BP!$F$5:$F$9,MATCH(C1774,BP!$E$5:$E$9,1)))</f>
        <v>ดีมาก</v>
      </c>
      <c r="E1774" s="12" t="n">
        <f aca="false">YEAR(A1774)</f>
        <v>2025</v>
      </c>
      <c r="F1774" s="12" t="n">
        <f aca="false">MONTH(A1774)</f>
        <v>11</v>
      </c>
      <c r="G1774" s="12" t="n">
        <v>15.8</v>
      </c>
      <c r="H1774" s="12" t="n">
        <v>37.8</v>
      </c>
      <c r="I1774" s="12" t="n">
        <v>234</v>
      </c>
      <c r="J1774" s="12" t="n">
        <v>4.6</v>
      </c>
      <c r="K1774" s="12" t="n">
        <v>0.2</v>
      </c>
      <c r="L1774" s="12" t="s">
        <v>35</v>
      </c>
    </row>
    <row r="1775" customFormat="false" ht="15" hidden="false" customHeight="false" outlineLevel="0" collapsed="false">
      <c r="A1775" s="11" t="n">
        <v>45970</v>
      </c>
      <c r="B1775" s="12" t="n">
        <v>11.7</v>
      </c>
      <c r="C1775" s="12" t="n">
        <f aca="false">IF(NOT(ISNUMBER(B1775)),"",ROUND((INDEX(BP!$D$5:$D$9,MATCH(B1775,BP!$A$5:$A$9,1))-INDEX(BP!$C$5:$C$9,MATCH(B1775,BP!$A$5:$A$9,1)))/(INDEX(BP!$B$5:$B$9,MATCH(B1775,BP!$A$5:$A$9,1))-INDEX(BP!$A$5:$A$9,MATCH(B1775,BP!$A$5:$A$9,1)))*(B1775-INDEX(BP!$A$5:$A$9,MATCH(B1775,BP!$A$5:$A$9,1)))+INDEX(BP!$C$5:$C$9,MATCH(B1775,BP!$A$5:$A$9,1)),0))</f>
        <v>20</v>
      </c>
      <c r="D1775" s="12" t="str">
        <f aca="false">IF(NOT(ISNUMBER(C1775)),"",INDEX(BP!$F$5:$F$9,MATCH(C1775,BP!$E$5:$E$9,1)))</f>
        <v>ดีมาก</v>
      </c>
      <c r="E1775" s="12" t="n">
        <f aca="false">YEAR(A1775)</f>
        <v>2025</v>
      </c>
      <c r="F1775" s="12" t="n">
        <f aca="false">MONTH(A1775)</f>
        <v>11</v>
      </c>
      <c r="G1775" s="12" t="n">
        <v>11.1</v>
      </c>
      <c r="H1775" s="12" t="n">
        <v>25.9</v>
      </c>
      <c r="I1775" s="12" t="n">
        <v>221</v>
      </c>
      <c r="J1775" s="12" t="n">
        <v>2.7</v>
      </c>
      <c r="K1775" s="12" t="n">
        <v>10.8</v>
      </c>
      <c r="L1775" s="12" t="s">
        <v>35</v>
      </c>
    </row>
    <row r="1776" customFormat="false" ht="15" hidden="false" customHeight="false" outlineLevel="0" collapsed="false">
      <c r="A1776" s="11" t="n">
        <v>45971</v>
      </c>
      <c r="B1776" s="12" t="n">
        <v>14</v>
      </c>
      <c r="C1776" s="12" t="n">
        <f aca="false">IF(NOT(ISNUMBER(B1776)),"",ROUND((INDEX(BP!$D$5:$D$9,MATCH(B1776,BP!$A$5:$A$9,1))-INDEX(BP!$C$5:$C$9,MATCH(B1776,BP!$A$5:$A$9,1)))/(INDEX(BP!$B$5:$B$9,MATCH(B1776,BP!$A$5:$A$9,1))-INDEX(BP!$A$5:$A$9,MATCH(B1776,BP!$A$5:$A$9,1)))*(B1776-INDEX(BP!$A$5:$A$9,MATCH(B1776,BP!$A$5:$A$9,1)))+INDEX(BP!$C$5:$C$9,MATCH(B1776,BP!$A$5:$A$9,1)),0))</f>
        <v>23</v>
      </c>
      <c r="D1776" s="12" t="str">
        <f aca="false">IF(NOT(ISNUMBER(C1776)),"",INDEX(BP!$F$5:$F$9,MATCH(C1776,BP!$E$5:$E$9,1)))</f>
        <v>ดีมาก</v>
      </c>
      <c r="E1776" s="12" t="n">
        <f aca="false">YEAR(A1776)</f>
        <v>2025</v>
      </c>
      <c r="F1776" s="12" t="n">
        <f aca="false">MONTH(A1776)</f>
        <v>11</v>
      </c>
      <c r="G1776" s="12" t="n">
        <v>14.7</v>
      </c>
      <c r="H1776" s="12" t="n">
        <v>34.9</v>
      </c>
      <c r="I1776" s="12" t="n">
        <v>255</v>
      </c>
      <c r="J1776" s="12" t="n">
        <v>10.4</v>
      </c>
      <c r="K1776" s="12" t="n">
        <v>0</v>
      </c>
      <c r="L1776" s="12" t="s">
        <v>36</v>
      </c>
    </row>
    <row r="1777" customFormat="false" ht="15" hidden="false" customHeight="false" outlineLevel="0" collapsed="false">
      <c r="A1777" s="11" t="n">
        <v>45972</v>
      </c>
      <c r="B1777" s="12" t="n">
        <v>16.4</v>
      </c>
      <c r="C1777" s="12" t="n">
        <f aca="false">IF(NOT(ISNUMBER(B1777)),"",ROUND((INDEX(BP!$D$5:$D$9,MATCH(B1777,BP!$A$5:$A$9,1))-INDEX(BP!$C$5:$C$9,MATCH(B1777,BP!$A$5:$A$9,1)))/(INDEX(BP!$B$5:$B$9,MATCH(B1777,BP!$A$5:$A$9,1))-INDEX(BP!$A$5:$A$9,MATCH(B1777,BP!$A$5:$A$9,1)))*(B1777-INDEX(BP!$A$5:$A$9,MATCH(B1777,BP!$A$5:$A$9,1)))+INDEX(BP!$C$5:$C$9,MATCH(B1777,BP!$A$5:$A$9,1)),0))</f>
        <v>29</v>
      </c>
      <c r="D1777" s="12" t="str">
        <f aca="false">IF(NOT(ISNUMBER(C1777)),"",INDEX(BP!$F$5:$F$9,MATCH(C1777,BP!$E$5:$E$9,1)))</f>
        <v>ดี</v>
      </c>
      <c r="E1777" s="12" t="n">
        <f aca="false">YEAR(A1777)</f>
        <v>2025</v>
      </c>
      <c r="F1777" s="12" t="n">
        <f aca="false">MONTH(A1777)</f>
        <v>11</v>
      </c>
      <c r="G1777" s="12" t="n">
        <v>12.5</v>
      </c>
      <c r="H1777" s="12" t="n">
        <v>29.9</v>
      </c>
      <c r="I1777" s="12" t="n">
        <v>246</v>
      </c>
      <c r="J1777" s="12" t="n">
        <v>6.8</v>
      </c>
      <c r="K1777" s="12" t="n">
        <v>2.4</v>
      </c>
      <c r="L1777" s="12" t="s">
        <v>36</v>
      </c>
    </row>
    <row r="1778" customFormat="false" ht="15" hidden="false" customHeight="false" outlineLevel="0" collapsed="false">
      <c r="A1778" s="11" t="n">
        <v>45973</v>
      </c>
      <c r="B1778" s="12" t="n">
        <v>14</v>
      </c>
      <c r="C1778" s="12" t="n">
        <f aca="false">IF(NOT(ISNUMBER(B1778)),"",ROUND((INDEX(BP!$D$5:$D$9,MATCH(B1778,BP!$A$5:$A$9,1))-INDEX(BP!$C$5:$C$9,MATCH(B1778,BP!$A$5:$A$9,1)))/(INDEX(BP!$B$5:$B$9,MATCH(B1778,BP!$A$5:$A$9,1))-INDEX(BP!$A$5:$A$9,MATCH(B1778,BP!$A$5:$A$9,1)))*(B1778-INDEX(BP!$A$5:$A$9,MATCH(B1778,BP!$A$5:$A$9,1)))+INDEX(BP!$C$5:$C$9,MATCH(B1778,BP!$A$5:$A$9,1)),0))</f>
        <v>23</v>
      </c>
      <c r="D1778" s="12" t="str">
        <f aca="false">IF(NOT(ISNUMBER(C1778)),"",INDEX(BP!$F$5:$F$9,MATCH(C1778,BP!$E$5:$E$9,1)))</f>
        <v>ดีมาก</v>
      </c>
      <c r="E1778" s="12" t="n">
        <f aca="false">YEAR(A1778)</f>
        <v>2025</v>
      </c>
      <c r="F1778" s="12" t="n">
        <f aca="false">MONTH(A1778)</f>
        <v>11</v>
      </c>
      <c r="G1778" s="12" t="n">
        <v>10.7</v>
      </c>
      <c r="H1778" s="12" t="n">
        <v>28.8</v>
      </c>
      <c r="I1778" s="12" t="n">
        <v>194</v>
      </c>
      <c r="J1778" s="12" t="n">
        <v>1.1</v>
      </c>
      <c r="K1778" s="12" t="n">
        <v>2</v>
      </c>
      <c r="L1778" s="12" t="s">
        <v>36</v>
      </c>
    </row>
    <row r="1779" customFormat="false" ht="15" hidden="false" customHeight="false" outlineLevel="0" collapsed="false">
      <c r="A1779" s="11" t="n">
        <v>45974</v>
      </c>
      <c r="B1779" s="12" t="n">
        <v>10.4</v>
      </c>
      <c r="C1779" s="12" t="n">
        <f aca="false">IF(NOT(ISNUMBER(B1779)),"",ROUND((INDEX(BP!$D$5:$D$9,MATCH(B1779,BP!$A$5:$A$9,1))-INDEX(BP!$C$5:$C$9,MATCH(B1779,BP!$A$5:$A$9,1)))/(INDEX(BP!$B$5:$B$9,MATCH(B1779,BP!$A$5:$A$9,1))-INDEX(BP!$A$5:$A$9,MATCH(B1779,BP!$A$5:$A$9,1)))*(B1779-INDEX(BP!$A$5:$A$9,MATCH(B1779,BP!$A$5:$A$9,1)))+INDEX(BP!$C$5:$C$9,MATCH(B1779,BP!$A$5:$A$9,1)),0))</f>
        <v>17</v>
      </c>
      <c r="D1779" s="12" t="str">
        <f aca="false">IF(NOT(ISNUMBER(C1779)),"",INDEX(BP!$F$5:$F$9,MATCH(C1779,BP!$E$5:$E$9,1)))</f>
        <v>ดีมาก</v>
      </c>
      <c r="E1779" s="12" t="n">
        <f aca="false">YEAR(A1779)</f>
        <v>2025</v>
      </c>
      <c r="F1779" s="12" t="n">
        <f aca="false">MONTH(A1779)</f>
        <v>11</v>
      </c>
      <c r="G1779" s="12" t="n">
        <v>13.6</v>
      </c>
      <c r="H1779" s="12" t="n">
        <v>32.4</v>
      </c>
      <c r="I1779" s="12" t="n">
        <v>81</v>
      </c>
      <c r="J1779" s="12" t="n">
        <v>0.1</v>
      </c>
      <c r="K1779" s="12" t="n">
        <v>0</v>
      </c>
      <c r="L1779" s="12" t="s">
        <v>36</v>
      </c>
    </row>
    <row r="1780" customFormat="false" ht="15" hidden="false" customHeight="false" outlineLevel="0" collapsed="false">
      <c r="A1780" s="11" t="n">
        <v>45975</v>
      </c>
      <c r="B1780" s="12" t="n">
        <v>9.2</v>
      </c>
      <c r="C1780" s="12" t="n">
        <f aca="false">IF(NOT(ISNUMBER(B1780)),"",ROUND((INDEX(BP!$D$5:$D$9,MATCH(B1780,BP!$A$5:$A$9,1))-INDEX(BP!$C$5:$C$9,MATCH(B1780,BP!$A$5:$A$9,1)))/(INDEX(BP!$B$5:$B$9,MATCH(B1780,BP!$A$5:$A$9,1))-INDEX(BP!$A$5:$A$9,MATCH(B1780,BP!$A$5:$A$9,1)))*(B1780-INDEX(BP!$A$5:$A$9,MATCH(B1780,BP!$A$5:$A$9,1)))+INDEX(BP!$C$5:$C$9,MATCH(B1780,BP!$A$5:$A$9,1)),0))</f>
        <v>15</v>
      </c>
      <c r="D1780" s="12" t="str">
        <f aca="false">IF(NOT(ISNUMBER(C1780)),"",INDEX(BP!$F$5:$F$9,MATCH(C1780,BP!$E$5:$E$9,1)))</f>
        <v>ดีมาก</v>
      </c>
      <c r="E1780" s="12" t="n">
        <f aca="false">YEAR(A1780)</f>
        <v>2025</v>
      </c>
      <c r="F1780" s="12" t="n">
        <f aca="false">MONTH(A1780)</f>
        <v>11</v>
      </c>
      <c r="G1780" s="12" t="n">
        <v>14.8</v>
      </c>
      <c r="H1780" s="12" t="n">
        <v>33.8</v>
      </c>
      <c r="I1780" s="12" t="n">
        <v>69</v>
      </c>
      <c r="J1780" s="12" t="n">
        <v>3.2</v>
      </c>
      <c r="K1780" s="12" t="n">
        <v>0</v>
      </c>
      <c r="L1780" s="12" t="s">
        <v>36</v>
      </c>
    </row>
    <row r="1781" customFormat="false" ht="15" hidden="false" customHeight="false" outlineLevel="0" collapsed="false">
      <c r="A1781" s="11" t="n">
        <v>45976</v>
      </c>
      <c r="B1781" s="12" t="n">
        <v>8.5</v>
      </c>
      <c r="C1781" s="12" t="n">
        <f aca="false">IF(NOT(ISNUMBER(B1781)),"",ROUND((INDEX(BP!$D$5:$D$9,MATCH(B1781,BP!$A$5:$A$9,1))-INDEX(BP!$C$5:$C$9,MATCH(B1781,BP!$A$5:$A$9,1)))/(INDEX(BP!$B$5:$B$9,MATCH(B1781,BP!$A$5:$A$9,1))-INDEX(BP!$A$5:$A$9,MATCH(B1781,BP!$A$5:$A$9,1)))*(B1781-INDEX(BP!$A$5:$A$9,MATCH(B1781,BP!$A$5:$A$9,1)))+INDEX(BP!$C$5:$C$9,MATCH(B1781,BP!$A$5:$A$9,1)),0))</f>
        <v>14</v>
      </c>
      <c r="D1781" s="12" t="str">
        <f aca="false">IF(NOT(ISNUMBER(C1781)),"",INDEX(BP!$F$5:$F$9,MATCH(C1781,BP!$E$5:$E$9,1)))</f>
        <v>ดีมาก</v>
      </c>
      <c r="E1781" s="12" t="n">
        <f aca="false">YEAR(A1781)</f>
        <v>2025</v>
      </c>
      <c r="F1781" s="12" t="n">
        <f aca="false">MONTH(A1781)</f>
        <v>11</v>
      </c>
      <c r="G1781" s="12" t="n">
        <v>20.6</v>
      </c>
      <c r="H1781" s="12" t="n">
        <v>46.1</v>
      </c>
      <c r="I1781" s="12" t="n">
        <v>36</v>
      </c>
      <c r="J1781" s="12" t="n">
        <v>3</v>
      </c>
      <c r="K1781" s="12" t="n">
        <v>3.2</v>
      </c>
      <c r="L1781" s="12" t="s">
        <v>35</v>
      </c>
    </row>
    <row r="1782" customFormat="false" ht="15" hidden="false" customHeight="false" outlineLevel="0" collapsed="false">
      <c r="A1782" s="11" t="n">
        <v>45977</v>
      </c>
      <c r="B1782" s="12" t="n">
        <v>12</v>
      </c>
      <c r="C1782" s="12" t="n">
        <f aca="false">IF(NOT(ISNUMBER(B1782)),"",ROUND((INDEX(BP!$D$5:$D$9,MATCH(B1782,BP!$A$5:$A$9,1))-INDEX(BP!$C$5:$C$9,MATCH(B1782,BP!$A$5:$A$9,1)))/(INDEX(BP!$B$5:$B$9,MATCH(B1782,BP!$A$5:$A$9,1))-INDEX(BP!$A$5:$A$9,MATCH(B1782,BP!$A$5:$A$9,1)))*(B1782-INDEX(BP!$A$5:$A$9,MATCH(B1782,BP!$A$5:$A$9,1)))+INDEX(BP!$C$5:$C$9,MATCH(B1782,BP!$A$5:$A$9,1)),0))</f>
        <v>20</v>
      </c>
      <c r="D1782" s="12" t="str">
        <f aca="false">IF(NOT(ISNUMBER(C1782)),"",INDEX(BP!$F$5:$F$9,MATCH(C1782,BP!$E$5:$E$9,1)))</f>
        <v>ดีมาก</v>
      </c>
      <c r="E1782" s="12" t="n">
        <f aca="false">YEAR(A1782)</f>
        <v>2025</v>
      </c>
      <c r="F1782" s="12" t="n">
        <f aca="false">MONTH(A1782)</f>
        <v>11</v>
      </c>
      <c r="G1782" s="12" t="n">
        <v>14</v>
      </c>
      <c r="H1782" s="12" t="n">
        <v>34.9</v>
      </c>
      <c r="I1782" s="12" t="n">
        <v>63</v>
      </c>
      <c r="J1782" s="12" t="n">
        <v>1.1</v>
      </c>
      <c r="K1782" s="12" t="n">
        <v>0.2</v>
      </c>
      <c r="L1782" s="12" t="s">
        <v>35</v>
      </c>
    </row>
    <row r="1783" customFormat="false" ht="15" hidden="false" customHeight="false" outlineLevel="0" collapsed="false">
      <c r="A1783" s="11" t="n">
        <v>45978</v>
      </c>
      <c r="B1783" s="12" t="n">
        <v>10.4</v>
      </c>
      <c r="C1783" s="12" t="n">
        <f aca="false">IF(NOT(ISNUMBER(B1783)),"",ROUND((INDEX(BP!$D$5:$D$9,MATCH(B1783,BP!$A$5:$A$9,1))-INDEX(BP!$C$5:$C$9,MATCH(B1783,BP!$A$5:$A$9,1)))/(INDEX(BP!$B$5:$B$9,MATCH(B1783,BP!$A$5:$A$9,1))-INDEX(BP!$A$5:$A$9,MATCH(B1783,BP!$A$5:$A$9,1)))*(B1783-INDEX(BP!$A$5:$A$9,MATCH(B1783,BP!$A$5:$A$9,1)))+INDEX(BP!$C$5:$C$9,MATCH(B1783,BP!$A$5:$A$9,1)),0))</f>
        <v>17</v>
      </c>
      <c r="D1783" s="12" t="str">
        <f aca="false">IF(NOT(ISNUMBER(C1783)),"",INDEX(BP!$F$5:$F$9,MATCH(C1783,BP!$E$5:$E$9,1)))</f>
        <v>ดีมาก</v>
      </c>
      <c r="E1783" s="12" t="n">
        <f aca="false">YEAR(A1783)</f>
        <v>2025</v>
      </c>
      <c r="F1783" s="12" t="n">
        <f aca="false">MONTH(A1783)</f>
        <v>11</v>
      </c>
      <c r="G1783" s="12" t="n">
        <v>14.3</v>
      </c>
      <c r="H1783" s="12" t="n">
        <v>33.1</v>
      </c>
      <c r="I1783" s="12" t="n">
        <v>39</v>
      </c>
      <c r="J1783" s="12" t="n">
        <v>10.6</v>
      </c>
      <c r="K1783" s="12" t="n">
        <v>0</v>
      </c>
      <c r="L1783" s="12" t="s">
        <v>36</v>
      </c>
    </row>
    <row r="1784" customFormat="false" ht="15" hidden="false" customHeight="false" outlineLevel="0" collapsed="false">
      <c r="A1784" s="11" t="n">
        <v>45979</v>
      </c>
      <c r="B1784" s="12" t="n">
        <v>6.6</v>
      </c>
      <c r="C1784" s="12" t="n">
        <f aca="false">IF(NOT(ISNUMBER(B1784)),"",ROUND((INDEX(BP!$D$5:$D$9,MATCH(B1784,BP!$A$5:$A$9,1))-INDEX(BP!$C$5:$C$9,MATCH(B1784,BP!$A$5:$A$9,1)))/(INDEX(BP!$B$5:$B$9,MATCH(B1784,BP!$A$5:$A$9,1))-INDEX(BP!$A$5:$A$9,MATCH(B1784,BP!$A$5:$A$9,1)))*(B1784-INDEX(BP!$A$5:$A$9,MATCH(B1784,BP!$A$5:$A$9,1)))+INDEX(BP!$C$5:$C$9,MATCH(B1784,BP!$A$5:$A$9,1)),0))</f>
        <v>11</v>
      </c>
      <c r="D1784" s="12" t="str">
        <f aca="false">IF(NOT(ISNUMBER(C1784)),"",INDEX(BP!$F$5:$F$9,MATCH(C1784,BP!$E$5:$E$9,1)))</f>
        <v>ดีมาก</v>
      </c>
      <c r="E1784" s="12" t="n">
        <f aca="false">YEAR(A1784)</f>
        <v>2025</v>
      </c>
      <c r="F1784" s="12" t="n">
        <f aca="false">MONTH(A1784)</f>
        <v>11</v>
      </c>
      <c r="G1784" s="12" t="n">
        <v>11.6</v>
      </c>
      <c r="H1784" s="12" t="n">
        <v>25.9</v>
      </c>
      <c r="I1784" s="12" t="n">
        <v>22</v>
      </c>
      <c r="J1784" s="12" t="n">
        <v>13</v>
      </c>
      <c r="K1784" s="12" t="n">
        <v>3.2</v>
      </c>
      <c r="L1784" s="12" t="s">
        <v>36</v>
      </c>
    </row>
    <row r="1785" customFormat="false" ht="15" hidden="false" customHeight="false" outlineLevel="0" collapsed="false">
      <c r="A1785" s="11" t="n">
        <v>45980</v>
      </c>
      <c r="B1785" s="12" t="n">
        <v>6</v>
      </c>
      <c r="C1785" s="12" t="n">
        <f aca="false">IF(NOT(ISNUMBER(B1785)),"",ROUND((INDEX(BP!$D$5:$D$9,MATCH(B1785,BP!$A$5:$A$9,1))-INDEX(BP!$C$5:$C$9,MATCH(B1785,BP!$A$5:$A$9,1)))/(INDEX(BP!$B$5:$B$9,MATCH(B1785,BP!$A$5:$A$9,1))-INDEX(BP!$A$5:$A$9,MATCH(B1785,BP!$A$5:$A$9,1)))*(B1785-INDEX(BP!$A$5:$A$9,MATCH(B1785,BP!$A$5:$A$9,1)))+INDEX(BP!$C$5:$C$9,MATCH(B1785,BP!$A$5:$A$9,1)),0))</f>
        <v>10</v>
      </c>
      <c r="D1785" s="12" t="str">
        <f aca="false">IF(NOT(ISNUMBER(C1785)),"",INDEX(BP!$F$5:$F$9,MATCH(C1785,BP!$E$5:$E$9,1)))</f>
        <v>ดีมาก</v>
      </c>
      <c r="E1785" s="12" t="n">
        <f aca="false">YEAR(A1785)</f>
        <v>2025</v>
      </c>
      <c r="F1785" s="12" t="n">
        <f aca="false">MONTH(A1785)</f>
        <v>11</v>
      </c>
      <c r="G1785" s="12" t="n">
        <v>21.6</v>
      </c>
      <c r="H1785" s="12" t="n">
        <v>41.8</v>
      </c>
      <c r="I1785" s="12" t="n">
        <v>66</v>
      </c>
      <c r="J1785" s="12" t="n">
        <v>49.1</v>
      </c>
      <c r="K1785" s="12" t="n">
        <v>155</v>
      </c>
      <c r="L1785" s="12" t="s">
        <v>36</v>
      </c>
    </row>
    <row r="1786" customFormat="false" ht="15" hidden="false" customHeight="false" outlineLevel="0" collapsed="false">
      <c r="A1786" s="11" t="n">
        <v>45981</v>
      </c>
      <c r="B1786" s="12" t="n">
        <v>6.2</v>
      </c>
      <c r="C1786" s="12" t="n">
        <f aca="false">IF(NOT(ISNUMBER(B1786)),"",ROUND((INDEX(BP!$D$5:$D$9,MATCH(B1786,BP!$A$5:$A$9,1))-INDEX(BP!$C$5:$C$9,MATCH(B1786,BP!$A$5:$A$9,1)))/(INDEX(BP!$B$5:$B$9,MATCH(B1786,BP!$A$5:$A$9,1))-INDEX(BP!$A$5:$A$9,MATCH(B1786,BP!$A$5:$A$9,1)))*(B1786-INDEX(BP!$A$5:$A$9,MATCH(B1786,BP!$A$5:$A$9,1)))+INDEX(BP!$C$5:$C$9,MATCH(B1786,BP!$A$5:$A$9,1)),0))</f>
        <v>10</v>
      </c>
      <c r="D1786" s="12" t="str">
        <f aca="false">IF(NOT(ISNUMBER(C1786)),"",INDEX(BP!$F$5:$F$9,MATCH(C1786,BP!$E$5:$E$9,1)))</f>
        <v>ดีมาก</v>
      </c>
      <c r="E1786" s="12" t="n">
        <f aca="false">YEAR(A1786)</f>
        <v>2025</v>
      </c>
      <c r="F1786" s="12" t="n">
        <f aca="false">MONTH(A1786)</f>
        <v>11</v>
      </c>
      <c r="G1786" s="12" t="n">
        <v>25</v>
      </c>
      <c r="H1786" s="12" t="n">
        <v>44.3</v>
      </c>
      <c r="I1786" s="12" t="n">
        <v>66</v>
      </c>
      <c r="J1786" s="12" t="n">
        <v>141.9</v>
      </c>
      <c r="K1786" s="12" t="n">
        <v>46.8</v>
      </c>
      <c r="L1786" s="12" t="s">
        <v>36</v>
      </c>
    </row>
    <row r="1787" customFormat="false" ht="15" hidden="false" customHeight="false" outlineLevel="0" collapsed="false">
      <c r="A1787" s="11" t="n">
        <v>45982</v>
      </c>
      <c r="B1787" s="12" t="n">
        <v>7.4</v>
      </c>
      <c r="C1787" s="12" t="n">
        <f aca="false">IF(NOT(ISNUMBER(B1787)),"",ROUND((INDEX(BP!$D$5:$D$9,MATCH(B1787,BP!$A$5:$A$9,1))-INDEX(BP!$C$5:$C$9,MATCH(B1787,BP!$A$5:$A$9,1)))/(INDEX(BP!$B$5:$B$9,MATCH(B1787,BP!$A$5:$A$9,1))-INDEX(BP!$A$5:$A$9,MATCH(B1787,BP!$A$5:$A$9,1)))*(B1787-INDEX(BP!$A$5:$A$9,MATCH(B1787,BP!$A$5:$A$9,1)))+INDEX(BP!$C$5:$C$9,MATCH(B1787,BP!$A$5:$A$9,1)),0))</f>
        <v>12</v>
      </c>
      <c r="D1787" s="12" t="str">
        <f aca="false">IF(NOT(ISNUMBER(C1787)),"",INDEX(BP!$F$5:$F$9,MATCH(C1787,BP!$E$5:$E$9,1)))</f>
        <v>ดีมาก</v>
      </c>
      <c r="E1787" s="12" t="n">
        <f aca="false">YEAR(A1787)</f>
        <v>2025</v>
      </c>
      <c r="F1787" s="12" t="n">
        <f aca="false">MONTH(A1787)</f>
        <v>11</v>
      </c>
      <c r="G1787" s="12" t="n">
        <v>24.6</v>
      </c>
      <c r="H1787" s="12" t="n">
        <v>49.7</v>
      </c>
      <c r="I1787" s="12" t="n">
        <v>62</v>
      </c>
      <c r="J1787" s="12" t="n">
        <v>99.8</v>
      </c>
      <c r="K1787" s="12" t="n">
        <v>370.2</v>
      </c>
      <c r="L1787" s="12" t="s">
        <v>36</v>
      </c>
    </row>
    <row r="1788" customFormat="false" ht="15" hidden="false" customHeight="false" outlineLevel="0" collapsed="false">
      <c r="A1788" s="11" t="n">
        <v>45983</v>
      </c>
      <c r="B1788" s="12" t="n">
        <v>9.6</v>
      </c>
      <c r="C1788" s="12" t="n">
        <f aca="false">IF(NOT(ISNUMBER(B1788)),"",ROUND((INDEX(BP!$D$5:$D$9,MATCH(B1788,BP!$A$5:$A$9,1))-INDEX(BP!$C$5:$C$9,MATCH(B1788,BP!$A$5:$A$9,1)))/(INDEX(BP!$B$5:$B$9,MATCH(B1788,BP!$A$5:$A$9,1))-INDEX(BP!$A$5:$A$9,MATCH(B1788,BP!$A$5:$A$9,1)))*(B1788-INDEX(BP!$A$5:$A$9,MATCH(B1788,BP!$A$5:$A$9,1)))+INDEX(BP!$C$5:$C$9,MATCH(B1788,BP!$A$5:$A$9,1)),0))</f>
        <v>16</v>
      </c>
      <c r="D1788" s="12" t="str">
        <f aca="false">IF(NOT(ISNUMBER(C1788)),"",INDEX(BP!$F$5:$F$9,MATCH(C1788,BP!$E$5:$E$9,1)))</f>
        <v>ดีมาก</v>
      </c>
      <c r="E1788" s="12" t="n">
        <f aca="false">YEAR(A1788)</f>
        <v>2025</v>
      </c>
      <c r="F1788" s="12" t="n">
        <f aca="false">MONTH(A1788)</f>
        <v>11</v>
      </c>
      <c r="G1788" s="12" t="n">
        <v>28.6</v>
      </c>
      <c r="H1788" s="12" t="n">
        <v>54.7</v>
      </c>
      <c r="I1788" s="12" t="n">
        <v>58</v>
      </c>
      <c r="J1788" s="12" t="n">
        <v>88</v>
      </c>
      <c r="K1788" s="12" t="n">
        <v>139.6</v>
      </c>
      <c r="L1788" s="12" t="s">
        <v>35</v>
      </c>
    </row>
    <row r="1789" customFormat="false" ht="15" hidden="false" customHeight="false" outlineLevel="0" collapsed="false">
      <c r="A1789" s="11" t="n">
        <v>45984</v>
      </c>
      <c r="B1789" s="12" t="n">
        <v>11</v>
      </c>
      <c r="C1789" s="12" t="n">
        <f aca="false">IF(NOT(ISNUMBER(B1789)),"",ROUND((INDEX(BP!$D$5:$D$9,MATCH(B1789,BP!$A$5:$A$9,1))-INDEX(BP!$C$5:$C$9,MATCH(B1789,BP!$A$5:$A$9,1)))/(INDEX(BP!$B$5:$B$9,MATCH(B1789,BP!$A$5:$A$9,1))-INDEX(BP!$A$5:$A$9,MATCH(B1789,BP!$A$5:$A$9,1)))*(B1789-INDEX(BP!$A$5:$A$9,MATCH(B1789,BP!$A$5:$A$9,1)))+INDEX(BP!$C$5:$C$9,MATCH(B1789,BP!$A$5:$A$9,1)),0))</f>
        <v>18</v>
      </c>
      <c r="D1789" s="12" t="str">
        <f aca="false">IF(NOT(ISNUMBER(C1789)),"",INDEX(BP!$F$5:$F$9,MATCH(C1789,BP!$E$5:$E$9,1)))</f>
        <v>ดีมาก</v>
      </c>
      <c r="E1789" s="12" t="n">
        <f aca="false">YEAR(A1789)</f>
        <v>2025</v>
      </c>
      <c r="F1789" s="12" t="n">
        <f aca="false">MONTH(A1789)</f>
        <v>11</v>
      </c>
      <c r="G1789" s="12" t="n">
        <v>28.2</v>
      </c>
      <c r="H1789" s="12" t="n">
        <v>54.7</v>
      </c>
      <c r="I1789" s="12" t="n">
        <v>45</v>
      </c>
      <c r="J1789" s="12" t="n">
        <v>65.6</v>
      </c>
      <c r="K1789" s="12" t="n">
        <v>143.8</v>
      </c>
      <c r="L1789" s="12" t="s">
        <v>35</v>
      </c>
    </row>
    <row r="1790" customFormat="false" ht="15" hidden="false" customHeight="false" outlineLevel="0" collapsed="false">
      <c r="A1790" s="11" t="n">
        <v>45985</v>
      </c>
      <c r="B1790" s="12"/>
      <c r="C1790" s="12" t="str">
        <f aca="false">IF(NOT(ISNUMBER(B1790)),"",ROUND((INDEX(BP!$D$5:$D$9,MATCH(B1790,BP!$A$5:$A$9,1))-INDEX(BP!$C$5:$C$9,MATCH(B1790,BP!$A$5:$A$9,1)))/(INDEX(BP!$B$5:$B$9,MATCH(B1790,BP!$A$5:$A$9,1))-INDEX(BP!$A$5:$A$9,MATCH(B1790,BP!$A$5:$A$9,1)))*(B1790-INDEX(BP!$A$5:$A$9,MATCH(B1790,BP!$A$5:$A$9,1)))+INDEX(BP!$C$5:$C$9,MATCH(B1790,BP!$A$5:$A$9,1)),0))</f>
        <v/>
      </c>
      <c r="D1790" s="12" t="str">
        <f aca="false">IF(NOT(ISNUMBER(C1790)),"",INDEX(BP!$F$5:$F$9,MATCH(C1790,BP!$E$5:$E$9,1)))</f>
        <v/>
      </c>
      <c r="E1790" s="12" t="n">
        <f aca="false">YEAR(A1790)</f>
        <v>2025</v>
      </c>
      <c r="F1790" s="12" t="n">
        <f aca="false">MONTH(A1790)</f>
        <v>11</v>
      </c>
      <c r="G1790" s="12" t="n">
        <v>26.2</v>
      </c>
      <c r="H1790" s="12" t="n">
        <v>53.3</v>
      </c>
      <c r="I1790" s="12" t="n">
        <v>46</v>
      </c>
      <c r="J1790" s="12" t="n">
        <v>101.8</v>
      </c>
      <c r="K1790" s="12" t="n">
        <v>262</v>
      </c>
      <c r="L1790" s="12" t="s">
        <v>36</v>
      </c>
    </row>
    <row r="1791" customFormat="false" ht="15" hidden="false" customHeight="false" outlineLevel="0" collapsed="false">
      <c r="A1791" s="11" t="n">
        <v>45986</v>
      </c>
      <c r="B1791" s="12"/>
      <c r="C1791" s="12" t="str">
        <f aca="false">IF(NOT(ISNUMBER(B1791)),"",ROUND((INDEX(BP!$D$5:$D$9,MATCH(B1791,BP!$A$5:$A$9,1))-INDEX(BP!$C$5:$C$9,MATCH(B1791,BP!$A$5:$A$9,1)))/(INDEX(BP!$B$5:$B$9,MATCH(B1791,BP!$A$5:$A$9,1))-INDEX(BP!$A$5:$A$9,MATCH(B1791,BP!$A$5:$A$9,1)))*(B1791-INDEX(BP!$A$5:$A$9,MATCH(B1791,BP!$A$5:$A$9,1)))+INDEX(BP!$C$5:$C$9,MATCH(B1791,BP!$A$5:$A$9,1)),0))</f>
        <v/>
      </c>
      <c r="D1791" s="12" t="str">
        <f aca="false">IF(NOT(ISNUMBER(C1791)),"",INDEX(BP!$F$5:$F$9,MATCH(C1791,BP!$E$5:$E$9,1)))</f>
        <v/>
      </c>
      <c r="E1791" s="12" t="n">
        <f aca="false">YEAR(A1791)</f>
        <v>2025</v>
      </c>
      <c r="F1791" s="12" t="n">
        <f aca="false">MONTH(A1791)</f>
        <v>11</v>
      </c>
      <c r="G1791" s="12" t="n">
        <v>27.5</v>
      </c>
      <c r="H1791" s="12" t="n">
        <v>57.6</v>
      </c>
      <c r="I1791" s="12" t="n">
        <v>73</v>
      </c>
      <c r="J1791" s="12" t="n">
        <v>38.7</v>
      </c>
      <c r="K1791" s="12" t="n">
        <v>128.4</v>
      </c>
      <c r="L1791" s="12" t="s">
        <v>36</v>
      </c>
    </row>
    <row r="1792" customFormat="false" ht="15" hidden="false" customHeight="false" outlineLevel="0" collapsed="false">
      <c r="A1792" s="11" t="n">
        <v>45987</v>
      </c>
      <c r="B1792" s="12"/>
      <c r="C1792" s="12" t="str">
        <f aca="false">IF(NOT(ISNUMBER(B1792)),"",ROUND((INDEX(BP!$D$5:$D$9,MATCH(B1792,BP!$A$5:$A$9,1))-INDEX(BP!$C$5:$C$9,MATCH(B1792,BP!$A$5:$A$9,1)))/(INDEX(BP!$B$5:$B$9,MATCH(B1792,BP!$A$5:$A$9,1))-INDEX(BP!$A$5:$A$9,MATCH(B1792,BP!$A$5:$A$9,1)))*(B1792-INDEX(BP!$A$5:$A$9,MATCH(B1792,BP!$A$5:$A$9,1)))+INDEX(BP!$C$5:$C$9,MATCH(B1792,BP!$A$5:$A$9,1)),0))</f>
        <v/>
      </c>
      <c r="D1792" s="12" t="str">
        <f aca="false">IF(NOT(ISNUMBER(C1792)),"",INDEX(BP!$F$5:$F$9,MATCH(C1792,BP!$E$5:$E$9,1)))</f>
        <v/>
      </c>
      <c r="E1792" s="12" t="n">
        <f aca="false">YEAR(A1792)</f>
        <v>2025</v>
      </c>
      <c r="F1792" s="12" t="n">
        <f aca="false">MONTH(A1792)</f>
        <v>11</v>
      </c>
      <c r="G1792" s="12" t="n">
        <v>25.1</v>
      </c>
      <c r="H1792" s="12" t="n">
        <v>50</v>
      </c>
      <c r="I1792" s="12" t="n">
        <v>64</v>
      </c>
      <c r="J1792" s="12" t="n">
        <v>26.3</v>
      </c>
      <c r="K1792" s="12" t="n">
        <v>36</v>
      </c>
      <c r="L1792" s="12" t="s">
        <v>36</v>
      </c>
    </row>
    <row r="1793" customFormat="false" ht="15" hidden="false" customHeight="false" outlineLevel="0" collapsed="false">
      <c r="A1793" s="11" t="n">
        <v>45988</v>
      </c>
      <c r="B1793" s="12"/>
      <c r="C1793" s="12" t="str">
        <f aca="false">IF(NOT(ISNUMBER(B1793)),"",ROUND((INDEX(BP!$D$5:$D$9,MATCH(B1793,BP!$A$5:$A$9,1))-INDEX(BP!$C$5:$C$9,MATCH(B1793,BP!$A$5:$A$9,1)))/(INDEX(BP!$B$5:$B$9,MATCH(B1793,BP!$A$5:$A$9,1))-INDEX(BP!$A$5:$A$9,MATCH(B1793,BP!$A$5:$A$9,1)))*(B1793-INDEX(BP!$A$5:$A$9,MATCH(B1793,BP!$A$5:$A$9,1)))+INDEX(BP!$C$5:$C$9,MATCH(B1793,BP!$A$5:$A$9,1)),0))</f>
        <v/>
      </c>
      <c r="D1793" s="12" t="str">
        <f aca="false">IF(NOT(ISNUMBER(C1793)),"",INDEX(BP!$F$5:$F$9,MATCH(C1793,BP!$E$5:$E$9,1)))</f>
        <v/>
      </c>
      <c r="E1793" s="12" t="n">
        <f aca="false">YEAR(A1793)</f>
        <v>2025</v>
      </c>
      <c r="F1793" s="12" t="n">
        <f aca="false">MONTH(A1793)</f>
        <v>11</v>
      </c>
      <c r="G1793" s="12" t="n">
        <v>24.6</v>
      </c>
      <c r="H1793" s="12" t="n">
        <v>51.8</v>
      </c>
      <c r="I1793" s="12" t="n">
        <v>29</v>
      </c>
      <c r="J1793" s="12" t="n">
        <v>2.5</v>
      </c>
      <c r="K1793" s="12" t="n">
        <v>1.4</v>
      </c>
      <c r="L1793" s="12" t="s">
        <v>36</v>
      </c>
    </row>
    <row r="1794" customFormat="false" ht="15" hidden="false" customHeight="false" outlineLevel="0" collapsed="false">
      <c r="A1794" s="11" t="n">
        <v>45989</v>
      </c>
      <c r="B1794" s="12"/>
      <c r="C1794" s="12" t="str">
        <f aca="false">IF(NOT(ISNUMBER(B1794)),"",ROUND((INDEX(BP!$D$5:$D$9,MATCH(B1794,BP!$A$5:$A$9,1))-INDEX(BP!$C$5:$C$9,MATCH(B1794,BP!$A$5:$A$9,1)))/(INDEX(BP!$B$5:$B$9,MATCH(B1794,BP!$A$5:$A$9,1))-INDEX(BP!$A$5:$A$9,MATCH(B1794,BP!$A$5:$A$9,1)))*(B1794-INDEX(BP!$A$5:$A$9,MATCH(B1794,BP!$A$5:$A$9,1)))+INDEX(BP!$C$5:$C$9,MATCH(B1794,BP!$A$5:$A$9,1)),0))</f>
        <v/>
      </c>
      <c r="D1794" s="12" t="str">
        <f aca="false">IF(NOT(ISNUMBER(C1794)),"",INDEX(BP!$F$5:$F$9,MATCH(C1794,BP!$E$5:$E$9,1)))</f>
        <v/>
      </c>
      <c r="E1794" s="12" t="n">
        <f aca="false">YEAR(A1794)</f>
        <v>2025</v>
      </c>
      <c r="F1794" s="12" t="n">
        <f aca="false">MONTH(A1794)</f>
        <v>11</v>
      </c>
      <c r="G1794" s="12" t="n">
        <v>23.1</v>
      </c>
      <c r="H1794" s="12" t="n">
        <v>46.1</v>
      </c>
      <c r="I1794" s="12" t="n">
        <v>8</v>
      </c>
      <c r="J1794" s="12" t="n">
        <v>3.6</v>
      </c>
      <c r="K1794" s="12" t="n">
        <v>0</v>
      </c>
      <c r="L1794" s="12" t="s">
        <v>36</v>
      </c>
    </row>
    <row r="1795" customFormat="false" ht="15" hidden="false" customHeight="false" outlineLevel="0" collapsed="false">
      <c r="A1795" s="11" t="n">
        <v>45990</v>
      </c>
      <c r="B1795" s="12"/>
      <c r="C1795" s="12" t="str">
        <f aca="false">IF(NOT(ISNUMBER(B1795)),"",ROUND((INDEX(BP!$D$5:$D$9,MATCH(B1795,BP!$A$5:$A$9,1))-INDEX(BP!$C$5:$C$9,MATCH(B1795,BP!$A$5:$A$9,1)))/(INDEX(BP!$B$5:$B$9,MATCH(B1795,BP!$A$5:$A$9,1))-INDEX(BP!$A$5:$A$9,MATCH(B1795,BP!$A$5:$A$9,1)))*(B1795-INDEX(BP!$A$5:$A$9,MATCH(B1795,BP!$A$5:$A$9,1)))+INDEX(BP!$C$5:$C$9,MATCH(B1795,BP!$A$5:$A$9,1)),0))</f>
        <v/>
      </c>
      <c r="D1795" s="12" t="str">
        <f aca="false">IF(NOT(ISNUMBER(C1795)),"",INDEX(BP!$F$5:$F$9,MATCH(C1795,BP!$E$5:$E$9,1)))</f>
        <v/>
      </c>
      <c r="E1795" s="12" t="n">
        <f aca="false">YEAR(A1795)</f>
        <v>2025</v>
      </c>
      <c r="F1795" s="12" t="n">
        <f aca="false">MONTH(A1795)</f>
        <v>11</v>
      </c>
      <c r="G1795" s="12" t="n">
        <v>15</v>
      </c>
      <c r="H1795" s="12" t="n">
        <v>33.1</v>
      </c>
      <c r="I1795" s="12" t="n">
        <v>353</v>
      </c>
      <c r="J1795" s="12" t="n">
        <v>2.5</v>
      </c>
      <c r="K1795" s="12" t="n">
        <v>0</v>
      </c>
      <c r="L1795" s="12" t="s">
        <v>35</v>
      </c>
    </row>
    <row r="1796" customFormat="false" ht="15" hidden="false" customHeight="false" outlineLevel="0" collapsed="false">
      <c r="A1796" s="11" t="n">
        <v>45991</v>
      </c>
      <c r="B1796" s="12"/>
      <c r="C1796" s="12" t="str">
        <f aca="false">IF(NOT(ISNUMBER(B1796)),"",ROUND((INDEX(BP!$D$5:$D$9,MATCH(B1796,BP!$A$5:$A$9,1))-INDEX(BP!$C$5:$C$9,MATCH(B1796,BP!$A$5:$A$9,1)))/(INDEX(BP!$B$5:$B$9,MATCH(B1796,BP!$A$5:$A$9,1))-INDEX(BP!$A$5:$A$9,MATCH(B1796,BP!$A$5:$A$9,1)))*(B1796-INDEX(BP!$A$5:$A$9,MATCH(B1796,BP!$A$5:$A$9,1)))+INDEX(BP!$C$5:$C$9,MATCH(B1796,BP!$A$5:$A$9,1)),0))</f>
        <v/>
      </c>
      <c r="D1796" s="12" t="str">
        <f aca="false">IF(NOT(ISNUMBER(C1796)),"",INDEX(BP!$F$5:$F$9,MATCH(C1796,BP!$E$5:$E$9,1)))</f>
        <v/>
      </c>
      <c r="E1796" s="12" t="n">
        <f aca="false">YEAR(A1796)</f>
        <v>2025</v>
      </c>
      <c r="F1796" s="12" t="n">
        <f aca="false">MONTH(A1796)</f>
        <v>11</v>
      </c>
      <c r="G1796" s="12" t="n">
        <v>10</v>
      </c>
      <c r="H1796" s="12" t="n">
        <v>23.8</v>
      </c>
      <c r="I1796" s="12" t="n">
        <v>356</v>
      </c>
      <c r="J1796" s="12" t="n">
        <v>0</v>
      </c>
      <c r="K1796" s="12" t="n">
        <v>0</v>
      </c>
      <c r="L1796" s="12" t="s">
        <v>35</v>
      </c>
    </row>
    <row r="1797" customFormat="false" ht="15" hidden="false" customHeight="false" outlineLevel="0" collapsed="false">
      <c r="A1797" s="11" t="n">
        <v>45992</v>
      </c>
      <c r="B1797" s="12"/>
      <c r="C1797" s="12" t="str">
        <f aca="false">IF(NOT(ISNUMBER(B1797)),"",ROUND((INDEX(BP!$D$5:$D$9,MATCH(B1797,BP!$A$5:$A$9,1))-INDEX(BP!$C$5:$C$9,MATCH(B1797,BP!$A$5:$A$9,1)))/(INDEX(BP!$B$5:$B$9,MATCH(B1797,BP!$A$5:$A$9,1))-INDEX(BP!$A$5:$A$9,MATCH(B1797,BP!$A$5:$A$9,1)))*(B1797-INDEX(BP!$A$5:$A$9,MATCH(B1797,BP!$A$5:$A$9,1)))+INDEX(BP!$C$5:$C$9,MATCH(B1797,BP!$A$5:$A$9,1)),0))</f>
        <v/>
      </c>
      <c r="D1797" s="12" t="str">
        <f aca="false">IF(NOT(ISNUMBER(C1797)),"",INDEX(BP!$F$5:$F$9,MATCH(C1797,BP!$E$5:$E$9,1)))</f>
        <v/>
      </c>
      <c r="E1797" s="12" t="n">
        <f aca="false">YEAR(A1797)</f>
        <v>2025</v>
      </c>
      <c r="F1797" s="12" t="n">
        <f aca="false">MONTH(A1797)</f>
        <v>12</v>
      </c>
      <c r="G1797" s="12" t="n">
        <v>11.6</v>
      </c>
      <c r="H1797" s="12" t="n">
        <v>26.6</v>
      </c>
      <c r="I1797" s="12" t="n">
        <v>341</v>
      </c>
      <c r="J1797" s="12" t="n">
        <v>0.1</v>
      </c>
      <c r="K1797" s="12" t="n">
        <v>0</v>
      </c>
      <c r="L1797" s="12" t="s">
        <v>36</v>
      </c>
    </row>
    <row r="1798" customFormat="false" ht="15" hidden="false" customHeight="false" outlineLevel="0" collapsed="false">
      <c r="A1798" s="11" t="n">
        <v>45993</v>
      </c>
      <c r="B1798" s="12"/>
      <c r="C1798" s="12" t="str">
        <f aca="false">IF(NOT(ISNUMBER(B1798)),"",ROUND((INDEX(BP!$D$5:$D$9,MATCH(B1798,BP!$A$5:$A$9,1))-INDEX(BP!$C$5:$C$9,MATCH(B1798,BP!$A$5:$A$9,1)))/(INDEX(BP!$B$5:$B$9,MATCH(B1798,BP!$A$5:$A$9,1))-INDEX(BP!$A$5:$A$9,MATCH(B1798,BP!$A$5:$A$9,1)))*(B1798-INDEX(BP!$A$5:$A$9,MATCH(B1798,BP!$A$5:$A$9,1)))+INDEX(BP!$C$5:$C$9,MATCH(B1798,BP!$A$5:$A$9,1)),0))</f>
        <v/>
      </c>
      <c r="D1798" s="12" t="str">
        <f aca="false">IF(NOT(ISNUMBER(C1798)),"",INDEX(BP!$F$5:$F$9,MATCH(C1798,BP!$E$5:$E$9,1)))</f>
        <v/>
      </c>
      <c r="E1798" s="12" t="n">
        <f aca="false">YEAR(A1798)</f>
        <v>2025</v>
      </c>
      <c r="F1798" s="12" t="n">
        <f aca="false">MONTH(A1798)</f>
        <v>12</v>
      </c>
      <c r="G1798" s="12" t="n">
        <v>12.7</v>
      </c>
      <c r="H1798" s="12" t="n">
        <v>27</v>
      </c>
      <c r="I1798" s="12" t="n">
        <v>338</v>
      </c>
      <c r="J1798" s="12" t="n">
        <v>0.7</v>
      </c>
      <c r="K1798" s="12" t="n">
        <v>0</v>
      </c>
      <c r="L1798" s="12" t="s">
        <v>36</v>
      </c>
    </row>
    <row r="1799" customFormat="false" ht="15" hidden="false" customHeight="false" outlineLevel="0" collapsed="false">
      <c r="A1799" s="11" t="n">
        <v>45994</v>
      </c>
      <c r="B1799" s="12"/>
      <c r="C1799" s="12" t="str">
        <f aca="false">IF(NOT(ISNUMBER(B1799)),"",ROUND((INDEX(BP!$D$5:$D$9,MATCH(B1799,BP!$A$5:$A$9,1))-INDEX(BP!$C$5:$C$9,MATCH(B1799,BP!$A$5:$A$9,1)))/(INDEX(BP!$B$5:$B$9,MATCH(B1799,BP!$A$5:$A$9,1))-INDEX(BP!$A$5:$A$9,MATCH(B1799,BP!$A$5:$A$9,1)))*(B1799-INDEX(BP!$A$5:$A$9,MATCH(B1799,BP!$A$5:$A$9,1)))+INDEX(BP!$C$5:$C$9,MATCH(B1799,BP!$A$5:$A$9,1)),0))</f>
        <v/>
      </c>
      <c r="D1799" s="12" t="str">
        <f aca="false">IF(NOT(ISNUMBER(C1799)),"",INDEX(BP!$F$5:$F$9,MATCH(C1799,BP!$E$5:$E$9,1)))</f>
        <v/>
      </c>
      <c r="E1799" s="12" t="n">
        <f aca="false">YEAR(A1799)</f>
        <v>2025</v>
      </c>
      <c r="F1799" s="12" t="n">
        <f aca="false">MONTH(A1799)</f>
        <v>12</v>
      </c>
      <c r="G1799" s="12" t="n">
        <v>12.7</v>
      </c>
      <c r="H1799" s="12" t="n">
        <v>29.2</v>
      </c>
      <c r="I1799" s="12" t="n">
        <v>3</v>
      </c>
      <c r="J1799" s="12" t="n">
        <v>0.5</v>
      </c>
      <c r="K1799" s="12" t="n">
        <v>0</v>
      </c>
      <c r="L1799" s="12" t="s">
        <v>36</v>
      </c>
    </row>
    <row r="1800" customFormat="false" ht="15" hidden="false" customHeight="false" outlineLevel="0" collapsed="false">
      <c r="A1800" s="11" t="n">
        <v>45995</v>
      </c>
      <c r="B1800" s="12"/>
      <c r="C1800" s="12" t="str">
        <f aca="false">IF(NOT(ISNUMBER(B1800)),"",ROUND((INDEX(BP!$D$5:$D$9,MATCH(B1800,BP!$A$5:$A$9,1))-INDEX(BP!$C$5:$C$9,MATCH(B1800,BP!$A$5:$A$9,1)))/(INDEX(BP!$B$5:$B$9,MATCH(B1800,BP!$A$5:$A$9,1))-INDEX(BP!$A$5:$A$9,MATCH(B1800,BP!$A$5:$A$9,1)))*(B1800-INDEX(BP!$A$5:$A$9,MATCH(B1800,BP!$A$5:$A$9,1)))+INDEX(BP!$C$5:$C$9,MATCH(B1800,BP!$A$5:$A$9,1)),0))</f>
        <v/>
      </c>
      <c r="D1800" s="12" t="str">
        <f aca="false">IF(NOT(ISNUMBER(C1800)),"",INDEX(BP!$F$5:$F$9,MATCH(C1800,BP!$E$5:$E$9,1)))</f>
        <v/>
      </c>
      <c r="E1800" s="12" t="n">
        <f aca="false">YEAR(A1800)</f>
        <v>2025</v>
      </c>
      <c r="F1800" s="12" t="n">
        <f aca="false">MONTH(A1800)</f>
        <v>12</v>
      </c>
      <c r="G1800" s="12" t="n">
        <v>18.1</v>
      </c>
      <c r="H1800" s="12" t="n">
        <v>42.5</v>
      </c>
      <c r="I1800" s="12" t="n">
        <v>13</v>
      </c>
      <c r="J1800" s="12" t="n">
        <v>1</v>
      </c>
      <c r="K1800" s="12" t="n">
        <v>0</v>
      </c>
      <c r="L1800" s="12" t="s">
        <v>36</v>
      </c>
    </row>
    <row r="1801" customFormat="false" ht="15" hidden="false" customHeight="false" outlineLevel="0" collapsed="false">
      <c r="A1801" s="11" t="n">
        <v>45996</v>
      </c>
      <c r="B1801" s="12"/>
      <c r="C1801" s="12" t="str">
        <f aca="false">IF(NOT(ISNUMBER(B1801)),"",ROUND((INDEX(BP!$D$5:$D$9,MATCH(B1801,BP!$A$5:$A$9,1))-INDEX(BP!$C$5:$C$9,MATCH(B1801,BP!$A$5:$A$9,1)))/(INDEX(BP!$B$5:$B$9,MATCH(B1801,BP!$A$5:$A$9,1))-INDEX(BP!$A$5:$A$9,MATCH(B1801,BP!$A$5:$A$9,1)))*(B1801-INDEX(BP!$A$5:$A$9,MATCH(B1801,BP!$A$5:$A$9,1)))+INDEX(BP!$C$5:$C$9,MATCH(B1801,BP!$A$5:$A$9,1)),0))</f>
        <v/>
      </c>
      <c r="D1801" s="12" t="str">
        <f aca="false">IF(NOT(ISNUMBER(C1801)),"",INDEX(BP!$F$5:$F$9,MATCH(C1801,BP!$E$5:$E$9,1)))</f>
        <v/>
      </c>
      <c r="E1801" s="12" t="n">
        <f aca="false">YEAR(A1801)</f>
        <v>2025</v>
      </c>
      <c r="F1801" s="12" t="n">
        <f aca="false">MONTH(A1801)</f>
        <v>12</v>
      </c>
      <c r="G1801" s="12" t="n">
        <v>17.2</v>
      </c>
      <c r="H1801" s="12" t="n">
        <v>35.3</v>
      </c>
      <c r="I1801" s="12" t="n">
        <v>67</v>
      </c>
      <c r="J1801" s="12" t="n">
        <v>11.7</v>
      </c>
      <c r="K1801" s="12" t="n">
        <v>0</v>
      </c>
      <c r="L1801" s="12" t="s">
        <v>34</v>
      </c>
    </row>
    <row r="1802" customFormat="false" ht="15" hidden="false" customHeight="false" outlineLevel="0" collapsed="false">
      <c r="A1802" s="11" t="n">
        <v>45997</v>
      </c>
      <c r="B1802" s="12"/>
      <c r="C1802" s="12" t="str">
        <f aca="false">IF(NOT(ISNUMBER(B1802)),"",ROUND((INDEX(BP!$D$5:$D$9,MATCH(B1802,BP!$A$5:$A$9,1))-INDEX(BP!$C$5:$C$9,MATCH(B1802,BP!$A$5:$A$9,1)))/(INDEX(BP!$B$5:$B$9,MATCH(B1802,BP!$A$5:$A$9,1))-INDEX(BP!$A$5:$A$9,MATCH(B1802,BP!$A$5:$A$9,1)))*(B1802-INDEX(BP!$A$5:$A$9,MATCH(B1802,BP!$A$5:$A$9,1)))+INDEX(BP!$C$5:$C$9,MATCH(B1802,BP!$A$5:$A$9,1)),0))</f>
        <v/>
      </c>
      <c r="D1802" s="12" t="str">
        <f aca="false">IF(NOT(ISNUMBER(C1802)),"",INDEX(BP!$F$5:$F$9,MATCH(C1802,BP!$E$5:$E$9,1)))</f>
        <v/>
      </c>
      <c r="E1802" s="12" t="n">
        <f aca="false">YEAR(A1802)</f>
        <v>2025</v>
      </c>
      <c r="F1802" s="12" t="n">
        <f aca="false">MONTH(A1802)</f>
        <v>12</v>
      </c>
      <c r="G1802" s="12" t="n">
        <v>19.7</v>
      </c>
      <c r="H1802" s="12" t="n">
        <v>42.5</v>
      </c>
      <c r="I1802" s="12" t="n">
        <v>92</v>
      </c>
      <c r="J1802" s="12" t="n">
        <v>2.2</v>
      </c>
      <c r="K1802" s="12" t="n">
        <v>0</v>
      </c>
      <c r="L1802" s="12" t="s">
        <v>35</v>
      </c>
    </row>
    <row r="1803" customFormat="false" ht="15" hidden="false" customHeight="false" outlineLevel="0" collapsed="false">
      <c r="A1803" s="11" t="n">
        <v>45998</v>
      </c>
      <c r="B1803" s="12" t="n">
        <v>11.8</v>
      </c>
      <c r="C1803" s="12" t="n">
        <f aca="false">IF(NOT(ISNUMBER(B1803)),"",ROUND((INDEX(BP!$D$5:$D$9,MATCH(B1803,BP!$A$5:$A$9,1))-INDEX(BP!$C$5:$C$9,MATCH(B1803,BP!$A$5:$A$9,1)))/(INDEX(BP!$B$5:$B$9,MATCH(B1803,BP!$A$5:$A$9,1))-INDEX(BP!$A$5:$A$9,MATCH(B1803,BP!$A$5:$A$9,1)))*(B1803-INDEX(BP!$A$5:$A$9,MATCH(B1803,BP!$A$5:$A$9,1)))+INDEX(BP!$C$5:$C$9,MATCH(B1803,BP!$A$5:$A$9,1)),0))</f>
        <v>20</v>
      </c>
      <c r="D1803" s="12" t="str">
        <f aca="false">IF(NOT(ISNUMBER(C1803)),"",INDEX(BP!$F$5:$F$9,MATCH(C1803,BP!$E$5:$E$9,1)))</f>
        <v>ดีมาก</v>
      </c>
      <c r="E1803" s="12" t="n">
        <f aca="false">YEAR(A1803)</f>
        <v>2025</v>
      </c>
      <c r="F1803" s="12" t="n">
        <f aca="false">MONTH(A1803)</f>
        <v>12</v>
      </c>
      <c r="G1803" s="12" t="n">
        <v>19.3</v>
      </c>
      <c r="H1803" s="12" t="n">
        <v>37.4</v>
      </c>
      <c r="I1803" s="12" t="n">
        <v>81</v>
      </c>
      <c r="J1803" s="12" t="n">
        <v>0.2</v>
      </c>
      <c r="K1803" s="12" t="n">
        <v>0</v>
      </c>
      <c r="L1803" s="12" t="s">
        <v>35</v>
      </c>
    </row>
    <row r="1804" customFormat="false" ht="15" hidden="false" customHeight="false" outlineLevel="0" collapsed="false">
      <c r="A1804" s="11" t="n">
        <v>45999</v>
      </c>
      <c r="B1804" s="12" t="n">
        <v>14.2</v>
      </c>
      <c r="C1804" s="12" t="n">
        <f aca="false">IF(NOT(ISNUMBER(B1804)),"",ROUND((INDEX(BP!$D$5:$D$9,MATCH(B1804,BP!$A$5:$A$9,1))-INDEX(BP!$C$5:$C$9,MATCH(B1804,BP!$A$5:$A$9,1)))/(INDEX(BP!$B$5:$B$9,MATCH(B1804,BP!$A$5:$A$9,1))-INDEX(BP!$A$5:$A$9,MATCH(B1804,BP!$A$5:$A$9,1)))*(B1804-INDEX(BP!$A$5:$A$9,MATCH(B1804,BP!$A$5:$A$9,1)))+INDEX(BP!$C$5:$C$9,MATCH(B1804,BP!$A$5:$A$9,1)),0))</f>
        <v>24</v>
      </c>
      <c r="D1804" s="12" t="str">
        <f aca="false">IF(NOT(ISNUMBER(C1804)),"",INDEX(BP!$F$5:$F$9,MATCH(C1804,BP!$E$5:$E$9,1)))</f>
        <v>ดีมาก</v>
      </c>
      <c r="E1804" s="12" t="n">
        <f aca="false">YEAR(A1804)</f>
        <v>2025</v>
      </c>
      <c r="F1804" s="12" t="n">
        <f aca="false">MONTH(A1804)</f>
        <v>12</v>
      </c>
      <c r="G1804" s="12" t="n">
        <v>20.4</v>
      </c>
      <c r="H1804" s="12" t="n">
        <v>44.3</v>
      </c>
      <c r="I1804" s="12" t="n">
        <v>68</v>
      </c>
      <c r="J1804" s="12" t="n">
        <v>2.7</v>
      </c>
      <c r="K1804" s="12" t="n">
        <v>1.2</v>
      </c>
      <c r="L1804" s="12" t="s">
        <v>36</v>
      </c>
    </row>
    <row r="1805" customFormat="false" ht="15" hidden="false" customHeight="false" outlineLevel="0" collapsed="false">
      <c r="A1805" s="11" t="n">
        <v>46000</v>
      </c>
      <c r="B1805" s="12" t="n">
        <v>16.5</v>
      </c>
      <c r="C1805" s="12" t="n">
        <f aca="false">IF(NOT(ISNUMBER(B1805)),"",ROUND((INDEX(BP!$D$5:$D$9,MATCH(B1805,BP!$A$5:$A$9,1))-INDEX(BP!$C$5:$C$9,MATCH(B1805,BP!$A$5:$A$9,1)))/(INDEX(BP!$B$5:$B$9,MATCH(B1805,BP!$A$5:$A$9,1))-INDEX(BP!$A$5:$A$9,MATCH(B1805,BP!$A$5:$A$9,1)))*(B1805-INDEX(BP!$A$5:$A$9,MATCH(B1805,BP!$A$5:$A$9,1)))+INDEX(BP!$C$5:$C$9,MATCH(B1805,BP!$A$5:$A$9,1)),0))</f>
        <v>29</v>
      </c>
      <c r="D1805" s="12" t="str">
        <f aca="false">IF(NOT(ISNUMBER(C1805)),"",INDEX(BP!$F$5:$F$9,MATCH(C1805,BP!$E$5:$E$9,1)))</f>
        <v>ดี</v>
      </c>
      <c r="E1805" s="12" t="n">
        <f aca="false">YEAR(A1805)</f>
        <v>2025</v>
      </c>
      <c r="F1805" s="12" t="n">
        <f aca="false">MONTH(A1805)</f>
        <v>12</v>
      </c>
      <c r="G1805" s="12" t="n">
        <v>20.4</v>
      </c>
      <c r="H1805" s="12" t="n">
        <v>41.4</v>
      </c>
      <c r="I1805" s="12" t="n">
        <v>65</v>
      </c>
      <c r="J1805" s="12" t="n">
        <v>0.3</v>
      </c>
      <c r="K1805" s="12" t="n">
        <v>0</v>
      </c>
      <c r="L1805" s="12" t="s">
        <v>36</v>
      </c>
    </row>
    <row r="1806" customFormat="false" ht="15" hidden="false" customHeight="false" outlineLevel="0" collapsed="false">
      <c r="A1806" s="11" t="n">
        <v>46001</v>
      </c>
      <c r="B1806" s="12" t="n">
        <v>20.5</v>
      </c>
      <c r="C1806" s="12" t="n">
        <f aca="false">IF(NOT(ISNUMBER(B1806)),"",ROUND((INDEX(BP!$D$5:$D$9,MATCH(B1806,BP!$A$5:$A$9,1))-INDEX(BP!$C$5:$C$9,MATCH(B1806,BP!$A$5:$A$9,1)))/(INDEX(BP!$B$5:$B$9,MATCH(B1806,BP!$A$5:$A$9,1))-INDEX(BP!$A$5:$A$9,MATCH(B1806,BP!$A$5:$A$9,1)))*(B1806-INDEX(BP!$A$5:$A$9,MATCH(B1806,BP!$A$5:$A$9,1)))+INDEX(BP!$C$5:$C$9,MATCH(B1806,BP!$A$5:$A$9,1)),0))</f>
        <v>39</v>
      </c>
      <c r="D1806" s="12" t="str">
        <f aca="false">IF(NOT(ISNUMBER(C1806)),"",INDEX(BP!$F$5:$F$9,MATCH(C1806,BP!$E$5:$E$9,1)))</f>
        <v>ดี</v>
      </c>
      <c r="E1806" s="12" t="n">
        <f aca="false">YEAR(A1806)</f>
        <v>2025</v>
      </c>
      <c r="F1806" s="12" t="n">
        <f aca="false">MONTH(A1806)</f>
        <v>12</v>
      </c>
      <c r="G1806" s="12" t="n">
        <v>15.8</v>
      </c>
      <c r="H1806" s="12" t="n">
        <v>33.1</v>
      </c>
      <c r="I1806" s="12" t="n">
        <v>59</v>
      </c>
      <c r="J1806" s="12" t="n">
        <v>0.5</v>
      </c>
      <c r="K1806" s="12" t="n">
        <v>0</v>
      </c>
      <c r="L1806" s="12" t="s">
        <v>34</v>
      </c>
    </row>
    <row r="1807" customFormat="false" ht="15" hidden="false" customHeight="false" outlineLevel="0" collapsed="false">
      <c r="A1807" s="11" t="n">
        <v>46002</v>
      </c>
      <c r="B1807" s="12" t="n">
        <v>17.2</v>
      </c>
      <c r="C1807" s="12" t="n">
        <f aca="false">IF(NOT(ISNUMBER(B1807)),"",ROUND((INDEX(BP!$D$5:$D$9,MATCH(B1807,BP!$A$5:$A$9,1))-INDEX(BP!$C$5:$C$9,MATCH(B1807,BP!$A$5:$A$9,1)))/(INDEX(BP!$B$5:$B$9,MATCH(B1807,BP!$A$5:$A$9,1))-INDEX(BP!$A$5:$A$9,MATCH(B1807,BP!$A$5:$A$9,1)))*(B1807-INDEX(BP!$A$5:$A$9,MATCH(B1807,BP!$A$5:$A$9,1)))+INDEX(BP!$C$5:$C$9,MATCH(B1807,BP!$A$5:$A$9,1)),0))</f>
        <v>31</v>
      </c>
      <c r="D1807" s="12" t="str">
        <f aca="false">IF(NOT(ISNUMBER(C1807)),"",INDEX(BP!$F$5:$F$9,MATCH(C1807,BP!$E$5:$E$9,1)))</f>
        <v>ดี</v>
      </c>
      <c r="E1807" s="12" t="n">
        <f aca="false">YEAR(A1807)</f>
        <v>2025</v>
      </c>
      <c r="F1807" s="12" t="n">
        <f aca="false">MONTH(A1807)</f>
        <v>12</v>
      </c>
      <c r="G1807" s="12" t="n">
        <v>17.6</v>
      </c>
      <c r="H1807" s="12" t="n">
        <v>37.8</v>
      </c>
      <c r="I1807" s="12" t="n">
        <v>11</v>
      </c>
      <c r="J1807" s="12" t="n">
        <v>2</v>
      </c>
      <c r="K1807" s="12" t="n">
        <v>0</v>
      </c>
      <c r="L1807" s="12" t="s">
        <v>36</v>
      </c>
    </row>
    <row r="1808" customFormat="false" ht="15" hidden="false" customHeight="false" outlineLevel="0" collapsed="false">
      <c r="A1808" s="11" t="n">
        <v>46003</v>
      </c>
      <c r="B1808" s="12" t="n">
        <v>9.8</v>
      </c>
      <c r="C1808" s="12" t="n">
        <f aca="false">IF(NOT(ISNUMBER(B1808)),"",ROUND((INDEX(BP!$D$5:$D$9,MATCH(B1808,BP!$A$5:$A$9,1))-INDEX(BP!$C$5:$C$9,MATCH(B1808,BP!$A$5:$A$9,1)))/(INDEX(BP!$B$5:$B$9,MATCH(B1808,BP!$A$5:$A$9,1))-INDEX(BP!$A$5:$A$9,MATCH(B1808,BP!$A$5:$A$9,1)))*(B1808-INDEX(BP!$A$5:$A$9,MATCH(B1808,BP!$A$5:$A$9,1)))+INDEX(BP!$C$5:$C$9,MATCH(B1808,BP!$A$5:$A$9,1)),0))</f>
        <v>16</v>
      </c>
      <c r="D1808" s="12" t="str">
        <f aca="false">IF(NOT(ISNUMBER(C1808)),"",INDEX(BP!$F$5:$F$9,MATCH(C1808,BP!$E$5:$E$9,1)))</f>
        <v>ดีมาก</v>
      </c>
      <c r="E1808" s="12" t="n">
        <f aca="false">YEAR(A1808)</f>
        <v>2025</v>
      </c>
      <c r="F1808" s="12" t="n">
        <f aca="false">MONTH(A1808)</f>
        <v>12</v>
      </c>
      <c r="G1808" s="12" t="n">
        <v>14.3</v>
      </c>
      <c r="H1808" s="12" t="n">
        <v>27</v>
      </c>
      <c r="I1808" s="12" t="n">
        <v>64</v>
      </c>
      <c r="J1808" s="12" t="n">
        <v>1.8</v>
      </c>
      <c r="K1808" s="12" t="n">
        <v>0</v>
      </c>
      <c r="L1808" s="12" t="s">
        <v>36</v>
      </c>
    </row>
    <row r="1809" customFormat="false" ht="15" hidden="false" customHeight="false" outlineLevel="0" collapsed="false">
      <c r="A1809" s="11" t="n">
        <v>46004</v>
      </c>
      <c r="B1809" s="12" t="n">
        <v>9.7</v>
      </c>
      <c r="C1809" s="12" t="n">
        <f aca="false">IF(NOT(ISNUMBER(B1809)),"",ROUND((INDEX(BP!$D$5:$D$9,MATCH(B1809,BP!$A$5:$A$9,1))-INDEX(BP!$C$5:$C$9,MATCH(B1809,BP!$A$5:$A$9,1)))/(INDEX(BP!$B$5:$B$9,MATCH(B1809,BP!$A$5:$A$9,1))-INDEX(BP!$A$5:$A$9,MATCH(B1809,BP!$A$5:$A$9,1)))*(B1809-INDEX(BP!$A$5:$A$9,MATCH(B1809,BP!$A$5:$A$9,1)))+INDEX(BP!$C$5:$C$9,MATCH(B1809,BP!$A$5:$A$9,1)),0))</f>
        <v>16</v>
      </c>
      <c r="D1809" s="12" t="str">
        <f aca="false">IF(NOT(ISNUMBER(C1809)),"",INDEX(BP!$F$5:$F$9,MATCH(C1809,BP!$E$5:$E$9,1)))</f>
        <v>ดีมาก</v>
      </c>
      <c r="E1809" s="12" t="n">
        <f aca="false">YEAR(A1809)</f>
        <v>2025</v>
      </c>
      <c r="F1809" s="12" t="n">
        <f aca="false">MONTH(A1809)</f>
        <v>12</v>
      </c>
      <c r="G1809" s="12" t="n">
        <v>20</v>
      </c>
      <c r="H1809" s="12" t="n">
        <v>42.5</v>
      </c>
      <c r="I1809" s="12" t="n">
        <v>86</v>
      </c>
      <c r="J1809" s="12" t="n">
        <v>12.8</v>
      </c>
      <c r="K1809" s="12" t="n">
        <v>0.6</v>
      </c>
      <c r="L1809" s="12" t="s">
        <v>35</v>
      </c>
    </row>
    <row r="1810" customFormat="false" ht="15" hidden="false" customHeight="false" outlineLevel="0" collapsed="false">
      <c r="A1810" s="11" t="n">
        <v>46005</v>
      </c>
      <c r="B1810" s="12" t="n">
        <v>10.2</v>
      </c>
      <c r="C1810" s="12" t="n">
        <f aca="false">IF(NOT(ISNUMBER(B1810)),"",ROUND((INDEX(BP!$D$5:$D$9,MATCH(B1810,BP!$A$5:$A$9,1))-INDEX(BP!$C$5:$C$9,MATCH(B1810,BP!$A$5:$A$9,1)))/(INDEX(BP!$B$5:$B$9,MATCH(B1810,BP!$A$5:$A$9,1))-INDEX(BP!$A$5:$A$9,MATCH(B1810,BP!$A$5:$A$9,1)))*(B1810-INDEX(BP!$A$5:$A$9,MATCH(B1810,BP!$A$5:$A$9,1)))+INDEX(BP!$C$5:$C$9,MATCH(B1810,BP!$A$5:$A$9,1)),0))</f>
        <v>17</v>
      </c>
      <c r="D1810" s="12" t="str">
        <f aca="false">IF(NOT(ISNUMBER(C1810)),"",INDEX(BP!$F$5:$F$9,MATCH(C1810,BP!$E$5:$E$9,1)))</f>
        <v>ดีมาก</v>
      </c>
      <c r="E1810" s="12" t="n">
        <f aca="false">YEAR(A1810)</f>
        <v>2025</v>
      </c>
      <c r="F1810" s="12" t="n">
        <f aca="false">MONTH(A1810)</f>
        <v>12</v>
      </c>
      <c r="G1810" s="12" t="n">
        <v>21.8</v>
      </c>
      <c r="H1810" s="12" t="n">
        <v>50.4</v>
      </c>
      <c r="I1810" s="12" t="n">
        <v>70</v>
      </c>
      <c r="J1810" s="12" t="n">
        <v>10.5</v>
      </c>
      <c r="K1810" s="12" t="n">
        <v>17.2</v>
      </c>
      <c r="L1810" s="12" t="s">
        <v>35</v>
      </c>
    </row>
    <row r="1811" customFormat="false" ht="15" hidden="false" customHeight="false" outlineLevel="0" collapsed="false">
      <c r="A1811" s="11" t="n">
        <v>46006</v>
      </c>
      <c r="B1811" s="12" t="n">
        <v>12.6</v>
      </c>
      <c r="C1811" s="12" t="n">
        <f aca="false">IF(NOT(ISNUMBER(B1811)),"",ROUND((INDEX(BP!$D$5:$D$9,MATCH(B1811,BP!$A$5:$A$9,1))-INDEX(BP!$C$5:$C$9,MATCH(B1811,BP!$A$5:$A$9,1)))/(INDEX(BP!$B$5:$B$9,MATCH(B1811,BP!$A$5:$A$9,1))-INDEX(BP!$A$5:$A$9,MATCH(B1811,BP!$A$5:$A$9,1)))*(B1811-INDEX(BP!$A$5:$A$9,MATCH(B1811,BP!$A$5:$A$9,1)))+INDEX(BP!$C$5:$C$9,MATCH(B1811,BP!$A$5:$A$9,1)),0))</f>
        <v>21</v>
      </c>
      <c r="D1811" s="12" t="str">
        <f aca="false">IF(NOT(ISNUMBER(C1811)),"",INDEX(BP!$F$5:$F$9,MATCH(C1811,BP!$E$5:$E$9,1)))</f>
        <v>ดีมาก</v>
      </c>
      <c r="E1811" s="12" t="n">
        <f aca="false">YEAR(A1811)</f>
        <v>2025</v>
      </c>
      <c r="F1811" s="12" t="n">
        <f aca="false">MONTH(A1811)</f>
        <v>12</v>
      </c>
      <c r="G1811" s="12" t="n">
        <v>25.2</v>
      </c>
      <c r="H1811" s="12" t="n">
        <v>49</v>
      </c>
      <c r="I1811" s="12" t="n">
        <v>82</v>
      </c>
      <c r="J1811" s="12" t="n">
        <v>13.5</v>
      </c>
      <c r="K1811" s="12" t="n">
        <v>3.9</v>
      </c>
      <c r="L1811" s="12" t="s">
        <v>36</v>
      </c>
    </row>
    <row r="1812" customFormat="false" ht="15" hidden="false" customHeight="false" outlineLevel="0" collapsed="false">
      <c r="A1812" s="11" t="n">
        <v>46007</v>
      </c>
      <c r="B1812" s="12" t="n">
        <v>12.3</v>
      </c>
      <c r="C1812" s="12" t="n">
        <f aca="false">IF(NOT(ISNUMBER(B1812)),"",ROUND((INDEX(BP!$D$5:$D$9,MATCH(B1812,BP!$A$5:$A$9,1))-INDEX(BP!$C$5:$C$9,MATCH(B1812,BP!$A$5:$A$9,1)))/(INDEX(BP!$B$5:$B$9,MATCH(B1812,BP!$A$5:$A$9,1))-INDEX(BP!$A$5:$A$9,MATCH(B1812,BP!$A$5:$A$9,1)))*(B1812-INDEX(BP!$A$5:$A$9,MATCH(B1812,BP!$A$5:$A$9,1)))+INDEX(BP!$C$5:$C$9,MATCH(B1812,BP!$A$5:$A$9,1)),0))</f>
        <v>21</v>
      </c>
      <c r="D1812" s="12" t="str">
        <f aca="false">IF(NOT(ISNUMBER(C1812)),"",INDEX(BP!$F$5:$F$9,MATCH(C1812,BP!$E$5:$E$9,1)))</f>
        <v>ดีมาก</v>
      </c>
      <c r="E1812" s="12" t="n">
        <f aca="false">YEAR(A1812)</f>
        <v>2025</v>
      </c>
      <c r="F1812" s="12" t="n">
        <f aca="false">MONTH(A1812)</f>
        <v>12</v>
      </c>
      <c r="G1812" s="12" t="n">
        <v>24.3</v>
      </c>
      <c r="H1812" s="12" t="n">
        <v>50</v>
      </c>
      <c r="I1812" s="12" t="n">
        <v>68</v>
      </c>
      <c r="J1812" s="12" t="n">
        <v>9.1</v>
      </c>
      <c r="K1812" s="12" t="n">
        <v>3.4</v>
      </c>
      <c r="L1812" s="12" t="s">
        <v>36</v>
      </c>
    </row>
    <row r="1813" customFormat="false" ht="15" hidden="false" customHeight="false" outlineLevel="0" collapsed="false">
      <c r="A1813" s="11" t="n">
        <v>46008</v>
      </c>
      <c r="B1813" s="12" t="n">
        <v>13.7</v>
      </c>
      <c r="C1813" s="12" t="n">
        <f aca="false">IF(NOT(ISNUMBER(B1813)),"",ROUND((INDEX(BP!$D$5:$D$9,MATCH(B1813,BP!$A$5:$A$9,1))-INDEX(BP!$C$5:$C$9,MATCH(B1813,BP!$A$5:$A$9,1)))/(INDEX(BP!$B$5:$B$9,MATCH(B1813,BP!$A$5:$A$9,1))-INDEX(BP!$A$5:$A$9,MATCH(B1813,BP!$A$5:$A$9,1)))*(B1813-INDEX(BP!$A$5:$A$9,MATCH(B1813,BP!$A$5:$A$9,1)))+INDEX(BP!$C$5:$C$9,MATCH(B1813,BP!$A$5:$A$9,1)),0))</f>
        <v>23</v>
      </c>
      <c r="D1813" s="12" t="str">
        <f aca="false">IF(NOT(ISNUMBER(C1813)),"",INDEX(BP!$F$5:$F$9,MATCH(C1813,BP!$E$5:$E$9,1)))</f>
        <v>ดีมาก</v>
      </c>
      <c r="E1813" s="12" t="n">
        <f aca="false">YEAR(A1813)</f>
        <v>2025</v>
      </c>
      <c r="F1813" s="12" t="n">
        <f aca="false">MONTH(A1813)</f>
        <v>12</v>
      </c>
      <c r="G1813" s="12" t="n">
        <v>21.1</v>
      </c>
      <c r="H1813" s="12" t="n">
        <v>47.2</v>
      </c>
      <c r="I1813" s="12" t="n">
        <v>69</v>
      </c>
      <c r="J1813" s="12" t="n">
        <v>10.9</v>
      </c>
      <c r="K1813" s="12" t="n">
        <v>22.2</v>
      </c>
      <c r="L1813" s="12" t="s">
        <v>36</v>
      </c>
    </row>
    <row r="1814" customFormat="false" ht="15" hidden="false" customHeight="false" outlineLevel="0" collapsed="false">
      <c r="A1814" s="11" t="n">
        <v>46009</v>
      </c>
      <c r="B1814" s="12" t="n">
        <v>13.3</v>
      </c>
      <c r="C1814" s="12" t="n">
        <f aca="false">IF(NOT(ISNUMBER(B1814)),"",ROUND((INDEX(BP!$D$5:$D$9,MATCH(B1814,BP!$A$5:$A$9,1))-INDEX(BP!$C$5:$C$9,MATCH(B1814,BP!$A$5:$A$9,1)))/(INDEX(BP!$B$5:$B$9,MATCH(B1814,BP!$A$5:$A$9,1))-INDEX(BP!$A$5:$A$9,MATCH(B1814,BP!$A$5:$A$9,1)))*(B1814-INDEX(BP!$A$5:$A$9,MATCH(B1814,BP!$A$5:$A$9,1)))+INDEX(BP!$C$5:$C$9,MATCH(B1814,BP!$A$5:$A$9,1)),0))</f>
        <v>22</v>
      </c>
      <c r="D1814" s="12" t="str">
        <f aca="false">IF(NOT(ISNUMBER(C1814)),"",INDEX(BP!$F$5:$F$9,MATCH(C1814,BP!$E$5:$E$9,1)))</f>
        <v>ดีมาก</v>
      </c>
      <c r="E1814" s="12" t="n">
        <f aca="false">YEAR(A1814)</f>
        <v>2025</v>
      </c>
      <c r="F1814" s="12" t="n">
        <f aca="false">MONTH(A1814)</f>
        <v>12</v>
      </c>
      <c r="G1814" s="12" t="n">
        <v>19.5</v>
      </c>
      <c r="H1814" s="12" t="n">
        <v>43.2</v>
      </c>
      <c r="I1814" s="12" t="n">
        <v>62</v>
      </c>
      <c r="J1814" s="12" t="n">
        <v>18.2</v>
      </c>
      <c r="K1814" s="12" t="n">
        <v>63.2</v>
      </c>
      <c r="L1814" s="12" t="s">
        <v>36</v>
      </c>
    </row>
    <row r="1815" customFormat="false" ht="15" hidden="false" customHeight="false" outlineLevel="0" collapsed="false">
      <c r="A1815" s="11" t="n">
        <v>46010</v>
      </c>
      <c r="B1815" s="12" t="n">
        <v>13.3</v>
      </c>
      <c r="C1815" s="12" t="n">
        <f aca="false">IF(NOT(ISNUMBER(B1815)),"",ROUND((INDEX(BP!$D$5:$D$9,MATCH(B1815,BP!$A$5:$A$9,1))-INDEX(BP!$C$5:$C$9,MATCH(B1815,BP!$A$5:$A$9,1)))/(INDEX(BP!$B$5:$B$9,MATCH(B1815,BP!$A$5:$A$9,1))-INDEX(BP!$A$5:$A$9,MATCH(B1815,BP!$A$5:$A$9,1)))*(B1815-INDEX(BP!$A$5:$A$9,MATCH(B1815,BP!$A$5:$A$9,1)))+INDEX(BP!$C$5:$C$9,MATCH(B1815,BP!$A$5:$A$9,1)),0))</f>
        <v>22</v>
      </c>
      <c r="D1815" s="12" t="str">
        <f aca="false">IF(NOT(ISNUMBER(C1815)),"",INDEX(BP!$F$5:$F$9,MATCH(C1815,BP!$E$5:$E$9,1)))</f>
        <v>ดีมาก</v>
      </c>
      <c r="E1815" s="12" t="n">
        <f aca="false">YEAR(A1815)</f>
        <v>2025</v>
      </c>
      <c r="F1815" s="12" t="n">
        <f aca="false">MONTH(A1815)</f>
        <v>12</v>
      </c>
      <c r="G1815" s="12" t="n">
        <v>15.1</v>
      </c>
      <c r="H1815" s="12" t="n">
        <v>35.6</v>
      </c>
      <c r="I1815" s="12" t="n">
        <v>48</v>
      </c>
      <c r="J1815" s="12" t="n">
        <v>7.6</v>
      </c>
      <c r="K1815" s="12" t="n">
        <v>15.2</v>
      </c>
      <c r="L1815" s="12" t="s">
        <v>36</v>
      </c>
    </row>
    <row r="1816" customFormat="false" ht="15" hidden="false" customHeight="false" outlineLevel="0" collapsed="false">
      <c r="A1816" s="11" t="n">
        <v>46011</v>
      </c>
      <c r="B1816" s="12" t="n">
        <v>15</v>
      </c>
      <c r="C1816" s="12" t="n">
        <f aca="false">IF(NOT(ISNUMBER(B1816)),"",ROUND((INDEX(BP!$D$5:$D$9,MATCH(B1816,BP!$A$5:$A$9,1))-INDEX(BP!$C$5:$C$9,MATCH(B1816,BP!$A$5:$A$9,1)))/(INDEX(BP!$B$5:$B$9,MATCH(B1816,BP!$A$5:$A$9,1))-INDEX(BP!$A$5:$A$9,MATCH(B1816,BP!$A$5:$A$9,1)))*(B1816-INDEX(BP!$A$5:$A$9,MATCH(B1816,BP!$A$5:$A$9,1)))+INDEX(BP!$C$5:$C$9,MATCH(B1816,BP!$A$5:$A$9,1)),0))</f>
        <v>25</v>
      </c>
      <c r="D1816" s="12" t="str">
        <f aca="false">IF(NOT(ISNUMBER(C1816)),"",INDEX(BP!$F$5:$F$9,MATCH(C1816,BP!$E$5:$E$9,1)))</f>
        <v>ดีมาก</v>
      </c>
      <c r="E1816" s="12" t="n">
        <f aca="false">YEAR(A1816)</f>
        <v>2025</v>
      </c>
      <c r="F1816" s="12" t="n">
        <f aca="false">MONTH(A1816)</f>
        <v>12</v>
      </c>
      <c r="G1816" s="12" t="n">
        <v>19</v>
      </c>
      <c r="H1816" s="12" t="n">
        <v>38.9</v>
      </c>
      <c r="I1816" s="12" t="n">
        <v>63</v>
      </c>
      <c r="J1816" s="12" t="n">
        <v>0.9</v>
      </c>
      <c r="K1816" s="12" t="n">
        <v>0</v>
      </c>
      <c r="L1816" s="12" t="s">
        <v>35</v>
      </c>
    </row>
    <row r="1817" customFormat="false" ht="15" hidden="false" customHeight="false" outlineLevel="0" collapsed="false">
      <c r="A1817" s="11" t="n">
        <v>46012</v>
      </c>
      <c r="B1817" s="12" t="n">
        <v>13.9</v>
      </c>
      <c r="C1817" s="12" t="n">
        <f aca="false">IF(NOT(ISNUMBER(B1817)),"",ROUND((INDEX(BP!$D$5:$D$9,MATCH(B1817,BP!$A$5:$A$9,1))-INDEX(BP!$C$5:$C$9,MATCH(B1817,BP!$A$5:$A$9,1)))/(INDEX(BP!$B$5:$B$9,MATCH(B1817,BP!$A$5:$A$9,1))-INDEX(BP!$A$5:$A$9,MATCH(B1817,BP!$A$5:$A$9,1)))*(B1817-INDEX(BP!$A$5:$A$9,MATCH(B1817,BP!$A$5:$A$9,1)))+INDEX(BP!$C$5:$C$9,MATCH(B1817,BP!$A$5:$A$9,1)),0))</f>
        <v>23</v>
      </c>
      <c r="D1817" s="12" t="str">
        <f aca="false">IF(NOT(ISNUMBER(C1817)),"",INDEX(BP!$F$5:$F$9,MATCH(C1817,BP!$E$5:$E$9,1)))</f>
        <v>ดีมาก</v>
      </c>
      <c r="E1817" s="12" t="n">
        <f aca="false">YEAR(A1817)</f>
        <v>2025</v>
      </c>
      <c r="F1817" s="12" t="n">
        <f aca="false">MONTH(A1817)</f>
        <v>12</v>
      </c>
      <c r="G1817" s="12" t="n">
        <v>15.9</v>
      </c>
      <c r="H1817" s="12" t="n">
        <v>39.6</v>
      </c>
      <c r="I1817" s="12" t="n">
        <v>45</v>
      </c>
      <c r="J1817" s="12" t="n">
        <v>2.1</v>
      </c>
      <c r="K1817" s="12" t="n">
        <v>7.4</v>
      </c>
      <c r="L1817" s="12" t="s">
        <v>35</v>
      </c>
    </row>
    <row r="1818" customFormat="false" ht="15" hidden="false" customHeight="false" outlineLevel="0" collapsed="false">
      <c r="A1818" s="11" t="n">
        <v>46013</v>
      </c>
      <c r="B1818" s="12" t="n">
        <v>16</v>
      </c>
      <c r="C1818" s="12" t="n">
        <f aca="false">IF(NOT(ISNUMBER(B1818)),"",ROUND((INDEX(BP!$D$5:$D$9,MATCH(B1818,BP!$A$5:$A$9,1))-INDEX(BP!$C$5:$C$9,MATCH(B1818,BP!$A$5:$A$9,1)))/(INDEX(BP!$B$5:$B$9,MATCH(B1818,BP!$A$5:$A$9,1))-INDEX(BP!$A$5:$A$9,MATCH(B1818,BP!$A$5:$A$9,1)))*(B1818-INDEX(BP!$A$5:$A$9,MATCH(B1818,BP!$A$5:$A$9,1)))+INDEX(BP!$C$5:$C$9,MATCH(B1818,BP!$A$5:$A$9,1)),0))</f>
        <v>28</v>
      </c>
      <c r="D1818" s="12" t="str">
        <f aca="false">IF(NOT(ISNUMBER(C1818)),"",INDEX(BP!$F$5:$F$9,MATCH(C1818,BP!$E$5:$E$9,1)))</f>
        <v>ดี</v>
      </c>
      <c r="E1818" s="12" t="n">
        <f aca="false">YEAR(A1818)</f>
        <v>2025</v>
      </c>
      <c r="F1818" s="12" t="n">
        <f aca="false">MONTH(A1818)</f>
        <v>12</v>
      </c>
      <c r="G1818" s="12" t="n">
        <v>15.2</v>
      </c>
      <c r="H1818" s="12" t="n">
        <v>31.3</v>
      </c>
      <c r="I1818" s="12" t="n">
        <v>31</v>
      </c>
      <c r="J1818" s="12" t="n">
        <v>0</v>
      </c>
      <c r="K1818" s="12" t="n">
        <v>0</v>
      </c>
      <c r="L1818" s="12" t="s">
        <v>36</v>
      </c>
    </row>
    <row r="1819" customFormat="false" ht="15" hidden="false" customHeight="false" outlineLevel="0" collapsed="false">
      <c r="A1819" s="11" t="n">
        <v>46014</v>
      </c>
      <c r="B1819" s="12" t="n">
        <v>17.8</v>
      </c>
      <c r="C1819" s="12" t="n">
        <f aca="false">IF(NOT(ISNUMBER(B1819)),"",ROUND((INDEX(BP!$D$5:$D$9,MATCH(B1819,BP!$A$5:$A$9,1))-INDEX(BP!$C$5:$C$9,MATCH(B1819,BP!$A$5:$A$9,1)))/(INDEX(BP!$B$5:$B$9,MATCH(B1819,BP!$A$5:$A$9,1))-INDEX(BP!$A$5:$A$9,MATCH(B1819,BP!$A$5:$A$9,1)))*(B1819-INDEX(BP!$A$5:$A$9,MATCH(B1819,BP!$A$5:$A$9,1)))+INDEX(BP!$C$5:$C$9,MATCH(B1819,BP!$A$5:$A$9,1)),0))</f>
        <v>33</v>
      </c>
      <c r="D1819" s="12" t="str">
        <f aca="false">IF(NOT(ISNUMBER(C1819)),"",INDEX(BP!$F$5:$F$9,MATCH(C1819,BP!$E$5:$E$9,1)))</f>
        <v>ดี</v>
      </c>
      <c r="E1819" s="12" t="n">
        <f aca="false">YEAR(A1819)</f>
        <v>2025</v>
      </c>
      <c r="F1819" s="12" t="n">
        <f aca="false">MONTH(A1819)</f>
        <v>12</v>
      </c>
      <c r="G1819" s="12" t="n">
        <v>16.8</v>
      </c>
      <c r="H1819" s="12" t="n">
        <v>35.3</v>
      </c>
      <c r="I1819" s="12" t="n">
        <v>49</v>
      </c>
      <c r="J1819" s="12" t="n">
        <v>0.7</v>
      </c>
      <c r="K1819" s="12" t="n">
        <v>0</v>
      </c>
      <c r="L1819" s="12" t="s">
        <v>36</v>
      </c>
    </row>
    <row r="1820" customFormat="false" ht="15" hidden="false" customHeight="false" outlineLevel="0" collapsed="false">
      <c r="A1820" s="11" t="n">
        <v>46015</v>
      </c>
      <c r="B1820" s="12" t="n">
        <v>17.3</v>
      </c>
      <c r="C1820" s="12" t="n">
        <f aca="false">IF(NOT(ISNUMBER(B1820)),"",ROUND((INDEX(BP!$D$5:$D$9,MATCH(B1820,BP!$A$5:$A$9,1))-INDEX(BP!$C$5:$C$9,MATCH(B1820,BP!$A$5:$A$9,1)))/(INDEX(BP!$B$5:$B$9,MATCH(B1820,BP!$A$5:$A$9,1))-INDEX(BP!$A$5:$A$9,MATCH(B1820,BP!$A$5:$A$9,1)))*(B1820-INDEX(BP!$A$5:$A$9,MATCH(B1820,BP!$A$5:$A$9,1)))+INDEX(BP!$C$5:$C$9,MATCH(B1820,BP!$A$5:$A$9,1)),0))</f>
        <v>31</v>
      </c>
      <c r="D1820" s="12" t="str">
        <f aca="false">IF(NOT(ISNUMBER(C1820)),"",INDEX(BP!$F$5:$F$9,MATCH(C1820,BP!$E$5:$E$9,1)))</f>
        <v>ดี</v>
      </c>
      <c r="E1820" s="12" t="n">
        <f aca="false">YEAR(A1820)</f>
        <v>2025</v>
      </c>
      <c r="F1820" s="12" t="n">
        <f aca="false">MONTH(A1820)</f>
        <v>12</v>
      </c>
      <c r="G1820" s="12" t="n">
        <v>14.4</v>
      </c>
      <c r="H1820" s="12" t="n">
        <v>32.4</v>
      </c>
      <c r="I1820" s="12" t="n">
        <v>37</v>
      </c>
      <c r="J1820" s="12" t="n">
        <v>0.2</v>
      </c>
      <c r="K1820" s="12" t="n">
        <v>0</v>
      </c>
      <c r="L1820" s="12" t="s">
        <v>36</v>
      </c>
    </row>
    <row r="1821" customFormat="false" ht="15" hidden="false" customHeight="false" outlineLevel="0" collapsed="false">
      <c r="A1821" s="11" t="n">
        <v>46016</v>
      </c>
      <c r="B1821" s="12" t="n">
        <v>14.1</v>
      </c>
      <c r="C1821" s="12" t="n">
        <f aca="false">IF(NOT(ISNUMBER(B1821)),"",ROUND((INDEX(BP!$D$5:$D$9,MATCH(B1821,BP!$A$5:$A$9,1))-INDEX(BP!$C$5:$C$9,MATCH(B1821,BP!$A$5:$A$9,1)))/(INDEX(BP!$B$5:$B$9,MATCH(B1821,BP!$A$5:$A$9,1))-INDEX(BP!$A$5:$A$9,MATCH(B1821,BP!$A$5:$A$9,1)))*(B1821-INDEX(BP!$A$5:$A$9,MATCH(B1821,BP!$A$5:$A$9,1)))+INDEX(BP!$C$5:$C$9,MATCH(B1821,BP!$A$5:$A$9,1)),0))</f>
        <v>24</v>
      </c>
      <c r="D1821" s="12" t="str">
        <f aca="false">IF(NOT(ISNUMBER(C1821)),"",INDEX(BP!$F$5:$F$9,MATCH(C1821,BP!$E$5:$E$9,1)))</f>
        <v>ดีมาก</v>
      </c>
      <c r="E1821" s="12" t="n">
        <f aca="false">YEAR(A1821)</f>
        <v>2025</v>
      </c>
      <c r="F1821" s="12" t="n">
        <f aca="false">MONTH(A1821)</f>
        <v>12</v>
      </c>
      <c r="G1821" s="12" t="n">
        <v>20.3</v>
      </c>
      <c r="H1821" s="12" t="n">
        <v>39.2</v>
      </c>
      <c r="I1821" s="12" t="n">
        <v>38</v>
      </c>
      <c r="J1821" s="12" t="n">
        <v>2.7</v>
      </c>
      <c r="K1821" s="12" t="n">
        <v>11</v>
      </c>
      <c r="L1821" s="12" t="s">
        <v>36</v>
      </c>
    </row>
    <row r="1822" customFormat="false" ht="15" hidden="false" customHeight="false" outlineLevel="0" collapsed="false">
      <c r="A1822" s="11" t="n">
        <v>46017</v>
      </c>
      <c r="B1822" s="12" t="n">
        <v>10.8</v>
      </c>
      <c r="C1822" s="12" t="n">
        <f aca="false">IF(NOT(ISNUMBER(B1822)),"",ROUND((INDEX(BP!$D$5:$D$9,MATCH(B1822,BP!$A$5:$A$9,1))-INDEX(BP!$C$5:$C$9,MATCH(B1822,BP!$A$5:$A$9,1)))/(INDEX(BP!$B$5:$B$9,MATCH(B1822,BP!$A$5:$A$9,1))-INDEX(BP!$A$5:$A$9,MATCH(B1822,BP!$A$5:$A$9,1)))*(B1822-INDEX(BP!$A$5:$A$9,MATCH(B1822,BP!$A$5:$A$9,1)))+INDEX(BP!$C$5:$C$9,MATCH(B1822,BP!$A$5:$A$9,1)),0))</f>
        <v>18</v>
      </c>
      <c r="D1822" s="12" t="str">
        <f aca="false">IF(NOT(ISNUMBER(C1822)),"",INDEX(BP!$F$5:$F$9,MATCH(C1822,BP!$E$5:$E$9,1)))</f>
        <v>ดีมาก</v>
      </c>
      <c r="E1822" s="12" t="n">
        <f aca="false">YEAR(A1822)</f>
        <v>2025</v>
      </c>
      <c r="F1822" s="12" t="n">
        <f aca="false">MONTH(A1822)</f>
        <v>12</v>
      </c>
      <c r="G1822" s="12" t="n">
        <v>23.3</v>
      </c>
      <c r="H1822" s="12" t="n">
        <v>42.1</v>
      </c>
      <c r="I1822" s="12" t="n">
        <v>80</v>
      </c>
      <c r="J1822" s="12" t="n">
        <v>21.5</v>
      </c>
      <c r="K1822" s="12" t="n">
        <v>5.8</v>
      </c>
      <c r="L1822" s="12" t="s">
        <v>36</v>
      </c>
    </row>
    <row r="1823" customFormat="false" ht="15" hidden="false" customHeight="false" outlineLevel="0" collapsed="false">
      <c r="A1823" s="11" t="n">
        <v>46018</v>
      </c>
      <c r="B1823" s="12" t="n">
        <v>14.4</v>
      </c>
      <c r="C1823" s="12" t="n">
        <f aca="false">IF(NOT(ISNUMBER(B1823)),"",ROUND((INDEX(BP!$D$5:$D$9,MATCH(B1823,BP!$A$5:$A$9,1))-INDEX(BP!$C$5:$C$9,MATCH(B1823,BP!$A$5:$A$9,1)))/(INDEX(BP!$B$5:$B$9,MATCH(B1823,BP!$A$5:$A$9,1))-INDEX(BP!$A$5:$A$9,MATCH(B1823,BP!$A$5:$A$9,1)))*(B1823-INDEX(BP!$A$5:$A$9,MATCH(B1823,BP!$A$5:$A$9,1)))+INDEX(BP!$C$5:$C$9,MATCH(B1823,BP!$A$5:$A$9,1)),0))</f>
        <v>24</v>
      </c>
      <c r="D1823" s="12" t="str">
        <f aca="false">IF(NOT(ISNUMBER(C1823)),"",INDEX(BP!$F$5:$F$9,MATCH(C1823,BP!$E$5:$E$9,1)))</f>
        <v>ดีมาก</v>
      </c>
      <c r="E1823" s="12" t="n">
        <f aca="false">YEAR(A1823)</f>
        <v>2025</v>
      </c>
      <c r="F1823" s="12" t="n">
        <f aca="false">MONTH(A1823)</f>
        <v>12</v>
      </c>
      <c r="G1823" s="12" t="n">
        <v>27.1</v>
      </c>
      <c r="H1823" s="12" t="n">
        <v>52.6</v>
      </c>
      <c r="I1823" s="12" t="n">
        <v>97</v>
      </c>
      <c r="J1823" s="12" t="n">
        <v>3.9</v>
      </c>
      <c r="K1823" s="12" t="n">
        <v>0.2</v>
      </c>
      <c r="L1823" s="12" t="s">
        <v>35</v>
      </c>
    </row>
    <row r="1824" customFormat="false" ht="15" hidden="false" customHeight="false" outlineLevel="0" collapsed="false">
      <c r="A1824" s="11" t="n">
        <v>46019</v>
      </c>
      <c r="B1824" s="12" t="n">
        <v>12.9</v>
      </c>
      <c r="C1824" s="12" t="n">
        <f aca="false">IF(NOT(ISNUMBER(B1824)),"",ROUND((INDEX(BP!$D$5:$D$9,MATCH(B1824,BP!$A$5:$A$9,1))-INDEX(BP!$C$5:$C$9,MATCH(B1824,BP!$A$5:$A$9,1)))/(INDEX(BP!$B$5:$B$9,MATCH(B1824,BP!$A$5:$A$9,1))-INDEX(BP!$A$5:$A$9,MATCH(B1824,BP!$A$5:$A$9,1)))*(B1824-INDEX(BP!$A$5:$A$9,MATCH(B1824,BP!$A$5:$A$9,1)))+INDEX(BP!$C$5:$C$9,MATCH(B1824,BP!$A$5:$A$9,1)),0))</f>
        <v>22</v>
      </c>
      <c r="D1824" s="12" t="str">
        <f aca="false">IF(NOT(ISNUMBER(C1824)),"",INDEX(BP!$F$5:$F$9,MATCH(C1824,BP!$E$5:$E$9,1)))</f>
        <v>ดีมาก</v>
      </c>
      <c r="E1824" s="12" t="n">
        <f aca="false">YEAR(A1824)</f>
        <v>2025</v>
      </c>
      <c r="F1824" s="12" t="n">
        <f aca="false">MONTH(A1824)</f>
        <v>12</v>
      </c>
      <c r="G1824" s="12" t="n">
        <v>23.2</v>
      </c>
      <c r="H1824" s="12" t="n">
        <v>46.1</v>
      </c>
      <c r="I1824" s="12" t="n">
        <v>89</v>
      </c>
      <c r="J1824" s="12" t="n">
        <v>5.1</v>
      </c>
      <c r="K1824" s="12" t="n">
        <v>6.6</v>
      </c>
      <c r="L1824" s="12" t="s">
        <v>35</v>
      </c>
    </row>
    <row r="1825" customFormat="false" ht="15" hidden="false" customHeight="false" outlineLevel="0" collapsed="false">
      <c r="A1825" s="11" t="n">
        <v>46020</v>
      </c>
      <c r="B1825" s="12" t="n">
        <v>14.7</v>
      </c>
      <c r="C1825" s="12" t="n">
        <f aca="false">IF(NOT(ISNUMBER(B1825)),"",ROUND((INDEX(BP!$D$5:$D$9,MATCH(B1825,BP!$A$5:$A$9,1))-INDEX(BP!$C$5:$C$9,MATCH(B1825,BP!$A$5:$A$9,1)))/(INDEX(BP!$B$5:$B$9,MATCH(B1825,BP!$A$5:$A$9,1))-INDEX(BP!$A$5:$A$9,MATCH(B1825,BP!$A$5:$A$9,1)))*(B1825-INDEX(BP!$A$5:$A$9,MATCH(B1825,BP!$A$5:$A$9,1)))+INDEX(BP!$C$5:$C$9,MATCH(B1825,BP!$A$5:$A$9,1)),0))</f>
        <v>25</v>
      </c>
      <c r="D1825" s="12" t="str">
        <f aca="false">IF(NOT(ISNUMBER(C1825)),"",INDEX(BP!$F$5:$F$9,MATCH(C1825,BP!$E$5:$E$9,1)))</f>
        <v>ดีมาก</v>
      </c>
      <c r="E1825" s="12" t="n">
        <f aca="false">YEAR(A1825)</f>
        <v>2025</v>
      </c>
      <c r="F1825" s="12" t="n">
        <f aca="false">MONTH(A1825)</f>
        <v>12</v>
      </c>
      <c r="G1825" s="12" t="n">
        <v>20.1</v>
      </c>
      <c r="H1825" s="12" t="n">
        <v>41</v>
      </c>
      <c r="I1825" s="12" t="n">
        <v>78</v>
      </c>
      <c r="J1825" s="12" t="n">
        <v>2.5</v>
      </c>
      <c r="K1825" s="12" t="n">
        <v>0</v>
      </c>
      <c r="L1825" s="12" t="s">
        <v>36</v>
      </c>
    </row>
    <row r="1826" customFormat="false" ht="15" hidden="false" customHeight="false" outlineLevel="0" collapsed="false">
      <c r="A1826" s="11" t="n">
        <v>46021</v>
      </c>
      <c r="B1826" s="12" t="n">
        <v>19.2</v>
      </c>
      <c r="C1826" s="12" t="n">
        <f aca="false">IF(NOT(ISNUMBER(B1826)),"",ROUND((INDEX(BP!$D$5:$D$9,MATCH(B1826,BP!$A$5:$A$9,1))-INDEX(BP!$C$5:$C$9,MATCH(B1826,BP!$A$5:$A$9,1)))/(INDEX(BP!$B$5:$B$9,MATCH(B1826,BP!$A$5:$A$9,1))-INDEX(BP!$A$5:$A$9,MATCH(B1826,BP!$A$5:$A$9,1)))*(B1826-INDEX(BP!$A$5:$A$9,MATCH(B1826,BP!$A$5:$A$9,1)))+INDEX(BP!$C$5:$C$9,MATCH(B1826,BP!$A$5:$A$9,1)),0))</f>
        <v>36</v>
      </c>
      <c r="D1826" s="12" t="str">
        <f aca="false">IF(NOT(ISNUMBER(C1826)),"",INDEX(BP!$F$5:$F$9,MATCH(C1826,BP!$E$5:$E$9,1)))</f>
        <v>ดี</v>
      </c>
      <c r="E1826" s="12" t="n">
        <f aca="false">YEAR(A1826)</f>
        <v>2025</v>
      </c>
      <c r="F1826" s="12" t="n">
        <f aca="false">MONTH(A1826)</f>
        <v>12</v>
      </c>
      <c r="G1826" s="12" t="n">
        <v>15.7</v>
      </c>
      <c r="H1826" s="12" t="n">
        <v>32</v>
      </c>
      <c r="I1826" s="12" t="n">
        <v>76</v>
      </c>
      <c r="J1826" s="12" t="n">
        <v>0.7</v>
      </c>
      <c r="K1826" s="12" t="n">
        <v>0</v>
      </c>
      <c r="L1826" s="12" t="s">
        <v>36</v>
      </c>
    </row>
    <row r="1827" customFormat="false" ht="15" hidden="false" customHeight="false" outlineLevel="0" collapsed="false">
      <c r="A1827" s="11" t="n">
        <v>46022</v>
      </c>
      <c r="B1827" s="12" t="n">
        <v>23.9</v>
      </c>
      <c r="C1827" s="12" t="n">
        <f aca="false">IF(NOT(ISNUMBER(B1827)),"",ROUND((INDEX(BP!$D$5:$D$9,MATCH(B1827,BP!$A$5:$A$9,1))-INDEX(BP!$C$5:$C$9,MATCH(B1827,BP!$A$5:$A$9,1)))/(INDEX(BP!$B$5:$B$9,MATCH(B1827,BP!$A$5:$A$9,1))-INDEX(BP!$A$5:$A$9,MATCH(B1827,BP!$A$5:$A$9,1)))*(B1827-INDEX(BP!$A$5:$A$9,MATCH(B1827,BP!$A$5:$A$9,1)))+INDEX(BP!$C$5:$C$9,MATCH(B1827,BP!$A$5:$A$9,1)),0))</f>
        <v>47</v>
      </c>
      <c r="D1827" s="12" t="str">
        <f aca="false">IF(NOT(ISNUMBER(C1827)),"",INDEX(BP!$F$5:$F$9,MATCH(C1827,BP!$E$5:$E$9,1)))</f>
        <v>ดี</v>
      </c>
      <c r="E1827" s="12" t="n">
        <f aca="false">YEAR(A1827)</f>
        <v>2025</v>
      </c>
      <c r="F1827" s="12" t="n">
        <f aca="false">MONTH(A1827)</f>
        <v>12</v>
      </c>
      <c r="G1827" s="12" t="n">
        <v>13.6</v>
      </c>
      <c r="H1827" s="12" t="n">
        <v>31.7</v>
      </c>
      <c r="I1827" s="12" t="n">
        <v>66</v>
      </c>
      <c r="J1827" s="12" t="n">
        <v>0.9</v>
      </c>
      <c r="K1827" s="12" t="n">
        <v>0</v>
      </c>
      <c r="L1827" s="1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7.15" hidden="false" customHeight="false" outlineLevel="0" collapsed="false">
      <c r="A1" s="13" t="s">
        <v>37</v>
      </c>
    </row>
    <row r="3" customFormat="false" ht="15" hidden="false" customHeight="false" outlineLevel="0" collapsed="false">
      <c r="A3" s="1" t="s">
        <v>38</v>
      </c>
      <c r="D3" s="1" t="s">
        <v>39</v>
      </c>
    </row>
    <row r="4" customFormat="false" ht="15" hidden="false" customHeight="false" outlineLevel="0" collapsed="false">
      <c r="A4" s="14" t="s">
        <v>40</v>
      </c>
      <c r="B4" s="9" t="n">
        <f aca="false">COUNT(Data!$C$2:$C$1827)</f>
        <v>1804</v>
      </c>
      <c r="D4" s="15" t="s">
        <v>41</v>
      </c>
      <c r="E4" s="15" t="s">
        <v>42</v>
      </c>
      <c r="F4" s="15" t="s">
        <v>43</v>
      </c>
      <c r="G4" s="15" t="s">
        <v>44</v>
      </c>
    </row>
    <row r="5" customFormat="false" ht="15" hidden="false" customHeight="false" outlineLevel="0" collapsed="false">
      <c r="A5" s="14" t="s">
        <v>45</v>
      </c>
      <c r="B5" s="9" t="n">
        <f aca="false">ROUND(AVERAGE(Data!$B$2:$B$1827),2)</f>
        <v>14.93</v>
      </c>
      <c r="D5" s="4" t="s">
        <v>9</v>
      </c>
      <c r="E5" s="12" t="s">
        <v>46</v>
      </c>
      <c r="F5" s="12" t="n">
        <f aca="false">COUNTIFS(Data!$C$2:$C$1827,"&gt;=0",Data!$C$2:$C$1827,"&lt;=25")</f>
        <v>1031</v>
      </c>
      <c r="G5" s="16" t="n">
        <f aca="false">IFERROR(F5/SUM($F$5:$F$9),0)</f>
        <v>0.571507760532151</v>
      </c>
    </row>
    <row r="6" customFormat="false" ht="15" hidden="false" customHeight="false" outlineLevel="0" collapsed="false">
      <c r="A6" s="14" t="s">
        <v>47</v>
      </c>
      <c r="B6" s="9" t="n">
        <f aca="false">ROUND(AVERAGE(Data!$C$2:$C$1827),2)</f>
        <v>27</v>
      </c>
      <c r="D6" s="5" t="s">
        <v>11</v>
      </c>
      <c r="E6" s="12" t="s">
        <v>48</v>
      </c>
      <c r="F6" s="12" t="n">
        <f aca="false">COUNTIFS(Data!$C$2:$C$1827,"&gt;=26",Data!$C$2:$C$1827,"&lt;=50")</f>
        <v>717</v>
      </c>
      <c r="G6" s="16" t="n">
        <f aca="false">IFERROR(F6/SUM($F$5:$F$9),0)</f>
        <v>0.397450110864745</v>
      </c>
    </row>
    <row r="7" customFormat="false" ht="15" hidden="false" customHeight="false" outlineLevel="0" collapsed="false">
      <c r="A7" s="14" t="s">
        <v>49</v>
      </c>
      <c r="B7" s="9" t="n">
        <f aca="false">MIN(Data!$C$2:$C$1827)</f>
        <v>9</v>
      </c>
      <c r="D7" s="6" t="s">
        <v>13</v>
      </c>
      <c r="E7" s="12" t="s">
        <v>50</v>
      </c>
      <c r="F7" s="12" t="n">
        <f aca="false">COUNTIFS(Data!$C$2:$C$1827,"&gt;=51",Data!$C$2:$C$1827,"&lt;=100")</f>
        <v>49</v>
      </c>
      <c r="G7" s="16" t="n">
        <f aca="false">IFERROR(F7/SUM($F$5:$F$9),0)</f>
        <v>0.0271618625277162</v>
      </c>
    </row>
    <row r="8" customFormat="false" ht="15" hidden="false" customHeight="false" outlineLevel="0" collapsed="false">
      <c r="A8" s="14" t="s">
        <v>51</v>
      </c>
      <c r="B8" s="9" t="n">
        <f aca="false">MAX(Data!$C$2:$C$1827)</f>
        <v>119</v>
      </c>
      <c r="D8" s="7" t="s">
        <v>15</v>
      </c>
      <c r="E8" s="12" t="s">
        <v>52</v>
      </c>
      <c r="F8" s="12" t="n">
        <f aca="false">COUNTIFS(Data!$C$2:$C$1827,"&gt;=101",Data!$C$2:$C$1827,"&lt;=200")</f>
        <v>7</v>
      </c>
      <c r="G8" s="16" t="n">
        <f aca="false">IFERROR(F8/SUM($F$5:$F$9),0)</f>
        <v>0.00388026607538803</v>
      </c>
    </row>
    <row r="9" customFormat="false" ht="15" hidden="false" customHeight="false" outlineLevel="0" collapsed="false">
      <c r="A9" s="14" t="s">
        <v>53</v>
      </c>
      <c r="B9" s="9" t="n">
        <f aca="false">MEDIAN(Data!$C$2:$C$1827)</f>
        <v>24</v>
      </c>
      <c r="D9" s="8" t="s">
        <v>17</v>
      </c>
      <c r="E9" s="12" t="s">
        <v>54</v>
      </c>
      <c r="F9" s="12" t="n">
        <f aca="false">COUNTIFS(Data!$C$2:$C$1827,"&gt;=201",Data!$C$2:$C$1827,"&lt;=100000")</f>
        <v>0</v>
      </c>
      <c r="G9" s="16" t="n">
        <f aca="false">IFERROR(F9/SUM($F$5:$F$9),0)</f>
        <v>0</v>
      </c>
    </row>
    <row r="10" customFormat="false" ht="15" hidden="false" customHeight="false" outlineLevel="0" collapsed="false">
      <c r="A10" s="14" t="s">
        <v>55</v>
      </c>
      <c r="B10" s="9" t="n">
        <f aca="false">ROUND(STDEV(Data!$C$2:$C$1827),2)</f>
        <v>12.58</v>
      </c>
      <c r="D10" s="9" t="s">
        <v>56</v>
      </c>
      <c r="F10" s="9" t="n">
        <f aca="false">SUM(F5:F9)</f>
        <v>1804</v>
      </c>
    </row>
    <row r="11" customFormat="false" ht="15" hidden="false" customHeight="false" outlineLevel="0" collapsed="false">
      <c r="A11" s="14" t="s">
        <v>57</v>
      </c>
      <c r="B11" s="9" t="n">
        <f aca="false">COUNTIF(Data!$C$2:$C$1827,"&gt;100")</f>
        <v>7</v>
      </c>
    </row>
    <row r="12" customFormat="false" ht="15" hidden="false" customHeight="false" outlineLevel="0" collapsed="false">
      <c r="A12" s="14" t="s">
        <v>58</v>
      </c>
      <c r="B12" s="9" t="n">
        <f aca="false">COUNTIF(Data!$B$2:$B$1827,"&gt;37.5")</f>
        <v>7</v>
      </c>
    </row>
    <row r="15" customFormat="false" ht="15" hidden="false" customHeight="false" outlineLevel="0" collapsed="false">
      <c r="A15" s="1" t="s">
        <v>59</v>
      </c>
      <c r="I15" s="1" t="s">
        <v>60</v>
      </c>
    </row>
    <row r="16" customFormat="false" ht="15" hidden="false" customHeight="false" outlineLevel="0" collapsed="false">
      <c r="A16" s="17" t="s">
        <v>26</v>
      </c>
      <c r="B16" s="17" t="s">
        <v>61</v>
      </c>
      <c r="C16" s="17" t="s">
        <v>47</v>
      </c>
      <c r="D16" s="17" t="s">
        <v>51</v>
      </c>
      <c r="E16" s="17" t="s">
        <v>62</v>
      </c>
      <c r="F16" s="17" t="s">
        <v>63</v>
      </c>
      <c r="G16" s="17" t="s">
        <v>43</v>
      </c>
      <c r="I16" s="15" t="s">
        <v>33</v>
      </c>
      <c r="J16" s="15" t="s">
        <v>47</v>
      </c>
      <c r="K16" s="15" t="s">
        <v>43</v>
      </c>
    </row>
    <row r="17" customFormat="false" ht="15" hidden="false" customHeight="false" outlineLevel="0" collapsed="false">
      <c r="A17" s="18" t="n">
        <v>2021</v>
      </c>
      <c r="B17" s="12" t="n">
        <f aca="false">ROUND(AVERAGEIFS(Data!$B$2:$B$1827,Data!$E$2:$E$1827,$A17),2)</f>
        <v>16.68</v>
      </c>
      <c r="C17" s="12" t="n">
        <f aca="false">ROUND(AVERAGEIFS(Data!$C$2:$C$1827,Data!$E$2:$E$1827,$A17),2)</f>
        <v>30.51</v>
      </c>
      <c r="D17" s="12" t="n">
        <f aca="false">_xlfn.MAXIFS(Data!$C$2:$C$1827,Data!$E$2:$E$1827,$A17)</f>
        <v>102</v>
      </c>
      <c r="E17" s="12" t="n">
        <f aca="false">COUNTIFS(Data!$E$2:$E$1827,$A17,Data!$C$2:$C$1827,"&gt;50")</f>
        <v>16</v>
      </c>
      <c r="F17" s="12" t="n">
        <f aca="false">COUNTIFS(Data!$E$2:$E$1827,$A17,Data!$C$2:$C$1827,"&gt;100")</f>
        <v>1</v>
      </c>
      <c r="G17" s="12" t="n">
        <f aca="false">COUNTIFS(Data!$E$2:$E$1827,$A17,Data!$C$2:$C$1827,"&gt;=0")</f>
        <v>365</v>
      </c>
      <c r="I17" s="12" t="s">
        <v>36</v>
      </c>
      <c r="J17" s="12" t="n">
        <f aca="false">ROUND(AVERAGEIFS(Data!$C$2:$C$1827,Data!$L$2:$L$1827,$I17),2)</f>
        <v>26.71</v>
      </c>
      <c r="K17" s="12" t="n">
        <f aca="false">COUNTIFS(Data!$L$2:$L$1827,$I17,Data!$C$2:$C$1827,"&gt;=0")</f>
        <v>1179</v>
      </c>
    </row>
    <row r="18" customFormat="false" ht="15" hidden="false" customHeight="false" outlineLevel="0" collapsed="false">
      <c r="A18" s="18" t="n">
        <v>2022</v>
      </c>
      <c r="B18" s="12" t="n">
        <f aca="false">ROUND(AVERAGEIFS(Data!$B$2:$B$1827,Data!$E$2:$E$1827,$A18),2)</f>
        <v>15.92</v>
      </c>
      <c r="C18" s="12" t="n">
        <f aca="false">ROUND(AVERAGEIFS(Data!$C$2:$C$1827,Data!$E$2:$E$1827,$A18),2)</f>
        <v>28.52</v>
      </c>
      <c r="D18" s="12" t="n">
        <f aca="false">_xlfn.MAXIFS(Data!$C$2:$C$1827,Data!$E$2:$E$1827,$A18)</f>
        <v>78</v>
      </c>
      <c r="E18" s="12" t="n">
        <f aca="false">COUNTIFS(Data!$E$2:$E$1827,$A18,Data!$C$2:$C$1827,"&gt;50")</f>
        <v>9</v>
      </c>
      <c r="F18" s="12" t="n">
        <f aca="false">COUNTIFS(Data!$E$2:$E$1827,$A18,Data!$C$2:$C$1827,"&gt;100")</f>
        <v>0</v>
      </c>
      <c r="G18" s="12" t="n">
        <f aca="false">COUNTIFS(Data!$E$2:$E$1827,$A18,Data!$C$2:$C$1827,"&gt;=0")</f>
        <v>362</v>
      </c>
      <c r="I18" s="12" t="s">
        <v>35</v>
      </c>
      <c r="J18" s="12" t="n">
        <f aca="false">ROUND(AVERAGEIFS(Data!$C$2:$C$1827,Data!$L$2:$L$1827,$I18),2)</f>
        <v>26.91</v>
      </c>
      <c r="K18" s="12" t="n">
        <f aca="false">COUNTIFS(Data!$L$2:$L$1827,$I18,Data!$C$2:$C$1827,"&gt;=0")</f>
        <v>490</v>
      </c>
    </row>
    <row r="19" customFormat="false" ht="15" hidden="false" customHeight="false" outlineLevel="0" collapsed="false">
      <c r="A19" s="18" t="n">
        <v>2023</v>
      </c>
      <c r="B19" s="12" t="n">
        <f aca="false">ROUND(AVERAGEIFS(Data!$B$2:$B$1827,Data!$E$2:$E$1827,$A19),2)</f>
        <v>16.61</v>
      </c>
      <c r="C19" s="12" t="n">
        <f aca="false">ROUND(AVERAGEIFS(Data!$C$2:$C$1827,Data!$E$2:$E$1827,$A19),2)</f>
        <v>31.02</v>
      </c>
      <c r="D19" s="12" t="n">
        <f aca="false">_xlfn.MAXIFS(Data!$C$2:$C$1827,Data!$E$2:$E$1827,$A19)</f>
        <v>119</v>
      </c>
      <c r="E19" s="12" t="n">
        <f aca="false">COUNTIFS(Data!$E$2:$E$1827,$A19,Data!$C$2:$C$1827,"&gt;50")</f>
        <v>24</v>
      </c>
      <c r="F19" s="12" t="n">
        <f aca="false">COUNTIFS(Data!$E$2:$E$1827,$A19,Data!$C$2:$C$1827,"&gt;100")</f>
        <v>6</v>
      </c>
      <c r="G19" s="12" t="n">
        <f aca="false">COUNTIFS(Data!$E$2:$E$1827,$A19,Data!$C$2:$C$1827,"&gt;=0")</f>
        <v>363</v>
      </c>
      <c r="I19" s="12" t="s">
        <v>34</v>
      </c>
      <c r="J19" s="12" t="n">
        <f aca="false">ROUND(AVERAGEIFS(Data!$C$2:$C$1827,Data!$L$2:$L$1827,$I19),2)</f>
        <v>29.8</v>
      </c>
      <c r="K19" s="12" t="n">
        <f aca="false">COUNTIFS(Data!$L$2:$L$1827,$I19,Data!$C$2:$C$1827,"&gt;=0")</f>
        <v>135</v>
      </c>
    </row>
    <row r="20" customFormat="false" ht="15" hidden="false" customHeight="false" outlineLevel="0" collapsed="false">
      <c r="A20" s="18" t="n">
        <v>2024</v>
      </c>
      <c r="B20" s="12" t="n">
        <f aca="false">ROUND(AVERAGEIFS(Data!$B$2:$B$1827,Data!$E$2:$E$1827,$A20),2)</f>
        <v>14.3</v>
      </c>
      <c r="C20" s="12" t="n">
        <f aca="false">ROUND(AVERAGEIFS(Data!$C$2:$C$1827,Data!$E$2:$E$1827,$A20),2)</f>
        <v>25.48</v>
      </c>
      <c r="D20" s="12" t="n">
        <f aca="false">_xlfn.MAXIFS(Data!$C$2:$C$1827,Data!$E$2:$E$1827,$A20)</f>
        <v>56</v>
      </c>
      <c r="E20" s="12" t="n">
        <f aca="false">COUNTIFS(Data!$E$2:$E$1827,$A20,Data!$C$2:$C$1827,"&gt;50")</f>
        <v>6</v>
      </c>
      <c r="F20" s="12" t="n">
        <f aca="false">COUNTIFS(Data!$E$2:$E$1827,$A20,Data!$C$2:$C$1827,"&gt;100")</f>
        <v>0</v>
      </c>
      <c r="G20" s="12" t="n">
        <f aca="false">COUNTIFS(Data!$E$2:$E$1827,$A20,Data!$C$2:$C$1827,"&gt;=0")</f>
        <v>365</v>
      </c>
    </row>
    <row r="21" customFormat="false" ht="15" hidden="false" customHeight="false" outlineLevel="0" collapsed="false">
      <c r="A21" s="18" t="n">
        <v>2025</v>
      </c>
      <c r="B21" s="12" t="n">
        <f aca="false">ROUND(AVERAGEIFS(Data!$B$2:$B$1827,Data!$E$2:$E$1827,$A21),2)</f>
        <v>10.99</v>
      </c>
      <c r="C21" s="12" t="n">
        <f aca="false">ROUND(AVERAGEIFS(Data!$C$2:$C$1827,Data!$E$2:$E$1827,$A21),2)</f>
        <v>19.13</v>
      </c>
      <c r="D21" s="12" t="n">
        <f aca="false">_xlfn.MAXIFS(Data!$C$2:$C$1827,Data!$E$2:$E$1827,$A21)</f>
        <v>53</v>
      </c>
      <c r="E21" s="12" t="n">
        <f aca="false">COUNTIFS(Data!$E$2:$E$1827,$A21,Data!$C$2:$C$1827,"&gt;50")</f>
        <v>1</v>
      </c>
      <c r="F21" s="12" t="n">
        <f aca="false">COUNTIFS(Data!$E$2:$E$1827,$A21,Data!$C$2:$C$1827,"&gt;100")</f>
        <v>0</v>
      </c>
      <c r="G21" s="12" t="n">
        <f aca="false">COUNTIFS(Data!$E$2:$E$1827,$A21,Data!$C$2:$C$1827,"&gt;=0")</f>
        <v>349</v>
      </c>
    </row>
    <row r="24" customFormat="false" ht="15" hidden="false" customHeight="false" outlineLevel="0" collapsed="false">
      <c r="A24" s="1" t="s">
        <v>64</v>
      </c>
      <c r="I24" s="1" t="s">
        <v>65</v>
      </c>
    </row>
    <row r="25" customFormat="false" ht="15" hidden="false" customHeight="false" outlineLevel="0" collapsed="false">
      <c r="A25" s="15" t="s">
        <v>27</v>
      </c>
      <c r="B25" s="15" t="s">
        <v>61</v>
      </c>
      <c r="C25" s="15" t="s">
        <v>47</v>
      </c>
      <c r="D25" s="15" t="s">
        <v>51</v>
      </c>
      <c r="I25" s="12" t="s">
        <v>66</v>
      </c>
      <c r="J25" s="12" t="n">
        <f aca="false">ROUND(CORREL(Data!$G$2:$G$1827,Data!$C$2:$C$1827),3)</f>
        <v>-0.104</v>
      </c>
    </row>
    <row r="26" customFormat="false" ht="15" hidden="false" customHeight="false" outlineLevel="0" collapsed="false">
      <c r="A26" s="12" t="s">
        <v>67</v>
      </c>
      <c r="B26" s="12" t="n">
        <f aca="false">ROUND(AVERAGEIFS(Data!$B$2:$B$1827,Data!$F$2:$F$1827,1),2)</f>
        <v>17.35</v>
      </c>
      <c r="C26" s="12" t="n">
        <f aca="false">ROUND(AVERAGEIFS(Data!$C$2:$C$1827,Data!$F$2:$F$1827,1),2)</f>
        <v>31.82</v>
      </c>
      <c r="D26" s="12" t="n">
        <f aca="false">_xlfn.MAXIFS(Data!$C$2:$C$1827,Data!$F$2:$F$1827,1)</f>
        <v>86</v>
      </c>
      <c r="I26" s="12" t="s">
        <v>68</v>
      </c>
      <c r="J26" s="12" t="n">
        <f aca="false">ROUND(CORREL(Data!$H$2:$H$1827,Data!$C$2:$C$1827),3)</f>
        <v>-0.083</v>
      </c>
    </row>
    <row r="27" customFormat="false" ht="15" hidden="false" customHeight="false" outlineLevel="0" collapsed="false">
      <c r="A27" s="12" t="s">
        <v>69</v>
      </c>
      <c r="B27" s="12" t="n">
        <f aca="false">ROUND(AVERAGEIFS(Data!$B$2:$B$1827,Data!$F$2:$F$1827,2),2)</f>
        <v>16.88</v>
      </c>
      <c r="C27" s="12" t="n">
        <f aca="false">ROUND(AVERAGEIFS(Data!$C$2:$C$1827,Data!$F$2:$F$1827,2),2)</f>
        <v>31.45</v>
      </c>
      <c r="D27" s="12" t="n">
        <f aca="false">_xlfn.MAXIFS(Data!$C$2:$C$1827,Data!$F$2:$F$1827,2)</f>
        <v>102</v>
      </c>
      <c r="I27" s="12" t="s">
        <v>70</v>
      </c>
      <c r="J27" s="12" t="n">
        <f aca="false">ROUND(CORREL(Data!$I$2:$I$1827,Data!$C$2:$C$1827),3)</f>
        <v>-0.113</v>
      </c>
    </row>
    <row r="28" customFormat="false" ht="15" hidden="false" customHeight="false" outlineLevel="0" collapsed="false">
      <c r="A28" s="12" t="s">
        <v>71</v>
      </c>
      <c r="B28" s="12" t="n">
        <f aca="false">ROUND(AVERAGEIFS(Data!$B$2:$B$1827,Data!$F$2:$F$1827,3),2)</f>
        <v>17.12</v>
      </c>
      <c r="C28" s="12" t="n">
        <f aca="false">ROUND(AVERAGEIFS(Data!$C$2:$C$1827,Data!$F$2:$F$1827,3),2)</f>
        <v>31.42</v>
      </c>
      <c r="D28" s="12" t="n">
        <f aca="false">_xlfn.MAXIFS(Data!$C$2:$C$1827,Data!$F$2:$F$1827,3)</f>
        <v>78</v>
      </c>
      <c r="I28" s="12" t="s">
        <v>72</v>
      </c>
      <c r="J28" s="12" t="n">
        <f aca="false">ROUND(CORREL(Data!$J$2:$J$1827,Data!$C$2:$C$1827),3)</f>
        <v>-0.234</v>
      </c>
    </row>
    <row r="29" customFormat="false" ht="15" hidden="false" customHeight="false" outlineLevel="0" collapsed="false">
      <c r="A29" s="12" t="s">
        <v>73</v>
      </c>
      <c r="B29" s="12" t="n">
        <f aca="false">ROUND(AVERAGEIFS(Data!$B$2:$B$1827,Data!$F$2:$F$1827,4),2)</f>
        <v>17.94</v>
      </c>
      <c r="C29" s="12" t="n">
        <f aca="false">ROUND(AVERAGEIFS(Data!$C$2:$C$1827,Data!$F$2:$F$1827,4),2)</f>
        <v>35.19</v>
      </c>
      <c r="D29" s="12" t="n">
        <f aca="false">_xlfn.MAXIFS(Data!$C$2:$C$1827,Data!$F$2:$F$1827,4)</f>
        <v>110</v>
      </c>
      <c r="I29" s="12" t="s">
        <v>74</v>
      </c>
      <c r="J29" s="12" t="n">
        <f aca="false">ROUND(CORREL(Data!$K$2:$K$1827,Data!$C$2:$C$1827),3)</f>
        <v>-0.156</v>
      </c>
    </row>
    <row r="30" customFormat="false" ht="15" hidden="false" customHeight="false" outlineLevel="0" collapsed="false">
      <c r="A30" s="12" t="s">
        <v>75</v>
      </c>
      <c r="B30" s="12" t="n">
        <f aca="false">ROUND(AVERAGEIFS(Data!$B$2:$B$1827,Data!$F$2:$F$1827,5),2)</f>
        <v>13.88</v>
      </c>
      <c r="C30" s="12" t="n">
        <f aca="false">ROUND(AVERAGEIFS(Data!$C$2:$C$1827,Data!$F$2:$F$1827,5),2)</f>
        <v>24.18</v>
      </c>
      <c r="D30" s="12" t="n">
        <f aca="false">_xlfn.MAXIFS(Data!$C$2:$C$1827,Data!$F$2:$F$1827,5)</f>
        <v>45</v>
      </c>
    </row>
    <row r="31" customFormat="false" ht="15" hidden="false" customHeight="false" outlineLevel="0" collapsed="false">
      <c r="A31" s="12" t="s">
        <v>76</v>
      </c>
      <c r="B31" s="12" t="n">
        <f aca="false">ROUND(AVERAGEIFS(Data!$B$2:$B$1827,Data!$F$2:$F$1827,6),2)</f>
        <v>14.81</v>
      </c>
      <c r="C31" s="12" t="n">
        <f aca="false">ROUND(AVERAGEIFS(Data!$C$2:$C$1827,Data!$F$2:$F$1827,6),2)</f>
        <v>26.48</v>
      </c>
      <c r="D31" s="12" t="n">
        <f aca="false">_xlfn.MAXIFS(Data!$C$2:$C$1827,Data!$F$2:$F$1827,6)</f>
        <v>55</v>
      </c>
      <c r="I31" s="2" t="s">
        <v>77</v>
      </c>
    </row>
    <row r="32" customFormat="false" ht="15" hidden="false" customHeight="false" outlineLevel="0" collapsed="false">
      <c r="A32" s="12" t="s">
        <v>78</v>
      </c>
      <c r="B32" s="12" t="n">
        <f aca="false">ROUND(AVERAGEIFS(Data!$B$2:$B$1827,Data!$F$2:$F$1827,7),2)</f>
        <v>15.67</v>
      </c>
      <c r="C32" s="12" t="n">
        <f aca="false">ROUND(AVERAGEIFS(Data!$C$2:$C$1827,Data!$F$2:$F$1827,7),2)</f>
        <v>28.48</v>
      </c>
      <c r="D32" s="12" t="n">
        <f aca="false">_xlfn.MAXIFS(Data!$C$2:$C$1827,Data!$F$2:$F$1827,7)</f>
        <v>74</v>
      </c>
    </row>
    <row r="33" customFormat="false" ht="15" hidden="false" customHeight="false" outlineLevel="0" collapsed="false">
      <c r="A33" s="12" t="s">
        <v>79</v>
      </c>
      <c r="B33" s="12" t="n">
        <f aca="false">ROUND(AVERAGEIFS(Data!$B$2:$B$1827,Data!$F$2:$F$1827,8),2)</f>
        <v>13.85</v>
      </c>
      <c r="C33" s="12" t="n">
        <f aca="false">ROUND(AVERAGEIFS(Data!$C$2:$C$1827,Data!$F$2:$F$1827,8),2)</f>
        <v>24.21</v>
      </c>
      <c r="D33" s="12" t="n">
        <f aca="false">_xlfn.MAXIFS(Data!$C$2:$C$1827,Data!$F$2:$F$1827,8)</f>
        <v>50</v>
      </c>
    </row>
    <row r="34" customFormat="false" ht="15" hidden="false" customHeight="false" outlineLevel="0" collapsed="false">
      <c r="A34" s="12" t="s">
        <v>80</v>
      </c>
      <c r="B34" s="12" t="n">
        <f aca="false">ROUND(AVERAGEIFS(Data!$B$2:$B$1827,Data!$F$2:$F$1827,9),2)</f>
        <v>13.56</v>
      </c>
      <c r="C34" s="12" t="n">
        <f aca="false">ROUND(AVERAGEIFS(Data!$C$2:$C$1827,Data!$F$2:$F$1827,9),2)</f>
        <v>24.63</v>
      </c>
      <c r="D34" s="12" t="n">
        <f aca="false">_xlfn.MAXIFS(Data!$C$2:$C$1827,Data!$F$2:$F$1827,9)</f>
        <v>119</v>
      </c>
    </row>
    <row r="35" customFormat="false" ht="15" hidden="false" customHeight="false" outlineLevel="0" collapsed="false">
      <c r="A35" s="12" t="s">
        <v>81</v>
      </c>
      <c r="B35" s="12" t="n">
        <f aca="false">ROUND(AVERAGEIFS(Data!$B$2:$B$1827,Data!$F$2:$F$1827,10),2)</f>
        <v>12.16</v>
      </c>
      <c r="C35" s="12" t="n">
        <f aca="false">ROUND(AVERAGEIFS(Data!$C$2:$C$1827,Data!$F$2:$F$1827,10),2)</f>
        <v>21.23</v>
      </c>
      <c r="D35" s="12" t="n">
        <f aca="false">_xlfn.MAXIFS(Data!$C$2:$C$1827,Data!$F$2:$F$1827,10)</f>
        <v>99</v>
      </c>
    </row>
    <row r="36" customFormat="false" ht="15" hidden="false" customHeight="false" outlineLevel="0" collapsed="false">
      <c r="A36" s="12" t="s">
        <v>82</v>
      </c>
      <c r="B36" s="12" t="n">
        <f aca="false">ROUND(AVERAGEIFS(Data!$B$2:$B$1827,Data!$F$2:$F$1827,11),2)</f>
        <v>11.37</v>
      </c>
      <c r="C36" s="12" t="n">
        <f aca="false">ROUND(AVERAGEIFS(Data!$C$2:$C$1827,Data!$F$2:$F$1827,11),2)</f>
        <v>19.22</v>
      </c>
      <c r="D36" s="12" t="n">
        <f aca="false">_xlfn.MAXIFS(Data!$C$2:$C$1827,Data!$F$2:$F$1827,11)</f>
        <v>35</v>
      </c>
    </row>
    <row r="37" customFormat="false" ht="15" hidden="false" customHeight="false" outlineLevel="0" collapsed="false">
      <c r="A37" s="12" t="s">
        <v>83</v>
      </c>
      <c r="B37" s="12" t="n">
        <f aca="false">ROUND(AVERAGEIFS(Data!$B$2:$B$1827,Data!$F$2:$F$1827,12),2)</f>
        <v>14.57</v>
      </c>
      <c r="C37" s="12" t="n">
        <f aca="false">ROUND(AVERAGEIFS(Data!$C$2:$C$1827,Data!$F$2:$F$1827,12),2)</f>
        <v>25.6</v>
      </c>
      <c r="D37" s="12" t="n">
        <f aca="false">_xlfn.MAXIFS(Data!$C$2:$C$1827,Data!$F$2:$F$1827,12)</f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2026-09-13T10:56:44Z</dcterms:created>
  <dc:creator>openpyxl</dc:creator>
  <dc:description/>
  <dc:language>en-US</dc:language>
  <cp:lastModifiedBy/>
  <dcterms:modified xsi:type="dcterms:W3CDTF">2026-09-13T10:56:45Z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